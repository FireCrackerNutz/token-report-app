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mc:AlternateContent xmlns:mc="http://schemas.openxmlformats.org/markup-compatibility/2006">
    <mc:Choice Requires="x15">
      <x15ac:absPath xmlns:x15ac="http://schemas.microsoft.com/office/spreadsheetml/2010/11/ac" url="/Users/nikolas/Downloads/"/>
    </mc:Choice>
  </mc:AlternateContent>
  <xr:revisionPtr revIDLastSave="0" documentId="13_ncr:1_{728CDC44-AEFE-204D-A484-EF6372646F3A}" xr6:coauthVersionLast="47" xr6:coauthVersionMax="47" xr10:uidLastSave="{00000000-0000-0000-0000-000000000000}"/>
  <bookViews>
    <workbookView xWindow="0" yWindow="680" windowWidth="29400" windowHeight="17240" firstSheet="1" activeTab="5" xr2:uid="{00000000-000D-0000-FFFF-FFFF00000000}"/>
  </bookViews>
  <sheets>
    <sheet name="Overview" sheetId="1" r:id="rId1"/>
    <sheet name="Token Fundamentals &amp; Governance" sheetId="2" r:id="rId2"/>
    <sheet name="Regulatory &amp; Legal Risk" sheetId="3" r:id="rId3"/>
    <sheet name="AML &amp; Sanctions Risk" sheetId="4" r:id="rId4"/>
    <sheet name="Technical &amp; Protocol Security" sheetId="5" r:id="rId5"/>
    <sheet name="Market &amp; Liquidity Integrity" sheetId="6" r:id="rId6"/>
    <sheet name="Strategic, Reputational &amp; ESG" sheetId="7" r:id="rId7"/>
    <sheet name="Master_Summary" sheetId="8" r:id="rId8"/>
  </sheets>
  <definedNames>
    <definedName name="Structure_Map">Overview!$D$80</definedName>
    <definedName name="Tab1_Map">Overview!$D$238</definedName>
    <definedName name="Tab2_Map">Overview!$D$265</definedName>
    <definedName name="Tab3_Map">Overview!$D$295</definedName>
    <definedName name="Tab4_Map">Overview!$D$326</definedName>
    <definedName name="Tab5_Map">Overview!$D$357</definedName>
    <definedName name="Tab6_Map">Overview!$D$386</definedName>
  </definedNames>
  <calcPr calcId="18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E26" i="2" l="1"/>
  <c r="N30" i="7"/>
  <c r="F30" i="7"/>
  <c r="G30" i="7" s="1"/>
  <c r="O30" i="7" s="1"/>
  <c r="P29" i="7"/>
  <c r="N29" i="7"/>
  <c r="F29" i="7"/>
  <c r="E29" i="7"/>
  <c r="G29" i="7" s="1"/>
  <c r="O29" i="7" s="1"/>
  <c r="P28" i="7"/>
  <c r="N28" i="7"/>
  <c r="F28" i="7"/>
  <c r="E28" i="7"/>
  <c r="G28" i="7" s="1"/>
  <c r="O28" i="7" s="1"/>
  <c r="N27" i="7"/>
  <c r="F27" i="7"/>
  <c r="E27" i="7"/>
  <c r="G27" i="7" s="1"/>
  <c r="O27" i="7" s="1"/>
  <c r="E49" i="7" s="1"/>
  <c r="F20" i="8" s="1"/>
  <c r="N25" i="7"/>
  <c r="N24" i="7"/>
  <c r="F24" i="7"/>
  <c r="G24" i="7" s="1"/>
  <c r="O24" i="7" s="1"/>
  <c r="P23" i="7"/>
  <c r="N23" i="7"/>
  <c r="F23" i="7"/>
  <c r="E23" i="7"/>
  <c r="G23" i="7" s="1"/>
  <c r="O23" i="7" s="1"/>
  <c r="N22" i="7"/>
  <c r="F22" i="7"/>
  <c r="E22" i="7"/>
  <c r="G22" i="7" s="1"/>
  <c r="O22" i="7" s="1"/>
  <c r="E48" i="7" s="1"/>
  <c r="E20" i="8" s="1"/>
  <c r="N20" i="7"/>
  <c r="N19" i="7"/>
  <c r="F19" i="7"/>
  <c r="G19" i="7" s="1"/>
  <c r="O19" i="7" s="1"/>
  <c r="P18" i="7"/>
  <c r="N18" i="7"/>
  <c r="F18" i="7"/>
  <c r="E18" i="7"/>
  <c r="G18" i="7" s="1"/>
  <c r="O18" i="7" s="1"/>
  <c r="P17" i="7"/>
  <c r="N17" i="7"/>
  <c r="F17" i="7"/>
  <c r="E17" i="7"/>
  <c r="G17" i="7" s="1"/>
  <c r="O17" i="7" s="1"/>
  <c r="N16" i="7"/>
  <c r="F16" i="7"/>
  <c r="E16" i="7"/>
  <c r="G16" i="7" s="1"/>
  <c r="O16" i="7" s="1"/>
  <c r="E47" i="7" s="1"/>
  <c r="D20" i="8" s="1"/>
  <c r="N14" i="7"/>
  <c r="N13" i="7"/>
  <c r="F13" i="7"/>
  <c r="G13" i="7" s="1"/>
  <c r="O13" i="7" s="1"/>
  <c r="N12" i="7"/>
  <c r="F12" i="7"/>
  <c r="E12" i="7"/>
  <c r="G12" i="7" s="1"/>
  <c r="O12" i="7" s="1"/>
  <c r="P11" i="7"/>
  <c r="N11" i="7"/>
  <c r="F11" i="7"/>
  <c r="E11" i="7"/>
  <c r="G11" i="7" s="1"/>
  <c r="O11" i="7" s="1"/>
  <c r="P10" i="7"/>
  <c r="N10" i="7"/>
  <c r="F10" i="7"/>
  <c r="E10" i="7"/>
  <c r="G10" i="7" s="1"/>
  <c r="O10" i="7" s="1"/>
  <c r="E46" i="7" s="1"/>
  <c r="C20" i="8" s="1"/>
  <c r="N8" i="7"/>
  <c r="N7" i="7"/>
  <c r="F7" i="7"/>
  <c r="G7" i="7" s="1"/>
  <c r="O7" i="7" s="1"/>
  <c r="N6" i="7"/>
  <c r="F6" i="7"/>
  <c r="E6" i="7"/>
  <c r="G6" i="7" s="1"/>
  <c r="O6" i="7" s="1"/>
  <c r="P5" i="7"/>
  <c r="G7" i="8" s="1"/>
  <c r="N5" i="7"/>
  <c r="F5" i="7"/>
  <c r="E5" i="7"/>
  <c r="G5" i="7" s="1"/>
  <c r="O5" i="7" s="1"/>
  <c r="N4" i="7"/>
  <c r="F4" i="7"/>
  <c r="E4" i="7"/>
  <c r="G4" i="7" s="1"/>
  <c r="O4" i="7" s="1"/>
  <c r="N54" i="6"/>
  <c r="F54" i="6"/>
  <c r="G54" i="6" s="1"/>
  <c r="O54" i="6" s="1"/>
  <c r="P53" i="6"/>
  <c r="N53" i="6"/>
  <c r="F53" i="6"/>
  <c r="E53" i="6"/>
  <c r="G53" i="6" s="1"/>
  <c r="O53" i="6" s="1"/>
  <c r="P52" i="6"/>
  <c r="N52" i="6"/>
  <c r="F52" i="6"/>
  <c r="E52" i="6"/>
  <c r="G52" i="6" s="1"/>
  <c r="O52" i="6" s="1"/>
  <c r="P51" i="6"/>
  <c r="N51" i="6"/>
  <c r="F51" i="6"/>
  <c r="E51" i="6"/>
  <c r="G51" i="6" s="1"/>
  <c r="O51" i="6" s="1"/>
  <c r="N49" i="6"/>
  <c r="F49" i="6"/>
  <c r="G49" i="6" s="1"/>
  <c r="O49" i="6" s="1"/>
  <c r="N48" i="6"/>
  <c r="F48" i="6"/>
  <c r="E48" i="6"/>
  <c r="G48" i="6" s="1"/>
  <c r="O48" i="6" s="1"/>
  <c r="N47" i="6"/>
  <c r="F47" i="6"/>
  <c r="E47" i="6"/>
  <c r="G47" i="6" s="1"/>
  <c r="O47" i="6" s="1"/>
  <c r="E74" i="6" s="1"/>
  <c r="F19" i="8" s="1"/>
  <c r="N45" i="6"/>
  <c r="N44" i="6"/>
  <c r="F44" i="6"/>
  <c r="G44" i="6" s="1"/>
  <c r="O44" i="6" s="1"/>
  <c r="N43" i="6"/>
  <c r="F43" i="6"/>
  <c r="E43" i="6"/>
  <c r="G43" i="6" s="1"/>
  <c r="O43" i="6" s="1"/>
  <c r="P42" i="6"/>
  <c r="N42" i="6"/>
  <c r="F42" i="6"/>
  <c r="E42" i="6"/>
  <c r="G42" i="6" s="1"/>
  <c r="O42" i="6" s="1"/>
  <c r="N41" i="6"/>
  <c r="F41" i="6"/>
  <c r="E41" i="6"/>
  <c r="G41" i="6" s="1"/>
  <c r="O41" i="6" s="1"/>
  <c r="N39" i="6"/>
  <c r="F39" i="6"/>
  <c r="G39" i="6" s="1"/>
  <c r="O39" i="6" s="1"/>
  <c r="N38" i="6"/>
  <c r="F38" i="6"/>
  <c r="E38" i="6"/>
  <c r="G38" i="6" s="1"/>
  <c r="O38" i="6" s="1"/>
  <c r="N37" i="6"/>
  <c r="F37" i="6"/>
  <c r="E37" i="6"/>
  <c r="G37" i="6" s="1"/>
  <c r="O37" i="6" s="1"/>
  <c r="E73" i="6" s="1"/>
  <c r="E19" i="8" s="1"/>
  <c r="N35" i="6"/>
  <c r="N34" i="6"/>
  <c r="G34" i="6"/>
  <c r="O34" i="6" s="1"/>
  <c r="F34" i="6"/>
  <c r="N33" i="6"/>
  <c r="F33" i="6"/>
  <c r="E33" i="6"/>
  <c r="G33" i="6" s="1"/>
  <c r="O33" i="6" s="1"/>
  <c r="N32" i="6"/>
  <c r="F32" i="6"/>
  <c r="E32" i="6"/>
  <c r="G32" i="6" s="1"/>
  <c r="O32" i="6" s="1"/>
  <c r="N31" i="6"/>
  <c r="F31" i="6"/>
  <c r="E31" i="6"/>
  <c r="G31" i="6" s="1"/>
  <c r="O31" i="6" s="1"/>
  <c r="N29" i="6"/>
  <c r="F29" i="6"/>
  <c r="G29" i="6" s="1"/>
  <c r="O29" i="6" s="1"/>
  <c r="N28" i="6"/>
  <c r="F28" i="6"/>
  <c r="E28" i="6"/>
  <c r="G28" i="6" s="1"/>
  <c r="O28" i="6" s="1"/>
  <c r="N27" i="6"/>
  <c r="F27" i="6"/>
  <c r="E27" i="6"/>
  <c r="G27" i="6" s="1"/>
  <c r="O27" i="6" s="1"/>
  <c r="P26" i="6"/>
  <c r="N26" i="6"/>
  <c r="F26" i="6"/>
  <c r="E26" i="6"/>
  <c r="G26" i="6" s="1"/>
  <c r="O26" i="6" s="1"/>
  <c r="E72" i="6" s="1"/>
  <c r="D19" i="8" s="1"/>
  <c r="N24" i="6"/>
  <c r="N23" i="6"/>
  <c r="F23" i="6"/>
  <c r="G23" i="6" s="1"/>
  <c r="O23" i="6" s="1"/>
  <c r="P22" i="6"/>
  <c r="N22" i="6"/>
  <c r="F22" i="6"/>
  <c r="G22" i="6" s="1"/>
  <c r="O22" i="6" s="1"/>
  <c r="N21" i="6"/>
  <c r="F21" i="6"/>
  <c r="E21" i="6"/>
  <c r="G21" i="6" s="1"/>
  <c r="O21" i="6" s="1"/>
  <c r="P20" i="6"/>
  <c r="N20" i="6"/>
  <c r="F20" i="6"/>
  <c r="E20" i="6"/>
  <c r="G20" i="6" s="1"/>
  <c r="O20" i="6" s="1"/>
  <c r="N18" i="6"/>
  <c r="F18" i="6"/>
  <c r="G18" i="6" s="1"/>
  <c r="O18" i="6" s="1"/>
  <c r="N17" i="6"/>
  <c r="F17" i="6"/>
  <c r="E17" i="6"/>
  <c r="G17" i="6" s="1"/>
  <c r="O17" i="6" s="1"/>
  <c r="N16" i="6"/>
  <c r="F16" i="6"/>
  <c r="E16" i="6"/>
  <c r="G16" i="6" s="1"/>
  <c r="O16" i="6" s="1"/>
  <c r="N15" i="6"/>
  <c r="F15" i="6"/>
  <c r="E15" i="6"/>
  <c r="G15" i="6" s="1"/>
  <c r="O15" i="6" s="1"/>
  <c r="E71" i="6" s="1"/>
  <c r="C19" i="8" s="1"/>
  <c r="N13" i="6"/>
  <c r="N12" i="6"/>
  <c r="F12" i="6"/>
  <c r="G12" i="6" s="1"/>
  <c r="O12" i="6" s="1"/>
  <c r="N11" i="6"/>
  <c r="F11" i="6"/>
  <c r="E11" i="6"/>
  <c r="G11" i="6" s="1"/>
  <c r="O11" i="6" s="1"/>
  <c r="N10" i="6"/>
  <c r="F10" i="6"/>
  <c r="E10" i="6"/>
  <c r="G10" i="6" s="1"/>
  <c r="O10" i="6" s="1"/>
  <c r="P9" i="6"/>
  <c r="N9" i="6"/>
  <c r="F9" i="6"/>
  <c r="E9" i="6"/>
  <c r="G9" i="6" s="1"/>
  <c r="O9" i="6" s="1"/>
  <c r="N7" i="6"/>
  <c r="F7" i="6"/>
  <c r="G7" i="6" s="1"/>
  <c r="O7" i="6" s="1"/>
  <c r="N6" i="6"/>
  <c r="F6" i="6"/>
  <c r="E6" i="6"/>
  <c r="G6" i="6" s="1"/>
  <c r="O6" i="6" s="1"/>
  <c r="P5" i="6"/>
  <c r="G6" i="8" s="1"/>
  <c r="N5" i="6"/>
  <c r="F5" i="6"/>
  <c r="E5" i="6"/>
  <c r="G5" i="6" s="1"/>
  <c r="O5" i="6" s="1"/>
  <c r="N4" i="6"/>
  <c r="F4" i="6"/>
  <c r="E4" i="6"/>
  <c r="G4" i="6" s="1"/>
  <c r="O4" i="6" s="1"/>
  <c r="N103" i="5"/>
  <c r="F103" i="5"/>
  <c r="G103" i="5" s="1"/>
  <c r="O103" i="5" s="1"/>
  <c r="P102" i="5"/>
  <c r="N102" i="5"/>
  <c r="F102" i="5"/>
  <c r="G102" i="5" s="1"/>
  <c r="O102" i="5" s="1"/>
  <c r="K101" i="5"/>
  <c r="L101" i="5" s="1"/>
  <c r="N101" i="5" s="1"/>
  <c r="F101" i="5"/>
  <c r="E101" i="5"/>
  <c r="G101" i="5" s="1"/>
  <c r="K100" i="5"/>
  <c r="L100" i="5" s="1"/>
  <c r="N100" i="5" s="1"/>
  <c r="F100" i="5"/>
  <c r="E100" i="5"/>
  <c r="G100" i="5" s="1"/>
  <c r="N98" i="5"/>
  <c r="F98" i="5"/>
  <c r="G98" i="5" s="1"/>
  <c r="O98" i="5" s="1"/>
  <c r="P97" i="5"/>
  <c r="K97" i="5"/>
  <c r="L97" i="5" s="1"/>
  <c r="N97" i="5" s="1"/>
  <c r="F97" i="5"/>
  <c r="E97" i="5"/>
  <c r="G97" i="5" s="1"/>
  <c r="K96" i="5"/>
  <c r="L96" i="5" s="1"/>
  <c r="N96" i="5" s="1"/>
  <c r="F96" i="5"/>
  <c r="E96" i="5"/>
  <c r="G96" i="5" s="1"/>
  <c r="K95" i="5"/>
  <c r="L95" i="5" s="1"/>
  <c r="N95" i="5" s="1"/>
  <c r="F95" i="5"/>
  <c r="E95" i="5"/>
  <c r="G95" i="5" s="1"/>
  <c r="N93" i="5"/>
  <c r="F93" i="5"/>
  <c r="G93" i="5" s="1"/>
  <c r="O93" i="5" s="1"/>
  <c r="P92" i="5"/>
  <c r="K92" i="5"/>
  <c r="L92" i="5" s="1"/>
  <c r="N92" i="5" s="1"/>
  <c r="F92" i="5"/>
  <c r="E92" i="5"/>
  <c r="G92" i="5" s="1"/>
  <c r="K91" i="5"/>
  <c r="L91" i="5" s="1"/>
  <c r="N91" i="5" s="1"/>
  <c r="F91" i="5"/>
  <c r="E91" i="5"/>
  <c r="G91" i="5" s="1"/>
  <c r="K90" i="5"/>
  <c r="L90" i="5" s="1"/>
  <c r="N90" i="5" s="1"/>
  <c r="F90" i="5"/>
  <c r="E90" i="5"/>
  <c r="G90" i="5" s="1"/>
  <c r="N88" i="5"/>
  <c r="F88" i="5"/>
  <c r="G88" i="5" s="1"/>
  <c r="O88" i="5" s="1"/>
  <c r="P87" i="5"/>
  <c r="K87" i="5"/>
  <c r="L87" i="5" s="1"/>
  <c r="N87" i="5" s="1"/>
  <c r="F87" i="5"/>
  <c r="E87" i="5"/>
  <c r="G87" i="5" s="1"/>
  <c r="K86" i="5"/>
  <c r="L86" i="5" s="1"/>
  <c r="N86" i="5" s="1"/>
  <c r="F86" i="5"/>
  <c r="E86" i="5"/>
  <c r="G86" i="5" s="1"/>
  <c r="K85" i="5"/>
  <c r="L85" i="5" s="1"/>
  <c r="N85" i="5" s="1"/>
  <c r="F85" i="5"/>
  <c r="E85" i="5"/>
  <c r="G85" i="5" s="1"/>
  <c r="N83" i="5"/>
  <c r="N82" i="5"/>
  <c r="F82" i="5"/>
  <c r="G82" i="5" s="1"/>
  <c r="O82" i="5" s="1"/>
  <c r="P81" i="5"/>
  <c r="N81" i="5"/>
  <c r="F81" i="5"/>
  <c r="G81" i="5" s="1"/>
  <c r="O81" i="5" s="1"/>
  <c r="K80" i="5"/>
  <c r="L80" i="5" s="1"/>
  <c r="N80" i="5" s="1"/>
  <c r="F80" i="5"/>
  <c r="E80" i="5"/>
  <c r="G80" i="5" s="1"/>
  <c r="K79" i="5"/>
  <c r="L79" i="5" s="1"/>
  <c r="N79" i="5" s="1"/>
  <c r="F79" i="5"/>
  <c r="E79" i="5"/>
  <c r="G79" i="5" s="1"/>
  <c r="N77" i="5"/>
  <c r="F77" i="5"/>
  <c r="G77" i="5" s="1"/>
  <c r="O77" i="5" s="1"/>
  <c r="P76" i="5"/>
  <c r="K76" i="5"/>
  <c r="L76" i="5" s="1"/>
  <c r="N76" i="5" s="1"/>
  <c r="F76" i="5"/>
  <c r="E76" i="5"/>
  <c r="G76" i="5" s="1"/>
  <c r="P75" i="5"/>
  <c r="K75" i="5"/>
  <c r="L75" i="5" s="1"/>
  <c r="N75" i="5" s="1"/>
  <c r="F75" i="5"/>
  <c r="E75" i="5"/>
  <c r="G75" i="5" s="1"/>
  <c r="K74" i="5"/>
  <c r="L74" i="5" s="1"/>
  <c r="N74" i="5" s="1"/>
  <c r="F74" i="5"/>
  <c r="E74" i="5"/>
  <c r="G74" i="5" s="1"/>
  <c r="N72" i="5"/>
  <c r="F72" i="5"/>
  <c r="G72" i="5" s="1"/>
  <c r="O72" i="5" s="1"/>
  <c r="K71" i="5"/>
  <c r="L71" i="5" s="1"/>
  <c r="N71" i="5" s="1"/>
  <c r="F71" i="5"/>
  <c r="E71" i="5"/>
  <c r="G71" i="5" s="1"/>
  <c r="P70" i="5"/>
  <c r="K70" i="5"/>
  <c r="L70" i="5" s="1"/>
  <c r="N70" i="5" s="1"/>
  <c r="F70" i="5"/>
  <c r="E70" i="5"/>
  <c r="G70" i="5" s="1"/>
  <c r="P69" i="5"/>
  <c r="K69" i="5"/>
  <c r="L69" i="5" s="1"/>
  <c r="N69" i="5" s="1"/>
  <c r="F69" i="5"/>
  <c r="E69" i="5"/>
  <c r="G69" i="5" s="1"/>
  <c r="N67" i="5"/>
  <c r="F67" i="5"/>
  <c r="G67" i="5" s="1"/>
  <c r="O67" i="5" s="1"/>
  <c r="K66" i="5"/>
  <c r="L66" i="5" s="1"/>
  <c r="N66" i="5" s="1"/>
  <c r="F66" i="5"/>
  <c r="E66" i="5"/>
  <c r="G66" i="5" s="1"/>
  <c r="P65" i="5"/>
  <c r="K65" i="5"/>
  <c r="L65" i="5" s="1"/>
  <c r="N65" i="5" s="1"/>
  <c r="F65" i="5"/>
  <c r="E65" i="5"/>
  <c r="G65" i="5" s="1"/>
  <c r="K64" i="5"/>
  <c r="L64" i="5" s="1"/>
  <c r="N64" i="5" s="1"/>
  <c r="F64" i="5"/>
  <c r="E64" i="5"/>
  <c r="G64" i="5" s="1"/>
  <c r="N62" i="5"/>
  <c r="N61" i="5"/>
  <c r="F61" i="5"/>
  <c r="G61" i="5" s="1"/>
  <c r="O61" i="5" s="1"/>
  <c r="K60" i="5"/>
  <c r="L60" i="5" s="1"/>
  <c r="N60" i="5" s="1"/>
  <c r="F60" i="5"/>
  <c r="E60" i="5"/>
  <c r="G60" i="5" s="1"/>
  <c r="P59" i="5"/>
  <c r="K59" i="5"/>
  <c r="L59" i="5" s="1"/>
  <c r="N59" i="5" s="1"/>
  <c r="F59" i="5"/>
  <c r="E59" i="5"/>
  <c r="G59" i="5" s="1"/>
  <c r="P58" i="5"/>
  <c r="K58" i="5"/>
  <c r="L58" i="5" s="1"/>
  <c r="N58" i="5" s="1"/>
  <c r="F58" i="5"/>
  <c r="E58" i="5"/>
  <c r="G58" i="5" s="1"/>
  <c r="N56" i="5"/>
  <c r="F56" i="5"/>
  <c r="G56" i="5" s="1"/>
  <c r="O56" i="5" s="1"/>
  <c r="K55" i="5"/>
  <c r="L55" i="5" s="1"/>
  <c r="N55" i="5" s="1"/>
  <c r="F55" i="5"/>
  <c r="E55" i="5"/>
  <c r="G55" i="5" s="1"/>
  <c r="P54" i="5"/>
  <c r="K54" i="5"/>
  <c r="L54" i="5" s="1"/>
  <c r="N54" i="5" s="1"/>
  <c r="F54" i="5"/>
  <c r="E54" i="5"/>
  <c r="G54" i="5" s="1"/>
  <c r="N52" i="5"/>
  <c r="F52" i="5"/>
  <c r="G52" i="5" s="1"/>
  <c r="O52" i="5" s="1"/>
  <c r="K51" i="5"/>
  <c r="L51" i="5" s="1"/>
  <c r="N51" i="5" s="1"/>
  <c r="F51" i="5"/>
  <c r="E51" i="5"/>
  <c r="G51" i="5" s="1"/>
  <c r="K50" i="5"/>
  <c r="L50" i="5" s="1"/>
  <c r="N50" i="5" s="1"/>
  <c r="F50" i="5"/>
  <c r="E50" i="5"/>
  <c r="G50" i="5" s="1"/>
  <c r="K49" i="5"/>
  <c r="L49" i="5" s="1"/>
  <c r="N49" i="5" s="1"/>
  <c r="F49" i="5"/>
  <c r="E49" i="5"/>
  <c r="G49" i="5" s="1"/>
  <c r="N47" i="5"/>
  <c r="F47" i="5"/>
  <c r="G47" i="5" s="1"/>
  <c r="O47" i="5" s="1"/>
  <c r="P46" i="5"/>
  <c r="K46" i="5"/>
  <c r="L46" i="5" s="1"/>
  <c r="N46" i="5" s="1"/>
  <c r="F46" i="5"/>
  <c r="E46" i="5"/>
  <c r="G46" i="5" s="1"/>
  <c r="K45" i="5"/>
  <c r="L45" i="5" s="1"/>
  <c r="N45" i="5" s="1"/>
  <c r="F45" i="5"/>
  <c r="E45" i="5"/>
  <c r="G45" i="5" s="1"/>
  <c r="P44" i="5"/>
  <c r="K44" i="5"/>
  <c r="L44" i="5" s="1"/>
  <c r="N44" i="5" s="1"/>
  <c r="F44" i="5"/>
  <c r="E44" i="5"/>
  <c r="G44" i="5" s="1"/>
  <c r="N42" i="5"/>
  <c r="N41" i="5"/>
  <c r="F41" i="5"/>
  <c r="G41" i="5" s="1"/>
  <c r="O41" i="5" s="1"/>
  <c r="P40" i="5"/>
  <c r="K40" i="5"/>
  <c r="L40" i="5" s="1"/>
  <c r="N40" i="5" s="1"/>
  <c r="F40" i="5"/>
  <c r="E40" i="5"/>
  <c r="G40" i="5" s="1"/>
  <c r="K39" i="5"/>
  <c r="L39" i="5" s="1"/>
  <c r="N39" i="5" s="1"/>
  <c r="F39" i="5"/>
  <c r="E39" i="5"/>
  <c r="G39" i="5" s="1"/>
  <c r="N37" i="5"/>
  <c r="F37" i="5"/>
  <c r="G37" i="5" s="1"/>
  <c r="O37" i="5" s="1"/>
  <c r="K36" i="5"/>
  <c r="L36" i="5" s="1"/>
  <c r="N36" i="5" s="1"/>
  <c r="F36" i="5"/>
  <c r="E36" i="5"/>
  <c r="G36" i="5" s="1"/>
  <c r="P35" i="5"/>
  <c r="K35" i="5"/>
  <c r="L35" i="5" s="1"/>
  <c r="N35" i="5" s="1"/>
  <c r="F35" i="5"/>
  <c r="E35" i="5"/>
  <c r="G35" i="5" s="1"/>
  <c r="P34" i="5"/>
  <c r="K34" i="5"/>
  <c r="L34" i="5" s="1"/>
  <c r="N34" i="5" s="1"/>
  <c r="F34" i="5"/>
  <c r="E34" i="5"/>
  <c r="G34" i="5" s="1"/>
  <c r="N32" i="5"/>
  <c r="F32" i="5"/>
  <c r="G32" i="5" s="1"/>
  <c r="O32" i="5" s="1"/>
  <c r="P31" i="5"/>
  <c r="K31" i="5"/>
  <c r="L31" i="5" s="1"/>
  <c r="N31" i="5" s="1"/>
  <c r="F31" i="5"/>
  <c r="E31" i="5"/>
  <c r="G31" i="5" s="1"/>
  <c r="K30" i="5"/>
  <c r="L30" i="5" s="1"/>
  <c r="N30" i="5" s="1"/>
  <c r="F30" i="5"/>
  <c r="E30" i="5"/>
  <c r="G30" i="5" s="1"/>
  <c r="K29" i="5"/>
  <c r="L29" i="5" s="1"/>
  <c r="N29" i="5" s="1"/>
  <c r="F29" i="5"/>
  <c r="E29" i="5"/>
  <c r="G29" i="5" s="1"/>
  <c r="N27" i="5"/>
  <c r="N26" i="5"/>
  <c r="F26" i="5"/>
  <c r="G26" i="5" s="1"/>
  <c r="O26" i="5" s="1"/>
  <c r="P25" i="5"/>
  <c r="K25" i="5"/>
  <c r="L25" i="5" s="1"/>
  <c r="N25" i="5" s="1"/>
  <c r="F25" i="5"/>
  <c r="E25" i="5"/>
  <c r="G25" i="5" s="1"/>
  <c r="P24" i="5"/>
  <c r="K24" i="5"/>
  <c r="L24" i="5" s="1"/>
  <c r="N24" i="5" s="1"/>
  <c r="F24" i="5"/>
  <c r="E24" i="5"/>
  <c r="G24" i="5" s="1"/>
  <c r="K23" i="5"/>
  <c r="L23" i="5" s="1"/>
  <c r="N23" i="5" s="1"/>
  <c r="F23" i="5"/>
  <c r="E23" i="5"/>
  <c r="G23" i="5" s="1"/>
  <c r="N21" i="5"/>
  <c r="F21" i="5"/>
  <c r="G21" i="5" s="1"/>
  <c r="O21" i="5" s="1"/>
  <c r="P20" i="5"/>
  <c r="K20" i="5"/>
  <c r="L20" i="5" s="1"/>
  <c r="N20" i="5" s="1"/>
  <c r="F20" i="5"/>
  <c r="E20" i="5"/>
  <c r="G20" i="5" s="1"/>
  <c r="K19" i="5"/>
  <c r="L19" i="5" s="1"/>
  <c r="N19" i="5" s="1"/>
  <c r="F19" i="5"/>
  <c r="E19" i="5"/>
  <c r="G19" i="5" s="1"/>
  <c r="K18" i="5"/>
  <c r="L18" i="5" s="1"/>
  <c r="N18" i="5" s="1"/>
  <c r="F18" i="5"/>
  <c r="E18" i="5"/>
  <c r="G18" i="5" s="1"/>
  <c r="K17" i="5"/>
  <c r="L17" i="5" s="1"/>
  <c r="N17" i="5" s="1"/>
  <c r="F17" i="5"/>
  <c r="E17" i="5"/>
  <c r="G17" i="5" s="1"/>
  <c r="N15" i="5"/>
  <c r="F15" i="5"/>
  <c r="G15" i="5" s="1"/>
  <c r="O15" i="5" s="1"/>
  <c r="K14" i="5"/>
  <c r="L14" i="5" s="1"/>
  <c r="N14" i="5" s="1"/>
  <c r="F14" i="5"/>
  <c r="E14" i="5"/>
  <c r="G14" i="5" s="1"/>
  <c r="K13" i="5"/>
  <c r="L13" i="5" s="1"/>
  <c r="N13" i="5" s="1"/>
  <c r="F13" i="5"/>
  <c r="E13" i="5"/>
  <c r="G13" i="5" s="1"/>
  <c r="P12" i="5"/>
  <c r="K12" i="5"/>
  <c r="L12" i="5" s="1"/>
  <c r="N12" i="5" s="1"/>
  <c r="F12" i="5"/>
  <c r="E12" i="5"/>
  <c r="G12" i="5" s="1"/>
  <c r="K11" i="5"/>
  <c r="L11" i="5" s="1"/>
  <c r="N11" i="5" s="1"/>
  <c r="F11" i="5"/>
  <c r="E11" i="5"/>
  <c r="G11" i="5" s="1"/>
  <c r="N9" i="5"/>
  <c r="F9" i="5"/>
  <c r="G9" i="5" s="1"/>
  <c r="O9" i="5" s="1"/>
  <c r="P8" i="5"/>
  <c r="K8" i="5"/>
  <c r="L8" i="5" s="1"/>
  <c r="N8" i="5" s="1"/>
  <c r="F8" i="5"/>
  <c r="E8" i="5"/>
  <c r="G8" i="5" s="1"/>
  <c r="P7" i="5"/>
  <c r="K7" i="5"/>
  <c r="L7" i="5" s="1"/>
  <c r="N7" i="5" s="1"/>
  <c r="F7" i="5"/>
  <c r="E7" i="5"/>
  <c r="G7" i="5" s="1"/>
  <c r="K6" i="5"/>
  <c r="L6" i="5" s="1"/>
  <c r="N6" i="5" s="1"/>
  <c r="F6" i="5"/>
  <c r="E6" i="5"/>
  <c r="G6" i="5" s="1"/>
  <c r="K5" i="5"/>
  <c r="L5" i="5" s="1"/>
  <c r="N5" i="5" s="1"/>
  <c r="F5" i="5"/>
  <c r="E5" i="5"/>
  <c r="G5" i="5" s="1"/>
  <c r="P4" i="5"/>
  <c r="G5" i="8" s="1"/>
  <c r="K4" i="5"/>
  <c r="L4" i="5" s="1"/>
  <c r="N4" i="5" s="1"/>
  <c r="F4" i="5"/>
  <c r="E4" i="5"/>
  <c r="G4" i="5" s="1"/>
  <c r="O4" i="5" s="1"/>
  <c r="K56" i="4"/>
  <c r="L56" i="4" s="1"/>
  <c r="N56" i="4" s="1"/>
  <c r="F56" i="4"/>
  <c r="G56" i="4" s="1"/>
  <c r="K55" i="4"/>
  <c r="L55" i="4" s="1"/>
  <c r="N55" i="4" s="1"/>
  <c r="F55" i="4"/>
  <c r="E55" i="4"/>
  <c r="G55" i="4" s="1"/>
  <c r="K54" i="4"/>
  <c r="L54" i="4" s="1"/>
  <c r="N54" i="4" s="1"/>
  <c r="F54" i="4"/>
  <c r="E54" i="4"/>
  <c r="G54" i="4" s="1"/>
  <c r="P53" i="4"/>
  <c r="K53" i="4"/>
  <c r="L53" i="4" s="1"/>
  <c r="N53" i="4" s="1"/>
  <c r="F53" i="4"/>
  <c r="E53" i="4"/>
  <c r="G53" i="4" s="1"/>
  <c r="K51" i="4"/>
  <c r="L51" i="4" s="1"/>
  <c r="N51" i="4" s="1"/>
  <c r="F51" i="4"/>
  <c r="G51" i="4" s="1"/>
  <c r="K50" i="4"/>
  <c r="L50" i="4" s="1"/>
  <c r="N50" i="4" s="1"/>
  <c r="F50" i="4"/>
  <c r="E50" i="4"/>
  <c r="G50" i="4" s="1"/>
  <c r="K49" i="4"/>
  <c r="L49" i="4" s="1"/>
  <c r="N49" i="4" s="1"/>
  <c r="F49" i="4"/>
  <c r="E49" i="4"/>
  <c r="G49" i="4" s="1"/>
  <c r="K48" i="4"/>
  <c r="L48" i="4" s="1"/>
  <c r="N48" i="4" s="1"/>
  <c r="F48" i="4"/>
  <c r="E48" i="4"/>
  <c r="G48" i="4" s="1"/>
  <c r="N46" i="4"/>
  <c r="K45" i="4"/>
  <c r="L45" i="4" s="1"/>
  <c r="N45" i="4" s="1"/>
  <c r="F45" i="4"/>
  <c r="G45" i="4" s="1"/>
  <c r="K44" i="4"/>
  <c r="L44" i="4" s="1"/>
  <c r="N44" i="4" s="1"/>
  <c r="F44" i="4"/>
  <c r="E44" i="4"/>
  <c r="G44" i="4" s="1"/>
  <c r="K43" i="4"/>
  <c r="L43" i="4" s="1"/>
  <c r="N43" i="4" s="1"/>
  <c r="F43" i="4"/>
  <c r="E43" i="4"/>
  <c r="G43" i="4" s="1"/>
  <c r="K42" i="4"/>
  <c r="L42" i="4" s="1"/>
  <c r="N42" i="4" s="1"/>
  <c r="F42" i="4"/>
  <c r="E42" i="4"/>
  <c r="G42" i="4" s="1"/>
  <c r="K40" i="4"/>
  <c r="L40" i="4" s="1"/>
  <c r="N40" i="4" s="1"/>
  <c r="F40" i="4"/>
  <c r="G40" i="4" s="1"/>
  <c r="K39" i="4"/>
  <c r="L39" i="4" s="1"/>
  <c r="N39" i="4" s="1"/>
  <c r="F39" i="4"/>
  <c r="E39" i="4"/>
  <c r="G39" i="4" s="1"/>
  <c r="K38" i="4"/>
  <c r="L38" i="4" s="1"/>
  <c r="N38" i="4" s="1"/>
  <c r="F38" i="4"/>
  <c r="E38" i="4"/>
  <c r="G38" i="4" s="1"/>
  <c r="K37" i="4"/>
  <c r="L37" i="4" s="1"/>
  <c r="N37" i="4" s="1"/>
  <c r="F37" i="4"/>
  <c r="E37" i="4"/>
  <c r="G37" i="4" s="1"/>
  <c r="N35" i="4"/>
  <c r="K34" i="4"/>
  <c r="L34" i="4" s="1"/>
  <c r="N34" i="4" s="1"/>
  <c r="F34" i="4"/>
  <c r="G34" i="4" s="1"/>
  <c r="P33" i="4"/>
  <c r="K33" i="4"/>
  <c r="L33" i="4" s="1"/>
  <c r="N33" i="4" s="1"/>
  <c r="F33" i="4"/>
  <c r="E33" i="4"/>
  <c r="G33" i="4" s="1"/>
  <c r="K32" i="4"/>
  <c r="L32" i="4" s="1"/>
  <c r="N32" i="4" s="1"/>
  <c r="F32" i="4"/>
  <c r="E32" i="4"/>
  <c r="G32" i="4" s="1"/>
  <c r="P31" i="4"/>
  <c r="K31" i="4"/>
  <c r="L31" i="4" s="1"/>
  <c r="N31" i="4" s="1"/>
  <c r="F31" i="4"/>
  <c r="E31" i="4"/>
  <c r="G31" i="4" s="1"/>
  <c r="K29" i="4"/>
  <c r="L29" i="4" s="1"/>
  <c r="N29" i="4" s="1"/>
  <c r="F29" i="4"/>
  <c r="G29" i="4" s="1"/>
  <c r="P28" i="4"/>
  <c r="K28" i="4"/>
  <c r="L28" i="4" s="1"/>
  <c r="N28" i="4" s="1"/>
  <c r="F28" i="4"/>
  <c r="E28" i="4"/>
  <c r="G28" i="4" s="1"/>
  <c r="P27" i="4"/>
  <c r="K27" i="4"/>
  <c r="L27" i="4" s="1"/>
  <c r="N27" i="4" s="1"/>
  <c r="F27" i="4"/>
  <c r="E27" i="4"/>
  <c r="G27" i="4" s="1"/>
  <c r="P26" i="4"/>
  <c r="K26" i="4"/>
  <c r="L26" i="4" s="1"/>
  <c r="N26" i="4" s="1"/>
  <c r="F26" i="4"/>
  <c r="E26" i="4"/>
  <c r="G26" i="4" s="1"/>
  <c r="N24" i="4"/>
  <c r="K23" i="4"/>
  <c r="L23" i="4" s="1"/>
  <c r="N23" i="4" s="1"/>
  <c r="F23" i="4"/>
  <c r="G23" i="4" s="1"/>
  <c r="K22" i="4"/>
  <c r="L22" i="4" s="1"/>
  <c r="N22" i="4" s="1"/>
  <c r="F22" i="4"/>
  <c r="E22" i="4"/>
  <c r="G22" i="4" s="1"/>
  <c r="P21" i="4"/>
  <c r="K21" i="4"/>
  <c r="L21" i="4" s="1"/>
  <c r="N21" i="4" s="1"/>
  <c r="F21" i="4"/>
  <c r="E21" i="4"/>
  <c r="G21" i="4" s="1"/>
  <c r="P20" i="4"/>
  <c r="K20" i="4"/>
  <c r="L20" i="4" s="1"/>
  <c r="N20" i="4" s="1"/>
  <c r="F20" i="4"/>
  <c r="E20" i="4"/>
  <c r="G20" i="4" s="1"/>
  <c r="K18" i="4"/>
  <c r="L18" i="4" s="1"/>
  <c r="N18" i="4" s="1"/>
  <c r="F18" i="4"/>
  <c r="G18" i="4" s="1"/>
  <c r="P17" i="4"/>
  <c r="K17" i="4"/>
  <c r="L17" i="4" s="1"/>
  <c r="N17" i="4" s="1"/>
  <c r="F17" i="4"/>
  <c r="E17" i="4"/>
  <c r="G17" i="4" s="1"/>
  <c r="P16" i="4"/>
  <c r="K16" i="4"/>
  <c r="L16" i="4" s="1"/>
  <c r="N16" i="4" s="1"/>
  <c r="F16" i="4"/>
  <c r="E16" i="4"/>
  <c r="G16" i="4" s="1"/>
  <c r="P15" i="4"/>
  <c r="K15" i="4"/>
  <c r="L15" i="4" s="1"/>
  <c r="N15" i="4" s="1"/>
  <c r="F15" i="4"/>
  <c r="E15" i="4"/>
  <c r="G15" i="4" s="1"/>
  <c r="N13" i="4"/>
  <c r="K12" i="4"/>
  <c r="L12" i="4" s="1"/>
  <c r="N12" i="4" s="1"/>
  <c r="F12" i="4"/>
  <c r="G12" i="4" s="1"/>
  <c r="P11" i="4"/>
  <c r="K11" i="4"/>
  <c r="L11" i="4" s="1"/>
  <c r="N11" i="4" s="1"/>
  <c r="F11" i="4"/>
  <c r="E11" i="4"/>
  <c r="G11" i="4" s="1"/>
  <c r="K10" i="4"/>
  <c r="L10" i="4" s="1"/>
  <c r="N10" i="4" s="1"/>
  <c r="F10" i="4"/>
  <c r="E10" i="4"/>
  <c r="G10" i="4" s="1"/>
  <c r="K9" i="4"/>
  <c r="L9" i="4" s="1"/>
  <c r="N9" i="4" s="1"/>
  <c r="F9" i="4"/>
  <c r="E9" i="4"/>
  <c r="G9" i="4" s="1"/>
  <c r="K7" i="4"/>
  <c r="L7" i="4" s="1"/>
  <c r="N7" i="4" s="1"/>
  <c r="F7" i="4"/>
  <c r="G7" i="4" s="1"/>
  <c r="K6" i="4"/>
  <c r="L6" i="4" s="1"/>
  <c r="N6" i="4" s="1"/>
  <c r="F6" i="4"/>
  <c r="E6" i="4"/>
  <c r="G6" i="4" s="1"/>
  <c r="P5" i="4"/>
  <c r="K5" i="4"/>
  <c r="L5" i="4" s="1"/>
  <c r="N5" i="4" s="1"/>
  <c r="F5" i="4"/>
  <c r="E5" i="4"/>
  <c r="G5" i="4" s="1"/>
  <c r="P4" i="4"/>
  <c r="G4" i="8" s="1"/>
  <c r="K4" i="4"/>
  <c r="L4" i="4" s="1"/>
  <c r="N4" i="4" s="1"/>
  <c r="F4" i="4"/>
  <c r="E4" i="4"/>
  <c r="G4" i="4" s="1"/>
  <c r="K62" i="3"/>
  <c r="L62" i="3" s="1"/>
  <c r="N62" i="3" s="1"/>
  <c r="F62" i="3"/>
  <c r="G62" i="3" s="1"/>
  <c r="K61" i="3"/>
  <c r="L61" i="3" s="1"/>
  <c r="N61" i="3" s="1"/>
  <c r="F61" i="3"/>
  <c r="E61" i="3"/>
  <c r="G61" i="3" s="1"/>
  <c r="P60" i="3"/>
  <c r="K60" i="3"/>
  <c r="L60" i="3" s="1"/>
  <c r="N60" i="3" s="1"/>
  <c r="F60" i="3"/>
  <c r="E60" i="3"/>
  <c r="G60" i="3" s="1"/>
  <c r="K59" i="3"/>
  <c r="L59" i="3" s="1"/>
  <c r="N59" i="3" s="1"/>
  <c r="F59" i="3"/>
  <c r="E59" i="3"/>
  <c r="G59" i="3" s="1"/>
  <c r="P57" i="3"/>
  <c r="K57" i="3"/>
  <c r="L57" i="3" s="1"/>
  <c r="N57" i="3" s="1"/>
  <c r="F57" i="3"/>
  <c r="E57" i="3"/>
  <c r="G57" i="3" s="1"/>
  <c r="P56" i="3"/>
  <c r="K56" i="3"/>
  <c r="L56" i="3" s="1"/>
  <c r="N56" i="3" s="1"/>
  <c r="F56" i="3"/>
  <c r="E56" i="3" a="1"/>
  <c r="E56" i="3" s="1"/>
  <c r="G56" i="3" s="1"/>
  <c r="P55" i="3"/>
  <c r="K55" i="3"/>
  <c r="L55" i="3" s="1"/>
  <c r="N55" i="3" s="1"/>
  <c r="F55" i="3"/>
  <c r="E55" i="3" a="1"/>
  <c r="E55" i="3" s="1"/>
  <c r="G55" i="3" s="1"/>
  <c r="P54" i="3"/>
  <c r="K54" i="3"/>
  <c r="L54" i="3" s="1"/>
  <c r="N54" i="3" s="1"/>
  <c r="F54" i="3"/>
  <c r="E54" i="3"/>
  <c r="G54" i="3" s="1"/>
  <c r="P52" i="3"/>
  <c r="K52" i="3"/>
  <c r="L52" i="3" s="1"/>
  <c r="N52" i="3" s="1"/>
  <c r="F52" i="3"/>
  <c r="E52" i="3"/>
  <c r="G52" i="3" s="1"/>
  <c r="P51" i="3"/>
  <c r="K51" i="3"/>
  <c r="L51" i="3" s="1"/>
  <c r="N51" i="3" s="1"/>
  <c r="F51" i="3"/>
  <c r="E51" i="3"/>
  <c r="G51" i="3" s="1"/>
  <c r="P50" i="3"/>
  <c r="K50" i="3"/>
  <c r="L50" i="3" s="1"/>
  <c r="N50" i="3" s="1"/>
  <c r="F50" i="3"/>
  <c r="E50" i="3" a="1"/>
  <c r="E50" i="3" s="1"/>
  <c r="G50" i="3" s="1"/>
  <c r="P49" i="3"/>
  <c r="K49" i="3"/>
  <c r="L49" i="3" s="1"/>
  <c r="N49" i="3" s="1"/>
  <c r="F49" i="3"/>
  <c r="E49" i="3"/>
  <c r="G49" i="3" s="1"/>
  <c r="P48" i="3"/>
  <c r="K48" i="3"/>
  <c r="L48" i="3" s="1"/>
  <c r="N48" i="3" s="1"/>
  <c r="F48" i="3"/>
  <c r="E48" i="3"/>
  <c r="G48" i="3" s="1"/>
  <c r="P47" i="3"/>
  <c r="K47" i="3"/>
  <c r="L47" i="3" s="1"/>
  <c r="N47" i="3" s="1"/>
  <c r="F47" i="3"/>
  <c r="E47" i="3"/>
  <c r="G47" i="3" s="1"/>
  <c r="K45" i="3"/>
  <c r="L45" i="3" s="1"/>
  <c r="N45" i="3" s="1"/>
  <c r="F45" i="3"/>
  <c r="G45" i="3" s="1"/>
  <c r="K44" i="3"/>
  <c r="L44" i="3" s="1"/>
  <c r="N44" i="3" s="1"/>
  <c r="F44" i="3"/>
  <c r="E44" i="3"/>
  <c r="G44" i="3" s="1"/>
  <c r="K43" i="3"/>
  <c r="L43" i="3" s="1"/>
  <c r="N43" i="3" s="1"/>
  <c r="F43" i="3"/>
  <c r="E43" i="3"/>
  <c r="G43" i="3" s="1"/>
  <c r="K42" i="3"/>
  <c r="L42" i="3" s="1"/>
  <c r="N42" i="3" s="1"/>
  <c r="F42" i="3"/>
  <c r="E42" i="3"/>
  <c r="G42" i="3" s="1"/>
  <c r="K41" i="3"/>
  <c r="L41" i="3" s="1"/>
  <c r="N41" i="3" s="1"/>
  <c r="F41" i="3"/>
  <c r="G41" i="3" s="1"/>
  <c r="N39" i="3"/>
  <c r="K38" i="3"/>
  <c r="L38" i="3" s="1"/>
  <c r="N38" i="3" s="1"/>
  <c r="F38" i="3"/>
  <c r="E38" i="3"/>
  <c r="G38" i="3" s="1"/>
  <c r="K37" i="3"/>
  <c r="L37" i="3" s="1"/>
  <c r="N37" i="3" s="1"/>
  <c r="F37" i="3"/>
  <c r="E37" i="3"/>
  <c r="G37" i="3" s="1"/>
  <c r="K36" i="3"/>
  <c r="L36" i="3" s="1"/>
  <c r="N36" i="3" s="1"/>
  <c r="F36" i="3"/>
  <c r="E36" i="3"/>
  <c r="G36" i="3" s="1"/>
  <c r="K35" i="3"/>
  <c r="L35" i="3" s="1"/>
  <c r="N35" i="3" s="1"/>
  <c r="F35" i="3"/>
  <c r="E35" i="3"/>
  <c r="G35" i="3" s="1"/>
  <c r="P34" i="3"/>
  <c r="K34" i="3"/>
  <c r="L34" i="3" s="1"/>
  <c r="N34" i="3" s="1"/>
  <c r="F34" i="3"/>
  <c r="E34" i="3"/>
  <c r="G34" i="3" s="1"/>
  <c r="K33" i="3"/>
  <c r="L33" i="3" s="1"/>
  <c r="N33" i="3" s="1"/>
  <c r="F33" i="3"/>
  <c r="E33" i="3"/>
  <c r="G33" i="3" s="1"/>
  <c r="K32" i="3"/>
  <c r="L32" i="3" s="1"/>
  <c r="N32" i="3" s="1"/>
  <c r="F32" i="3"/>
  <c r="E32" i="3"/>
  <c r="G32" i="3" s="1"/>
  <c r="P31" i="3"/>
  <c r="K31" i="3"/>
  <c r="L31" i="3" s="1"/>
  <c r="N31" i="3" s="1"/>
  <c r="F31" i="3"/>
  <c r="E31" i="3"/>
  <c r="G31" i="3" s="1"/>
  <c r="N29" i="3"/>
  <c r="K28" i="3"/>
  <c r="L28" i="3" s="1"/>
  <c r="N28" i="3" s="1"/>
  <c r="F28" i="3"/>
  <c r="G28" i="3" s="1"/>
  <c r="K27" i="3"/>
  <c r="L27" i="3" s="1"/>
  <c r="N27" i="3" s="1"/>
  <c r="F27" i="3"/>
  <c r="E27" i="3"/>
  <c r="G27" i="3" s="1"/>
  <c r="K26" i="3"/>
  <c r="L26" i="3" s="1"/>
  <c r="N26" i="3" s="1"/>
  <c r="F26" i="3"/>
  <c r="E26" i="3"/>
  <c r="G26" i="3" s="1"/>
  <c r="P25" i="3"/>
  <c r="K25" i="3"/>
  <c r="L25" i="3" s="1"/>
  <c r="N25" i="3" s="1"/>
  <c r="F25" i="3"/>
  <c r="E25" i="3"/>
  <c r="G25" i="3" s="1"/>
  <c r="K24" i="3"/>
  <c r="L24" i="3" s="1"/>
  <c r="N24" i="3" s="1"/>
  <c r="F24" i="3"/>
  <c r="E24" i="3"/>
  <c r="G24" i="3" s="1"/>
  <c r="K23" i="3"/>
  <c r="L23" i="3" s="1"/>
  <c r="N23" i="3" s="1"/>
  <c r="F23" i="3"/>
  <c r="E23" i="3"/>
  <c r="G23" i="3" s="1"/>
  <c r="K22" i="3"/>
  <c r="L22" i="3" s="1"/>
  <c r="N22" i="3" s="1"/>
  <c r="F22" i="3"/>
  <c r="E22" i="3"/>
  <c r="G22" i="3" s="1"/>
  <c r="P21" i="3"/>
  <c r="K21" i="3"/>
  <c r="L21" i="3" s="1"/>
  <c r="N21" i="3" s="1"/>
  <c r="F21" i="3"/>
  <c r="E21" i="3"/>
  <c r="G21" i="3" s="1"/>
  <c r="N19" i="3"/>
  <c r="K18" i="3"/>
  <c r="L18" i="3" s="1"/>
  <c r="N18" i="3" s="1"/>
  <c r="F18" i="3"/>
  <c r="G18" i="3" s="1"/>
  <c r="K17" i="3"/>
  <c r="L17" i="3" s="1"/>
  <c r="N17" i="3" s="1"/>
  <c r="F17" i="3"/>
  <c r="E17" i="3"/>
  <c r="G17" i="3" s="1"/>
  <c r="K16" i="3"/>
  <c r="L16" i="3" s="1"/>
  <c r="N16" i="3" s="1"/>
  <c r="F16" i="3"/>
  <c r="E16" i="3"/>
  <c r="G16" i="3" s="1"/>
  <c r="P15" i="3"/>
  <c r="K15" i="3"/>
  <c r="L15" i="3" s="1"/>
  <c r="N15" i="3" s="1"/>
  <c r="F15" i="3"/>
  <c r="E15" i="3"/>
  <c r="G15" i="3" s="1"/>
  <c r="K14" i="3"/>
  <c r="L14" i="3" s="1"/>
  <c r="N14" i="3" s="1"/>
  <c r="F14" i="3"/>
  <c r="E14" i="3"/>
  <c r="G14" i="3" s="1"/>
  <c r="P13" i="3"/>
  <c r="K13" i="3"/>
  <c r="L13" i="3" s="1"/>
  <c r="N13" i="3" s="1"/>
  <c r="F13" i="3"/>
  <c r="E13" i="3"/>
  <c r="G13" i="3" s="1"/>
  <c r="K12" i="3"/>
  <c r="L12" i="3" s="1"/>
  <c r="N12" i="3" s="1"/>
  <c r="F12" i="3"/>
  <c r="E12" i="3"/>
  <c r="G12" i="3" s="1"/>
  <c r="P11" i="3"/>
  <c r="K11" i="3"/>
  <c r="L11" i="3" s="1"/>
  <c r="N11" i="3" s="1"/>
  <c r="F11" i="3"/>
  <c r="E11" i="3"/>
  <c r="G11" i="3" s="1"/>
  <c r="N9" i="3"/>
  <c r="K8" i="3"/>
  <c r="L8" i="3" s="1"/>
  <c r="N8" i="3" s="1"/>
  <c r="F8" i="3"/>
  <c r="E8" i="3"/>
  <c r="G8" i="3" s="1"/>
  <c r="K7" i="3"/>
  <c r="L7" i="3" s="1"/>
  <c r="N7" i="3" s="1"/>
  <c r="F7" i="3"/>
  <c r="E7" i="3"/>
  <c r="G7" i="3" s="1"/>
  <c r="P6" i="3"/>
  <c r="G3" i="8" s="1"/>
  <c r="K6" i="3"/>
  <c r="L6" i="3" s="1"/>
  <c r="N6" i="3" s="1"/>
  <c r="F6" i="3"/>
  <c r="E6" i="3"/>
  <c r="G6" i="3" s="1"/>
  <c r="K5" i="3"/>
  <c r="L5" i="3" s="1"/>
  <c r="N5" i="3" s="1"/>
  <c r="F5" i="3"/>
  <c r="E5" i="3"/>
  <c r="G5" i="3" s="1"/>
  <c r="K4" i="3"/>
  <c r="L4" i="3" s="1"/>
  <c r="N4" i="3" s="1"/>
  <c r="F4" i="3"/>
  <c r="E4" i="3"/>
  <c r="G4" i="3" s="1"/>
  <c r="K85" i="2"/>
  <c r="L85" i="2" s="1"/>
  <c r="N85" i="2" s="1"/>
  <c r="F85" i="2"/>
  <c r="G85" i="2" s="1"/>
  <c r="K84" i="2"/>
  <c r="L84" i="2" s="1"/>
  <c r="N84" i="2" s="1"/>
  <c r="F84" i="2"/>
  <c r="E84" i="2"/>
  <c r="G84" i="2" s="1"/>
  <c r="P83" i="2"/>
  <c r="K83" i="2"/>
  <c r="L83" i="2" s="1"/>
  <c r="N83" i="2" s="1"/>
  <c r="F83" i="2"/>
  <c r="E83" i="2"/>
  <c r="G83" i="2" s="1"/>
  <c r="K82" i="2"/>
  <c r="L82" i="2" s="1"/>
  <c r="N82" i="2" s="1"/>
  <c r="F82" i="2"/>
  <c r="E82" i="2"/>
  <c r="G82" i="2" s="1"/>
  <c r="P80" i="2"/>
  <c r="K80" i="2"/>
  <c r="L80" i="2" s="1"/>
  <c r="N80" i="2" s="1"/>
  <c r="F80" i="2"/>
  <c r="E80" i="2"/>
  <c r="G80" i="2" s="1"/>
  <c r="P79" i="2"/>
  <c r="K79" i="2"/>
  <c r="L79" i="2" s="1"/>
  <c r="N79" i="2" s="1"/>
  <c r="F79" i="2"/>
  <c r="G79" i="2" s="1"/>
  <c r="E79" i="2" a="1"/>
  <c r="E79" i="2"/>
  <c r="P78" i="2"/>
  <c r="K78" i="2"/>
  <c r="L78" i="2" s="1"/>
  <c r="N78" i="2" s="1"/>
  <c r="F78" i="2"/>
  <c r="E78" i="2" a="1"/>
  <c r="E78" i="2"/>
  <c r="G78" i="2" s="1"/>
  <c r="P77" i="2"/>
  <c r="K77" i="2"/>
  <c r="L77" i="2" s="1"/>
  <c r="N77" i="2" s="1"/>
  <c r="F77" i="2"/>
  <c r="E77" i="2"/>
  <c r="G77" i="2" s="1"/>
  <c r="P75" i="2"/>
  <c r="K75" i="2"/>
  <c r="L75" i="2" s="1"/>
  <c r="N75" i="2" s="1"/>
  <c r="F75" i="2"/>
  <c r="E75" i="2"/>
  <c r="G75" i="2" s="1"/>
  <c r="P74" i="2"/>
  <c r="K74" i="2"/>
  <c r="L74" i="2" s="1"/>
  <c r="N74" i="2" s="1"/>
  <c r="F74" i="2"/>
  <c r="E74" i="2"/>
  <c r="G74" i="2" s="1"/>
  <c r="P73" i="2"/>
  <c r="K73" i="2"/>
  <c r="L73" i="2" s="1"/>
  <c r="N73" i="2" s="1"/>
  <c r="F73" i="2"/>
  <c r="E73" i="2" a="1"/>
  <c r="E73" i="2"/>
  <c r="G73" i="2" s="1"/>
  <c r="P72" i="2"/>
  <c r="K72" i="2"/>
  <c r="L72" i="2" s="1"/>
  <c r="N72" i="2" s="1"/>
  <c r="F72" i="2"/>
  <c r="E72" i="2"/>
  <c r="G72" i="2" s="1"/>
  <c r="P71" i="2"/>
  <c r="K71" i="2"/>
  <c r="L71" i="2" s="1"/>
  <c r="N71" i="2" s="1"/>
  <c r="F71" i="2"/>
  <c r="E71" i="2"/>
  <c r="G71" i="2" s="1"/>
  <c r="P70" i="2"/>
  <c r="K70" i="2"/>
  <c r="L70" i="2" s="1"/>
  <c r="N70" i="2" s="1"/>
  <c r="F70" i="2"/>
  <c r="E70" i="2"/>
  <c r="G70" i="2" s="1"/>
  <c r="K68" i="2"/>
  <c r="L68" i="2" s="1"/>
  <c r="N68" i="2" s="1"/>
  <c r="F68" i="2"/>
  <c r="G68" i="2" s="1"/>
  <c r="K67" i="2"/>
  <c r="L67" i="2" s="1"/>
  <c r="N67" i="2" s="1"/>
  <c r="F67" i="2"/>
  <c r="E67" i="2"/>
  <c r="G67" i="2" s="1"/>
  <c r="K66" i="2"/>
  <c r="L66" i="2" s="1"/>
  <c r="N66" i="2" s="1"/>
  <c r="F66" i="2"/>
  <c r="E66" i="2"/>
  <c r="G66" i="2" s="1"/>
  <c r="K65" i="2"/>
  <c r="L65" i="2" s="1"/>
  <c r="N65" i="2" s="1"/>
  <c r="F65" i="2"/>
  <c r="E65" i="2"/>
  <c r="G65" i="2" s="1"/>
  <c r="K64" i="2"/>
  <c r="L64" i="2" s="1"/>
  <c r="N64" i="2" s="1"/>
  <c r="F64" i="2"/>
  <c r="G64" i="2" s="1"/>
  <c r="N62" i="2"/>
  <c r="K61" i="2"/>
  <c r="L61" i="2" s="1"/>
  <c r="N61" i="2" s="1"/>
  <c r="F61" i="2"/>
  <c r="E61" i="2"/>
  <c r="G61" i="2" s="1"/>
  <c r="K60" i="2"/>
  <c r="L60" i="2" s="1"/>
  <c r="N60" i="2" s="1"/>
  <c r="F60" i="2"/>
  <c r="E60" i="2"/>
  <c r="G60" i="2" s="1"/>
  <c r="K59" i="2"/>
  <c r="L59" i="2" s="1"/>
  <c r="N59" i="2" s="1"/>
  <c r="F59" i="2"/>
  <c r="E59" i="2"/>
  <c r="G59" i="2" s="1"/>
  <c r="K58" i="2"/>
  <c r="L58" i="2" s="1"/>
  <c r="N58" i="2" s="1"/>
  <c r="F58" i="2"/>
  <c r="E58" i="2"/>
  <c r="G58" i="2" s="1"/>
  <c r="P57" i="2"/>
  <c r="K57" i="2"/>
  <c r="L57" i="2" s="1"/>
  <c r="N57" i="2" s="1"/>
  <c r="F57" i="2"/>
  <c r="E57" i="2"/>
  <c r="G57" i="2" s="1"/>
  <c r="K56" i="2"/>
  <c r="L56" i="2" s="1"/>
  <c r="N56" i="2" s="1"/>
  <c r="F56" i="2"/>
  <c r="E56" i="2"/>
  <c r="G56" i="2" s="1"/>
  <c r="K55" i="2"/>
  <c r="L55" i="2" s="1"/>
  <c r="N55" i="2" s="1"/>
  <c r="F55" i="2"/>
  <c r="E55" i="2"/>
  <c r="G55" i="2" s="1"/>
  <c r="P54" i="2"/>
  <c r="K54" i="2"/>
  <c r="L54" i="2" s="1"/>
  <c r="N54" i="2" s="1"/>
  <c r="F54" i="2"/>
  <c r="E54" i="2"/>
  <c r="G54" i="2" s="1"/>
  <c r="N52" i="2"/>
  <c r="K51" i="2"/>
  <c r="L51" i="2" s="1"/>
  <c r="N51" i="2" s="1"/>
  <c r="F51" i="2"/>
  <c r="E51" i="2"/>
  <c r="G51" i="2" s="1"/>
  <c r="K50" i="2"/>
  <c r="L50" i="2" s="1"/>
  <c r="N50" i="2" s="1"/>
  <c r="F50" i="2"/>
  <c r="E50" i="2"/>
  <c r="G50" i="2" s="1"/>
  <c r="K49" i="2"/>
  <c r="L49" i="2" s="1"/>
  <c r="N49" i="2" s="1"/>
  <c r="F49" i="2"/>
  <c r="E49" i="2"/>
  <c r="G49" i="2" s="1"/>
  <c r="K48" i="2"/>
  <c r="L48" i="2" s="1"/>
  <c r="N48" i="2" s="1"/>
  <c r="F48" i="2"/>
  <c r="E48" i="2"/>
  <c r="G48" i="2" s="1"/>
  <c r="P47" i="2"/>
  <c r="K47" i="2"/>
  <c r="L47" i="2" s="1"/>
  <c r="N47" i="2" s="1"/>
  <c r="F47" i="2"/>
  <c r="E47" i="2"/>
  <c r="G47" i="2" s="1"/>
  <c r="P46" i="2"/>
  <c r="K46" i="2"/>
  <c r="L46" i="2" s="1"/>
  <c r="N46" i="2" s="1"/>
  <c r="F46" i="2"/>
  <c r="E46" i="2"/>
  <c r="G46" i="2" s="1"/>
  <c r="K45" i="2"/>
  <c r="L45" i="2" s="1"/>
  <c r="N45" i="2" s="1"/>
  <c r="F45" i="2"/>
  <c r="E45" i="2"/>
  <c r="G45" i="2" s="1"/>
  <c r="N43" i="2"/>
  <c r="K42" i="2"/>
  <c r="L42" i="2" s="1"/>
  <c r="N42" i="2" s="1"/>
  <c r="F42" i="2"/>
  <c r="E42" i="2"/>
  <c r="G42" i="2" s="1"/>
  <c r="K41" i="2"/>
  <c r="L41" i="2" s="1"/>
  <c r="N41" i="2" s="1"/>
  <c r="F41" i="2"/>
  <c r="E41" i="2"/>
  <c r="G41" i="2" s="1"/>
  <c r="K39" i="2"/>
  <c r="L39" i="2" s="1"/>
  <c r="N39" i="2" s="1"/>
  <c r="F39" i="2"/>
  <c r="E39" i="2"/>
  <c r="G39" i="2" s="1"/>
  <c r="K38" i="2"/>
  <c r="L38" i="2" s="1"/>
  <c r="N38" i="2" s="1"/>
  <c r="F38" i="2"/>
  <c r="E38" i="2"/>
  <c r="G38" i="2" s="1"/>
  <c r="K37" i="2"/>
  <c r="L37" i="2" s="1"/>
  <c r="N37" i="2" s="1"/>
  <c r="F37" i="2"/>
  <c r="E37" i="2"/>
  <c r="G37" i="2" s="1"/>
  <c r="K36" i="2"/>
  <c r="L36" i="2" s="1"/>
  <c r="N36" i="2" s="1"/>
  <c r="F36" i="2"/>
  <c r="E36" i="2"/>
  <c r="G36" i="2" s="1"/>
  <c r="K35" i="2"/>
  <c r="L35" i="2" s="1"/>
  <c r="N35" i="2" s="1"/>
  <c r="F35" i="2"/>
  <c r="E35" i="2"/>
  <c r="G35" i="2" s="1"/>
  <c r="P34" i="2"/>
  <c r="K34" i="2"/>
  <c r="L34" i="2" s="1"/>
  <c r="N34" i="2" s="1"/>
  <c r="F34" i="2"/>
  <c r="E34" i="2"/>
  <c r="G34" i="2" s="1"/>
  <c r="K32" i="2"/>
  <c r="L32" i="2" s="1"/>
  <c r="N32" i="2" s="1"/>
  <c r="F32" i="2"/>
  <c r="E32" i="2"/>
  <c r="G32" i="2" s="1"/>
  <c r="K31" i="2"/>
  <c r="L31" i="2" s="1"/>
  <c r="N31" i="2" s="1"/>
  <c r="F31" i="2"/>
  <c r="E31" i="2"/>
  <c r="G31" i="2" s="1"/>
  <c r="K30" i="2"/>
  <c r="L30" i="2" s="1"/>
  <c r="N30" i="2" s="1"/>
  <c r="F30" i="2"/>
  <c r="E30" i="2"/>
  <c r="G30" i="2" s="1"/>
  <c r="K29" i="2"/>
  <c r="L29" i="2" s="1"/>
  <c r="N29" i="2" s="1"/>
  <c r="F29" i="2"/>
  <c r="E29" i="2"/>
  <c r="G29" i="2" s="1"/>
  <c r="P28" i="2"/>
  <c r="K28" i="2"/>
  <c r="L28" i="2" s="1"/>
  <c r="N28" i="2" s="1"/>
  <c r="F28" i="2"/>
  <c r="E28" i="2"/>
  <c r="G28" i="2" s="1"/>
  <c r="K27" i="2"/>
  <c r="L27" i="2" s="1"/>
  <c r="N27" i="2" s="1"/>
  <c r="F27" i="2"/>
  <c r="E27" i="2"/>
  <c r="G27" i="2" s="1"/>
  <c r="P26" i="2"/>
  <c r="K26" i="2"/>
  <c r="L26" i="2" s="1"/>
  <c r="N26" i="2" s="1"/>
  <c r="F26" i="2"/>
  <c r="G26" i="2"/>
  <c r="K24" i="2"/>
  <c r="L24" i="2" s="1"/>
  <c r="N24" i="2" s="1"/>
  <c r="F24" i="2"/>
  <c r="E24" i="2"/>
  <c r="G24" i="2" s="1"/>
  <c r="K23" i="2"/>
  <c r="L23" i="2" s="1"/>
  <c r="N23" i="2" s="1"/>
  <c r="F23" i="2"/>
  <c r="E23" i="2"/>
  <c r="G23" i="2" s="1"/>
  <c r="K22" i="2"/>
  <c r="L22" i="2" s="1"/>
  <c r="N22" i="2" s="1"/>
  <c r="F22" i="2"/>
  <c r="E22" i="2"/>
  <c r="G22" i="2" s="1"/>
  <c r="K21" i="2"/>
  <c r="L21" i="2" s="1"/>
  <c r="N21" i="2" s="1"/>
  <c r="F21" i="2"/>
  <c r="E21" i="2"/>
  <c r="G21" i="2" s="1"/>
  <c r="K20" i="2"/>
  <c r="L20" i="2" s="1"/>
  <c r="N20" i="2" s="1"/>
  <c r="F20" i="2"/>
  <c r="E20" i="2"/>
  <c r="G20" i="2" s="1"/>
  <c r="N18" i="2"/>
  <c r="K17" i="2"/>
  <c r="L17" i="2" s="1"/>
  <c r="N17" i="2" s="1"/>
  <c r="F17" i="2"/>
  <c r="G17" i="2" s="1"/>
  <c r="K16" i="2"/>
  <c r="L16" i="2" s="1"/>
  <c r="N16" i="2" s="1"/>
  <c r="F16" i="2"/>
  <c r="E16" i="2"/>
  <c r="G16" i="2" s="1"/>
  <c r="K14" i="2"/>
  <c r="L14" i="2" s="1"/>
  <c r="N14" i="2" s="1"/>
  <c r="F14" i="2"/>
  <c r="G14" i="2" s="1"/>
  <c r="K13" i="2"/>
  <c r="L13" i="2" s="1"/>
  <c r="N13" i="2" s="1"/>
  <c r="F13" i="2"/>
  <c r="E13" i="2"/>
  <c r="G13" i="2" s="1"/>
  <c r="K12" i="2"/>
  <c r="L12" i="2" s="1"/>
  <c r="N12" i="2" s="1"/>
  <c r="F12" i="2"/>
  <c r="E12" i="2"/>
  <c r="G12" i="2" s="1"/>
  <c r="K11" i="2"/>
  <c r="L11" i="2" s="1"/>
  <c r="N11" i="2" s="1"/>
  <c r="F11" i="2"/>
  <c r="E11" i="2"/>
  <c r="G11" i="2" s="1"/>
  <c r="K9" i="2"/>
  <c r="L9" i="2" s="1"/>
  <c r="N9" i="2" s="1"/>
  <c r="F9" i="2"/>
  <c r="G9" i="2" s="1"/>
  <c r="K8" i="2"/>
  <c r="L8" i="2" s="1"/>
  <c r="N8" i="2" s="1"/>
  <c r="F8" i="2"/>
  <c r="E8" i="2"/>
  <c r="G8" i="2" s="1"/>
  <c r="K7" i="2"/>
  <c r="L7" i="2" s="1"/>
  <c r="N7" i="2" s="1"/>
  <c r="F7" i="2"/>
  <c r="E7" i="2"/>
  <c r="P6" i="2"/>
  <c r="K6" i="2"/>
  <c r="L6" i="2" s="1"/>
  <c r="N6" i="2" s="1"/>
  <c r="F6" i="2"/>
  <c r="E6" i="2"/>
  <c r="G6" i="2" s="1"/>
  <c r="K5" i="2"/>
  <c r="L5" i="2" s="1"/>
  <c r="N5" i="2" s="1"/>
  <c r="F5" i="2"/>
  <c r="G5" i="2" s="1"/>
  <c r="K4" i="2"/>
  <c r="L4" i="2" s="1"/>
  <c r="N4" i="2" s="1"/>
  <c r="F4" i="2"/>
  <c r="E4" i="2"/>
  <c r="G4" i="2" s="1"/>
  <c r="O29" i="2" l="1"/>
  <c r="O26" i="2"/>
  <c r="O35" i="2"/>
  <c r="O31" i="2"/>
  <c r="O28" i="2"/>
  <c r="O37" i="2"/>
  <c r="O34" i="2"/>
  <c r="O32" i="2"/>
  <c r="O30" i="2"/>
  <c r="O36" i="2"/>
  <c r="O24" i="2"/>
  <c r="O22" i="2"/>
  <c r="O22" i="3"/>
  <c r="O27" i="2"/>
  <c r="O71" i="2"/>
  <c r="O90" i="5"/>
  <c r="O71" i="5"/>
  <c r="O51" i="2"/>
  <c r="O45" i="2"/>
  <c r="O41" i="2"/>
  <c r="O39" i="2"/>
  <c r="O42" i="2"/>
  <c r="O38" i="2"/>
  <c r="O77" i="2"/>
  <c r="O65" i="2"/>
  <c r="O55" i="2"/>
  <c r="O68" i="2"/>
  <c r="O66" i="2"/>
  <c r="O64" i="2"/>
  <c r="O60" i="2"/>
  <c r="O46" i="5"/>
  <c r="O44" i="5"/>
  <c r="O35" i="5"/>
  <c r="O58" i="2"/>
  <c r="O76" i="5"/>
  <c r="O57" i="2"/>
  <c r="O79" i="5"/>
  <c r="O11" i="5"/>
  <c r="O67" i="2"/>
  <c r="O59" i="2"/>
  <c r="O74" i="5"/>
  <c r="O54" i="5"/>
  <c r="O8" i="5"/>
  <c r="O42" i="4"/>
  <c r="O54" i="2"/>
  <c r="O49" i="2"/>
  <c r="O47" i="2"/>
  <c r="O37" i="4"/>
  <c r="O32" i="4"/>
  <c r="O28" i="4"/>
  <c r="O56" i="2"/>
  <c r="O50" i="2"/>
  <c r="O48" i="2"/>
  <c r="O46" i="2"/>
  <c r="E103" i="2" s="1"/>
  <c r="D15" i="8" s="1"/>
  <c r="O75" i="5"/>
  <c r="O61" i="2"/>
  <c r="E45" i="7"/>
  <c r="E50" i="7"/>
  <c r="E70" i="6"/>
  <c r="E75" i="6"/>
  <c r="G7" i="2"/>
  <c r="O7" i="2" s="1"/>
  <c r="P8" i="2"/>
  <c r="G2" i="8" s="1"/>
  <c r="P16" i="2"/>
  <c r="O101" i="5"/>
  <c r="O65" i="5"/>
  <c r="O50" i="5"/>
  <c r="O25" i="5"/>
  <c r="O23" i="5"/>
  <c r="O34" i="4"/>
  <c r="O57" i="3"/>
  <c r="O55" i="3"/>
  <c r="O52" i="3"/>
  <c r="O50" i="3"/>
  <c r="O48" i="3"/>
  <c r="O45" i="3"/>
  <c r="O43" i="3"/>
  <c r="O41" i="3"/>
  <c r="O37" i="3"/>
  <c r="O35" i="3"/>
  <c r="O33" i="3"/>
  <c r="O31" i="3"/>
  <c r="O26" i="3"/>
  <c r="O23" i="3"/>
  <c r="O18" i="3"/>
  <c r="O16" i="3"/>
  <c r="O83" i="2"/>
  <c r="O70" i="5"/>
  <c r="O7" i="5"/>
  <c r="O5" i="5"/>
  <c r="O55" i="4"/>
  <c r="O45" i="4"/>
  <c r="O21" i="4"/>
  <c r="O17" i="4"/>
  <c r="O12" i="4"/>
  <c r="O9" i="4"/>
  <c r="O5" i="4"/>
  <c r="O4" i="4"/>
  <c r="O75" i="2"/>
  <c r="O70" i="2"/>
  <c r="O17" i="2"/>
  <c r="O5" i="2"/>
  <c r="O69" i="5"/>
  <c r="O18" i="5"/>
  <c r="O14" i="5"/>
  <c r="O56" i="4"/>
  <c r="O54" i="4"/>
  <c r="O49" i="4"/>
  <c r="O40" i="4"/>
  <c r="O22" i="4"/>
  <c r="O18" i="4"/>
  <c r="O15" i="4"/>
  <c r="O10" i="4"/>
  <c r="O6" i="4"/>
  <c r="O62" i="3"/>
  <c r="O78" i="2"/>
  <c r="O73" i="2"/>
  <c r="O21" i="2"/>
  <c r="O12" i="2"/>
  <c r="O96" i="5"/>
  <c r="O66" i="5"/>
  <c r="O45" i="5"/>
  <c r="O34" i="5"/>
  <c r="O30" i="5"/>
  <c r="O20" i="5"/>
  <c r="O19" i="5"/>
  <c r="O17" i="5"/>
  <c r="O33" i="4"/>
  <c r="O29" i="4"/>
  <c r="O27" i="4"/>
  <c r="O59" i="3"/>
  <c r="O56" i="3"/>
  <c r="O54" i="3"/>
  <c r="O51" i="3"/>
  <c r="O49" i="3"/>
  <c r="O47" i="3"/>
  <c r="O44" i="3"/>
  <c r="O42" i="3"/>
  <c r="O38" i="3"/>
  <c r="O36" i="3"/>
  <c r="O34" i="3"/>
  <c r="O32" i="3"/>
  <c r="O27" i="3"/>
  <c r="O24" i="3"/>
  <c r="O13" i="3"/>
  <c r="O11" i="3"/>
  <c r="O7" i="3"/>
  <c r="O6" i="3"/>
  <c r="O4" i="3"/>
  <c r="O84" i="2"/>
  <c r="O82" i="2"/>
  <c r="O6" i="2"/>
  <c r="O4" i="2"/>
  <c r="O97" i="5"/>
  <c r="O91" i="5"/>
  <c r="O85" i="5"/>
  <c r="O60" i="5"/>
  <c r="O58" i="5"/>
  <c r="O40" i="5"/>
  <c r="O36" i="5"/>
  <c r="O38" i="4"/>
  <c r="O31" i="4"/>
  <c r="O26" i="4"/>
  <c r="O60" i="3"/>
  <c r="O28" i="3"/>
  <c r="O25" i="3"/>
  <c r="O21" i="3"/>
  <c r="O17" i="3"/>
  <c r="O15" i="3"/>
  <c r="O8" i="3"/>
  <c r="O85" i="2"/>
  <c r="O79" i="2"/>
  <c r="O72" i="2"/>
  <c r="O23" i="2"/>
  <c r="O9" i="2"/>
  <c r="O100" i="5"/>
  <c r="O95" i="5"/>
  <c r="O86" i="5"/>
  <c r="O80" i="5"/>
  <c r="O59" i="5"/>
  <c r="O55" i="5"/>
  <c r="O39" i="5"/>
  <c r="O31" i="5"/>
  <c r="O12" i="5"/>
  <c r="O53" i="4"/>
  <c r="O50" i="4"/>
  <c r="O48" i="4"/>
  <c r="O44" i="4"/>
  <c r="O39" i="4"/>
  <c r="O23" i="4"/>
  <c r="O61" i="3"/>
  <c r="O14" i="3"/>
  <c r="O12" i="3"/>
  <c r="O5" i="3"/>
  <c r="O80" i="2"/>
  <c r="O20" i="2"/>
  <c r="O16" i="2"/>
  <c r="O13" i="2"/>
  <c r="O11" i="2"/>
  <c r="O92" i="5"/>
  <c r="O87" i="5"/>
  <c r="O64" i="5"/>
  <c r="O51" i="5"/>
  <c r="O49" i="5"/>
  <c r="O29" i="5"/>
  <c r="O24" i="5"/>
  <c r="O13" i="5"/>
  <c r="O6" i="5"/>
  <c r="O51" i="4"/>
  <c r="O43" i="4"/>
  <c r="O20" i="4"/>
  <c r="O16" i="4"/>
  <c r="O11" i="4"/>
  <c r="O7" i="4"/>
  <c r="O74" i="2"/>
  <c r="O14" i="2"/>
  <c r="O8" i="2"/>
  <c r="E74" i="4" l="1"/>
  <c r="D17" i="8" s="1"/>
  <c r="E80" i="3"/>
  <c r="D16" i="8" s="1"/>
  <c r="E75" i="4"/>
  <c r="E17" i="8" s="1"/>
  <c r="E104" i="2"/>
  <c r="E15" i="8" s="1"/>
  <c r="E73" i="4"/>
  <c r="C17" i="8" s="1"/>
  <c r="E76" i="4"/>
  <c r="F17" i="8" s="1"/>
  <c r="B20" i="8"/>
  <c r="E52" i="7"/>
  <c r="H7" i="8" s="1"/>
  <c r="E51" i="7"/>
  <c r="D7" i="8" s="1"/>
  <c r="C7" i="8"/>
  <c r="E77" i="6"/>
  <c r="H6" i="8" s="1"/>
  <c r="B19" i="8"/>
  <c r="C6" i="8"/>
  <c r="E76" i="6"/>
  <c r="D6" i="8" s="1"/>
  <c r="E72" i="4"/>
  <c r="E77" i="4"/>
  <c r="E78" i="3"/>
  <c r="E83" i="3"/>
  <c r="E106" i="2"/>
  <c r="E101" i="2"/>
  <c r="E82" i="3"/>
  <c r="F16" i="8" s="1"/>
  <c r="E121" i="5"/>
  <c r="D18" i="8" s="1"/>
  <c r="E123" i="5"/>
  <c r="F18" i="8" s="1"/>
  <c r="E102" i="2"/>
  <c r="C15" i="8" s="1"/>
  <c r="E122" i="5"/>
  <c r="E18" i="8" s="1"/>
  <c r="E120" i="5"/>
  <c r="C18" i="8" s="1"/>
  <c r="E79" i="3"/>
  <c r="C16" i="8" s="1"/>
  <c r="E81" i="3"/>
  <c r="E16" i="8" s="1"/>
  <c r="E105" i="2"/>
  <c r="F15" i="8" s="1"/>
  <c r="B25" i="8"/>
  <c r="B27" i="8"/>
  <c r="E124" i="5"/>
  <c r="E119" i="5"/>
  <c r="E7" i="8" l="1"/>
  <c r="F7" i="8"/>
  <c r="E6" i="8"/>
  <c r="F6" i="8"/>
  <c r="E79" i="4"/>
  <c r="H4" i="8" s="1"/>
  <c r="B17" i="8"/>
  <c r="C4" i="8"/>
  <c r="E78" i="4"/>
  <c r="D4" i="8" s="1"/>
  <c r="E85" i="3"/>
  <c r="H3" i="8" s="1"/>
  <c r="B16" i="8"/>
  <c r="E84" i="3"/>
  <c r="D3" i="8" s="1"/>
  <c r="C3" i="8"/>
  <c r="E107" i="2"/>
  <c r="D2" i="8" s="1"/>
  <c r="C2" i="8"/>
  <c r="B15" i="8"/>
  <c r="E108" i="2"/>
  <c r="H2" i="8" s="1"/>
  <c r="C5" i="8"/>
  <c r="E125" i="5"/>
  <c r="D5" i="8" s="1"/>
  <c r="B18" i="8"/>
  <c r="E126" i="5"/>
  <c r="H5" i="8" s="1"/>
  <c r="B29" i="8" l="1"/>
  <c r="E4" i="8"/>
  <c r="F4" i="8"/>
  <c r="E3" i="8"/>
  <c r="F3" i="8"/>
  <c r="E2" i="8"/>
  <c r="F2" i="8"/>
  <c r="E5" i="8"/>
  <c r="F5" i="8"/>
  <c r="B9" i="8" l="1"/>
  <c r="B10" i="8" l="1"/>
  <c r="B11" i="8"/>
</calcChain>
</file>

<file path=xl/sharedStrings.xml><?xml version="1.0" encoding="utf-8"?>
<sst xmlns="http://schemas.openxmlformats.org/spreadsheetml/2006/main" count="3372" uniqueCount="1717">
  <si>
    <t>View detailed regulatory mapping for Tab 1 &gt;</t>
  </si>
  <si>
    <t>View detailed regulatory mapping for Tab 2 &gt;</t>
  </si>
  <si>
    <t>View detailed regulatory mapping for Tab 3 &gt;</t>
  </si>
  <si>
    <t>View detailed regulatory mapping for Tab 4 &gt;</t>
  </si>
  <si>
    <t>View detailed regulatory mapping for Tab 5 &gt;</t>
  </si>
  <si>
    <t>View detailed regulatory mapping for Tab 6 &gt;</t>
  </si>
  <si>
    <t>Return to: 3. Structure of the Workbook ^</t>
  </si>
  <si>
    <t>Area</t>
  </si>
  <si>
    <t>Specific FCA Provisions (examples)</t>
  </si>
  <si>
    <t>Key FCA Expectations</t>
  </si>
  <si>
    <t>How Tab 1 helps evidence this</t>
  </si>
  <si>
    <t>Consumer Duty – products &amp; services; price &amp; value; communications</t>
  </si>
  <si>
    <t>PRIN 2A – The Consumer Duty: PRIN 2A.3 Products and services outcome (design, target market, distribution). (FCA Handbook) PRIN 2A.4 Price and value outcome (reasonable relationship between price and benefits). (FCA Handbook) PRIN 2.1.1R (Principle 7) – information that is clear, fair and not misleading. (FCA)</t>
  </si>
  <si>
    <t>- Products must be fit for purpose and designed to meet the needs, characteristics and objectives of an identified target market. - Firms must ensure a reasonable relationship between price and value – no obvious structural unfairness or extraction. - Customers should be able to understand key features and limitations from the firm’s communications. (FCA Handbook)</t>
  </si>
  <si>
    <t>- Sections A &amp; E assess token purpose, utility and economic design (allocations, vesting, emissions, incentives), helping show the token is not inherently misaligned with customer needs or structurally unfair on value. - Sections C &amp; D assess token holder rights and the quality/completeness of disclosures (e.g. whitepaper), supporting evidence that material features, risks and limitations are not obscured and can be explained clearly to retail. - Overall, Tab 1 provides a documented basis that the token is coherent, explainable and not obviously exploitative, which you can cross-reference in Consumer Duty product &amp; value assessments.</t>
  </si>
  <si>
    <t>Product governance – design, approval and understanding of instruments (PROD)</t>
  </si>
  <si>
    <t>PROD 3.2 – Product governance for manufacturers: e.g. PROD 3.2.1R / 3.2.3R – maintain, operate and review a product approval process for each product and significant adaptation. (FCA Handbook) PROD 3.3 – Product governance for distributors: PROD 3.3.1R and related rules – distributors must understand the financial instruments they distribute and assess compatibility with clients’ needs. (FCA Handbook) FCA MiFID II product governance review / good-practice commentary (e.g. 2021 multi-firm review). (FCA)</t>
  </si>
  <si>
    <t>- Manufacturers: operate a formal product approval process considering target market, risk/return profile and distribution strategy. - Distributors: understand product features, risks and costs and only distribute where compatible with the needs and objectives of the target market. - Maintain an evidence trail showing that products have been assessed and reviewed over time (not just one-off sign-off). (FCA Handbook)</t>
  </si>
  <si>
    <t>- Tab 1 functions as the front-end product approval template for tokens, capturing their purpose, governance, rights and economic model in a consistent way. - The questions force a structured articulation of how the token works, how value flows, who controls key decisions, and what holders actually get – satisfying the PROD expectation that distributors “understand the instruments” they sell. - Re-running Tab 1 when governance, tokenomics or rights change provides a repeatable review process you can point to in product governance/POG frameworks and product approval committee minutes.</t>
  </si>
  <si>
    <t>Governance &amp; SMCR – SYSC systems and controls, risk identification and oversight</t>
  </si>
  <si>
    <t>SYSC 4.1.1R – General requirements: firms must have robust governance arrangements, including clear structures and effective processes to identify, manage, monitor and report the risks they are or might be exposed to. (FCA Handbook) SYSC 3.1 – Systems and controls: firms must take reasonable care to establish and maintain effective systems and controls for compliance with regulatory requirements and risk management. (Square Mile Research) SM&amp;CR guidance emphasising Senior Managers’ responsibility for effective oversight of products and associated risks. (BDO)</t>
  </si>
  <si>
    <t>- Have formal processes and controls to identify and monitor product-level risks, not just business-line or balance-sheet risks. - Ensure Senior Managers can demonstrate they understand and have challenged significant new products and that decisions are evidenced. - Embed product and conduct risks into the firm’s overall risk management and governance framework.</t>
  </si>
  <si>
    <t>- Tab 1 gives a structured risk identification mechanism for token fundamentals and governance: numerical scores, risk bands, and a “weakest link” indicator for the domain. - The section-level summaries and narratives provide a concise briefing pack for Senior Managers and committees, making it easier to show that listing decisions were considered and challenged (rather than rubber-stamped). - As part of the wider engine, Tab 1 supports the argument that you have robust governance arrangements and systems and controls to identify and manage product-specific risks, in line with SYSC 4.1.1R and SYSC 3.1.</t>
  </si>
  <si>
    <t>FCA focus on product governance and value (cross-cutting guidance)</t>
  </si>
  <si>
    <t>FCA product governance / value publications and reviews, e.g.: - MiFID II product governance multi-firm review (2021). (FCA) - Consumer Duty and its impact on product governance and target market work (various guidance / good-practice papers). (DWF)</t>
  </si>
  <si>
    <t>- Firms should be able to demonstrate how they have assessed value, target market and product design, especially for complex / higher-risk products. - Supervisors expect documented frameworks rather than informal judgements, particularly for novel or high-risk asset classes like cryptoassets.</t>
  </si>
  <si>
    <t>- Tab 1 is a key part of your evidential framework for crypto tokens, showing that you have gone beyond surface-level marketing claims to interrogate fundamentals, governance and tokenomics. - Outputs from Tab 1 can be lifted directly into Product Approval Committee packs, listing committee papers, IA/product files and regulatory submissions to demonstrate that crypto products have been through the same, or stronger, governance as traditional products.</t>
  </si>
  <si>
    <t>How Tab 2 helps evidence this</t>
  </si>
  <si>
    <t>Financial promotion regime – cryptoassets and high-risk investments</t>
  </si>
  <si>
    <t>FSMA 2000 s.21 – Financial promotion restriction: a person must not, in the course of business, communicate an invitation or inducement to engage in investment activity unless the promotion is issued or approved by an authorised person or an exemption applies. (Legislation.gov.uk) COBS 4 – Communicating with clients, including financial promotions: promotions must be fair, clear and not misleading and comply with detailed rules (e.g. risk warnings, prominence, appropriate balancing of benefits and risks). (FCA Handbook) PS23/6 – Financial promotion rules for cryptoassets and FG23/3: extend the financial promotion regime to qualifying cryptoassets, imposing RMMI-style requirements (risk warnings, 24-hour cooling off, appropriateness, banned incentives, etc.). (FCA) Crypto promotions rely on routes under FSMA and the FPO (e.g. newly introduced exemptions for FCA-registered crypto businesses). (FCA)</t>
  </si>
  <si>
    <t>- Firms must ensure that any cryptoasset promotion to UK consumers is lawfully communicated under s.21 FSMA, via an authorised person, an exemption, or another lawful route. - Promotions must meet high standards of clarity and risk disclosure (fair, clear, not misleading; prominent, prescribed warnings; appropriate framing of risks vs returns). - Cryptoassets treated as high-risk investments must comply with strengthened rules around risk warnings, incentives, cooling-off and appropriateness. (FCA)</t>
  </si>
  <si>
    <t>- Tab 2 captures how the token is being promoted to UK customers and under which lawful route (authorised firm promotion, s.21 approval, exemption or overseas-only marketing), giving you a structured record that the financial promotion restriction has been considered. - Questions around disclosure content, prominence of risk warnings, use of incentives, cooling-off and appropriateness allow you to benchmark the token’s promotional materials against the crypto financial promotion regime in PS23/6 / FG23-3 and the underlying COBS 4 standards. - The tab’s scoring and narrative provide an auditable explanation of why the firm believes the promotions are compliant, or why additional controls (re-wording, target-market limits, professional-only routes) are needed.</t>
  </si>
  <si>
    <t>Approval and ongoing oversight of financial promotions</t>
  </si>
  <si>
    <t>COBS 4.10 – Approving financial promotions: firms approving a promotion must take reasonable steps to ensure it complies with the rules and remains so for its lifetime. (FCA Handbook) COBS 4.11 – Record-keeping: financial promotions: firms must keep adequate records of promotions they communicate, approve or confirm compliance with. (FCA Handbook) FSMA 2023 – Financial promotion gateway (“approver permission”): new requirement for firms to obtain specific permission to approve promotions for unauthorised persons. (FCA) FCA cryptoasset financial promotions guidance emphasises the need for firms approving promotions to understand the token and associated risks. (Burges Salmon)</t>
  </si>
  <si>
    <t>- Firms that approve promotions must have appropriate expertise and due diligence processes to satisfy themselves the promotion is compliant on approval and remains compliant over time. - Firms must maintain records of approvals, underlying assessments and monitoring, enabling them to demonstrate why they considered a promotion compliant at the time. - Under the new gateway, only firms with the specific “approver permission” may approve promotions for unauthorised persons, and the FCA expects high standards of scrutiny, especially for cryptoassets.</t>
  </si>
  <si>
    <t>- Tab 2 provides a standardised due diligence record for each token’s regulatory/legal profile and promotional set-up. This can be cited as part of the file evidencing your s.21 approval or oversight of promotions. - Questions on regulatory route, risk classification, and disclosures demonstrate that the firm has considered the key issues the FCA expects approvers to address before signing off crypto promotions. - The tab’s outputs can be cross-referenced in your COBS 4.10/4.11 records and in your internal financial promotion approval logs, showing how each promotion was assessed in light of the token’s regulatory/legal risks.</t>
  </si>
  <si>
    <t>Regulatory perimeter &amp; classification of the token / activities</t>
  </si>
  <si>
    <t>FSMA 2000 and the RAO – define “regulated activities” and “specified investments” (e.g. securities, units in collective investment schemes, contracts for differences, etc.). FCA perimeter guidance including PERG 2 &amp; PERG 8 on the financial promotion regime and what constitutes “investment activity”. (sedric.ai) FCA and HM Treasury material on the future Designated Activities Regime (DAR) for cryptoassets under FSMA 2023, under which certain crypto activities will be designated and subject to activity-specific rules. (Taylor Wessing)</t>
  </si>
  <si>
    <t>- Firms must assess whether a token or associated activities fall inside or outside the current regulatory perimeter (e.g. security token vs unregulated cryptoasset vs e-money vs CIS / AIF structure). - Even where a token itself is unregulated, perimeter issues can arise (e.g. units in a CIS, operating a trading platform, custody, payment services). - As the DAR and other reforms are implemented, firms will be expected to understand whether their crypto offerings fall within designated activities and to comply with the associated rule-sets.</t>
  </si>
  <si>
    <t>- Tab 2 prompts a structured assessment of the token’s likely classification (security-like features, rights, redemption terms, profit-sharing, pooling of assets, etc.) and the associated regulated activities that may be triggered. - This gives you a documented, repeatable trail of the perimeter analysis that underpins your decision to treat a token as: - a regulated instrument (with full FSMA/COBS/PROD implications), - an unregulated cryptoasset subject to the financial promotion regime, or - part of a broader arrangement (e.g. pooled vehicles) that might itself be a regulated CIS. - As DAR and future rules come in, the same Tab 2 structure can be extended to track which designated activities are in scope and what additional legal/regulatory constraints apply.</t>
  </si>
  <si>
    <t>Consumer Duty &amp; retail distribution – suitability, appropriateness and high-risk categorisation</t>
  </si>
  <si>
    <t>PRIN 2A – The Consumer Duty (especially: products &amp; services, price &amp; value, consumer understanding). (FCA Handbook) FCA high-risk investment / crypto promotion work, including the classification of qualifying cryptoassets as Restricted Mass Market Investments (RMMIs) with enhanced promotion rules. (FCA) COBS 10 &amp; 10A – Appropriateness (for complex/high-risk investments) – assessing whether a non-advised client has the necessary experience and knowledge to understand the risks. (FCA Handbook)</t>
  </si>
  <si>
    <t>- Even where crypto activities themselves are not fully regulated yet, the Consumer Duty and strengthened financial promotion rules emphasise: - clear identification of target market vs restricted/professional-only distribution; - robust appropriateness tests for high-risk or complex products; - enhanced warnings and frictions (e.g. cooling-off) for RMMIs such as crypto. - Firms should be able to demonstrate why a given token is appropriate for a particular retail segment (or why retail access is restricted) in light of its risks and complexity.</t>
  </si>
  <si>
    <t>- Tab 2 consolidates your thinking on whether a given token: - should be treated as a high-risk investment for retail purposes, - should be accessible only to restricted / sophisticated / professional clients, or - should not be offered at all. - It links the token’s regulatory and legal profile to distribution and suitability decisions (e.g. requirement for appropriateness tests, extra risk warnings, or channel restrictions). - These outputs can be used to justify your target market definition, your use of appropriateness tests, and any distribution restrictions in internal Consumer Duty and product governance documentation.</t>
  </si>
  <si>
    <t>Cross-border and jurisdictional legal risk</t>
  </si>
  <si>
    <t>FCA Principles (e.g. Principle 1 – Integrity, Principle 2 – Due skill, care and diligence) and SYSC 6 expectations around having adequate compliance functions and controls to identify and manage legal/regulatory risks across jurisdictions. (FCA Handbook) Overseas regimes that may restrict marketing or availability of certain tokens to local investors (e.g. local securities or derivatives laws, bans, enforcement actions).</t>
  </si>
  <si>
    <t>- Firms are expected to avoid engaging in or facilitating activity that breaches local law in other jurisdictions, even if some aspects of the token are unregulated in the UK. - Compliance and legal teams must be able to identify where a token is subject to material overseas restrictions or enforcement, and decide whether and how to offer exposure from the UK.</t>
  </si>
  <si>
    <t>- Tab 2 includes questions on jurisdictional mapping, overseas regulatory actions and local restrictions affecting the token or its issuer. - This creates a central place where you record whether there are material overseas legal risks (e.g. securities enforcement, bans on retail marketing) that should influence your decision to list the token, how you structure access, or whether you apply additional warnings or exclusions for particular client segments or geographies.</t>
  </si>
  <si>
    <t>How Tab 3 helps evidence this</t>
  </si>
  <si>
    <t>Core AML/CTF regime &amp; firm-wide risk assessment</t>
  </si>
  <si>
    <t>Money Laundering, Terrorist Financing and Transfer of Funds (Information on the Payer) Regulations 2017 (MLRs) – e.g.: - Regulation 18 – firm-wide risk assessment of money laundering and terrorist financing risks. (Legislation.gov.uk) - Regulation 19 – policies, controls and procedures to mitigate and manage those risks. (Legislation.gov.uk) FCA Financial Crime Guide (FCG) and FG18/5 – guidance on systems and controls to counter financial crime, including market-related risks. (FCA Handbook)</t>
  </si>
  <si>
    <t>- Firms must identify, assess and understand their ML/TF risk profile, including new products and technologies, and maintain documented risk assessments. - Appropriate policies, controls and procedures must be implemented and kept up to date to mitigate identified risks. - New or developing technologies (such as cryptoassets) require a specific risk assessment and tailored controls under the risk-based approach. (Legislation.gov.uk)</t>
  </si>
  <si>
    <t>- Tab 3 provides a structured product-level ML/TF risk assessment for each token, feeding into your firm-wide Reg 18 risk assessment and product risk register. - Questions around anonymity features, obfuscation tools, typical use-cases and high-risk geographies show that you have explicitly considered ML/TF risk factors for this cryptoasset, not just for the customer base in general. - The scoring and risk banding can be referenced in your Reg 18 assessment and in the documentation of the AML risk classification for each token (e.g. “standard”, “elevated”, “intolerable”).</t>
  </si>
  <si>
    <t>Customer due diligence (CDD), enhanced due diligence (EDD) &amp; high-risk factors</t>
  </si>
  <si>
    <t>MLRs 2017 – key CDD/EDD obligations: - Regulation 27–30 – customer due diligence and ongoing monitoring. - Regulation 33 – enhanced due diligence for higher-risk situations (including high-risk third countries, complex or unusually large transactions). (Legislation.gov.uk) - Regulation 35 – PEPs; Regulation 33–35 together set out higher-risk customer factors. (Legislation.gov.uk) JMLSG Guidance (e.g. Part I, Ch. 4 – risk-based approach) emphasises assessing ML/TF risk for new products and technologies. (jmlsg.org.uk)</t>
  </si>
  <si>
    <t>- Firms must perform CDD and adapt the depth of checks based on risk, applying EDD where higher risks are identified (e.g. high-risk countries, complex structures, unusual patterns). - For new products or technologies, firms must understand how those products can be used to obscure beneficial ownership, source of funds or transaction trails, and adjust CDD/EDD accordingly. - Ongoing monitoring must detect atypical patterns and trigger review or escalation. (Legislation.gov.uk)</t>
  </si>
  <si>
    <t>- Tab 3 analyses product-specific risk factors that drive the need for EDD: - embedded privacy features, mixers/bridges/ecosystem tools commonly used for obfuscation, - typical customer and transactional profiles, - links to typologies such as scams, darknet markets or ransomware. - By scoring these factors, Tab 3 gives concrete input to your CDD/EDD risk scoring models, helping justify when a token (or flows involving a token) should be treated as requiring EDD, additional monitoring rules, or even hard blocks in certain jurisdictions or counterparties.</t>
  </si>
  <si>
    <t>FCA cryptoasset AML/CTF registration and expectations</t>
  </si>
  <si>
    <t>FCA Cryptoassets: AML / CTF regime – cryptoasset businesses in scope must register with the FCA under the MLRs and comply with the regulations. (FCA) FCA guidance on what the FCA expects to see in an AML registration application for cryptoasset firms (understanding and implementing the MLRs, including risk assessments, CDD/EDD and monitoring). (FCA)</t>
  </si>
  <si>
    <t>- In-scope crypto businesses must show a comprehensive understanding of the UK AML regime and how it is applied in the context of their products and services. - Firms must have a robust financial crime framework tailored to crypto-specific risks (e.g. pseudonymous transactions, high-velocity flows, cross-border activity). - Supervisors expect firms to evidence product-specific ML/TF risk assessment rather than generic AML boilerplate. (FCA)</t>
  </si>
  <si>
    <t>- Tab 3 evidences that your firm has gone beyond generic AML policy and carried out a cryptoasset-specific risk assessment at the individual token level. - It helps demonstrate to the FCA (or internal audit) that the firm understands: - which tokens are higher-risk from an ML/TF perspective, - how those risks are mitigated (e.g. venue choice, monitoring scenarios, thresholds, restricted jurisdictions), and - where the firm may decide not to list or to delist a token. - This can be referenced in your FCA registration file and ongoing supervisory interactions as evidence of a structured financial crime control environment around crypto offerings.</t>
  </si>
  <si>
    <t>Sanctions compliance – UK sanctions framework &amp; OFSI guidance</t>
  </si>
  <si>
    <t>Sanctions and Anti-Money Laundering Act 2018 – primary legislation for the UK’s autonomous sanctions regimes. (Legislation.gov.uk) UK financial sanctions general guidance from OFSI and HM Treasury (how to comply with financial sanctions, screening expectations, asset freezes, reporting). (GOV.UK) Wider guidance and commentary on the UK sanctions regime (e.g. Law Society guidance). (Law Society)</t>
  </si>
  <si>
    <t>- Firms must ensure they do not: - deal with sanctioned persons or entities, - make funds or economic resources available, directly or indirectly, to designated persons, or - participate in arrangements that circumvent sanctions. - Appropriate screening and controls must be in place for customers, counterparties, and (for crypto) potentially for wallets/addresses, protocols or projects that are the subject of sanctions or sectoral measures. (GOV.UK)</t>
  </si>
  <si>
    <t>- Tab 3 contains questions specifically focused on sanctions exposure, such as: - whether relevant token contracts, treasuries or major counterparties are linked to designated persons or sanctioned jurisdictions; - the presence of OFAC/UK-sanctioned addresses or entities in the project’s history or ecosystem; - whether the token is widely used in typologies that overlap with sanctions evasion. - By assigning a sanctions risk score and band, Tab 3 gives a transparent basis for deciding: - whether to permit any activity involving the token, - whether to limit access (e.g. no support for self-hosted wallets in particular jurisdictions), and - how to parameterise sanctions screening and alerts for flows involving that token.</t>
  </si>
  <si>
    <t>Financial crime systems &amp; controls – SYSC 6</t>
  </si>
  <si>
    <t>SYSC 6.1.1R – firms must establish, implement and maintain adequate policies and procedures to ensure compliance with obligations under the regulatory system, including countering the risk that the firm might be used to further financial crime. (FCA Handbook) FCA Financial Crime Guide (FCG) and related FG18/5 guidance on financial crime systems and controls, including application of SYSC 6.1.1R. (FCA Handbook)</t>
  </si>
  <si>
    <t>- Firms must have effective systems and controls proportionate to the nature, scale and complexity of their activities, including products and services that present higher financial crime risk (such as cryptoassets). - They should be able to demonstrate how they identify, assess and mitigate financial crime risks at the product, customer and transaction levels. - Supervisors place particular scrutiny on how new products and technologies are risk assessed and embedded into the financial crime framework. (FCA Handbook)</t>
  </si>
  <si>
    <t>- Tab 3 acts as a product-level financial crime risk tool within your wider SYSC 6 framework. - It documents, in a consistent and repeatable way, the key ML/TF and sanctions risk factors for each token and assigns a risk band that can feed into: - onboarding decisions (list vs do not list), - monitoring rules and thresholds (e.g. stricter surveillance for higher-risk tokens), and - periodic re-assessment cycles. - This can be pointed to in your SYSC 6 documentation and financial crime policies as the mechanism by which crypto products are brought within the firm’s risk identification, assessment and mitigation processes.</t>
  </si>
  <si>
    <t>International standards &amp; typologies (FATF, JMLSG, etc.)</t>
  </si>
  <si>
    <t>FATF Recommendations on virtual assets (VAs) and VASPs, including risk-based approach, Travel Rule, and expectations around VA-specific ML/TF risks. (Reflected in UK implementation via MLRs and FCA guidance.) (ICAEW) JMLSG guidance on risk-based approach for new products and technologies (Part I, Ch. 4). (jmlsg.org.uk)</t>
  </si>
  <si>
    <t>- Regulators expect firms to have regard to international standards on cryptoasset ML/TF risk, especially FATF’s VA/VASP guidance. - Firms should understand and respond to emerging typologies (e.g. mixing, DeFi, cross-chain bridges, ransomware, darknet markets) and not treat crypto like a simple extension of fiat payments.</t>
  </si>
  <si>
    <t>- Tab 3 explicitly incorporates crypto-specific typologies and technology risks (e.g. mixers, privacy protocols, DeFi exploits, high-risk venues) into its scoring, aligning your analysis with emerging FATF/JMLSG expectations. - This makes it easier, in audits or supervisory visits, to show that your AML/CTF assessments for cryptoassets are aligned with current international standards and not based on outdated or purely fiat-centric assumptions.</t>
  </si>
  <si>
    <t>How Tab 4 helps evidence this</t>
  </si>
  <si>
    <t>Systems and controls for technology &amp; operational risk (SYSC)</t>
  </si>
  <si>
    <t>SYSC 3.1.1R – firms must take reasonable care to establish and maintain effective systems and controls for compliance with regulatory obligations and for managing risk. SYSC 4.1.1R – firms must have robust governance arrangements, including effective processes to identify, manage, monitor and report risks. SYSC 13 &amp; 13.7 (for certain firms) – additional expectations around operational risk and business continuity.</t>
  </si>
  <si>
    <t>- Technology and operational arrangements (including those supporting crypto services) must be fit for purpose, controlled, and subject to appropriate risk management. - Firms must be able to identify and monitor key operational/technical risks in the products they offer, not just in their own internal IT stack. - Senior management should be able to explain how technical risk in products is understood, monitored and reflected in risk appetite and controls.</t>
  </si>
  <si>
    <t>- Tab 4 gives a structured assessment of protocol and smart contract security, feeding directly into the firm’s SYSC 3/4 view of operational risk associated with the token. - Questions around vulnerability management, incident history, governance controls and resilience build a documented record of the technical risks you are accepting by listing/supporting this token. - The resulting scores and risk bands can be referenced in risk appetite discussions, product approval papers and the operational risk register as evidence that crypto product technical risks are being actively assessed.</t>
  </si>
  <si>
    <t>Operational resilience – important business services and impact of disruption</t>
  </si>
  <si>
    <t>FCA Operational Resilience framework (PS21/3 and related rules in the FCA Handbook – primarily in SYSC and the Operational Resilience sourcebook for in-scope firms): firms must identify important business services, set impact tolerances and ensure they can remain within those tolerances under severe but plausible disruptions.</t>
  </si>
  <si>
    <t>- Firms must understand how reliance on particular technologies, infrastructures or third-party services could cause intolerable harm to customers or market integrity if they fail. - Crypto-related services (e.g. custody, trading, staking) that are “important business services” require particular attention to resilience and failure modes. - There should be a clear view of how protocol-level failures or exploits could affect the firm’s ability to deliver services within impact tolerances.</t>
  </si>
  <si>
    <t>- Tab 4 helps identify tokens where protocol or contract weaknesses could realistically cause service disruption (e.g. trading halts, frozen funds, permanent loss) for your clients. - Where a token underpins an important business service (e.g. major trading pair, staking product), Tab 4 scores and narratives inform your operational resilience mapping, by documenting the likelihood and impact of technical failure. - These insights can be used to support decisions such as position limits, venue selection, contingency plans and disclosure in operational resilience documentation.</t>
  </si>
  <si>
    <t>Outsourcing, third-party and dependency risk</t>
  </si>
  <si>
    <t>SYSC 8 – outsourcing: requires that where a firm outsources critical or important operational functions, it must ensure the service provider has the ability, capacity and authorisation to carry out the functions reliably and professionally, and that the firm remains responsible for compliance. FCA outsourcing / third-party risk guidance emphasises understanding dependencies and ensuring appropriate oversight and exit strategies.</t>
  </si>
  <si>
    <t>- Firms must identify and manage critical dependencies on third-party providers (including technology providers, infrastructure, and crucial external services such as oracles or bridges). - Outsourcing or relying on third parties does not dilute the firm’s responsibility; firms must ensure they have adequate oversight, contingency and control.</t>
  </si>
  <si>
    <t>- Tab 4 captures key technical dependencies for each token (e.g. reliance on a specific oracle network, bridge, centralised sequencer, governance admin key, custodian or infrastructure provider). - It allows you to flag tokens where a single failure point (e.g. centralised multisig, unaudited bridge, off-chain oracle dependency) creates an unacceptable level of dependency risk. - You can use the Tab 4 outputs to explain, in your outsourcing/third-party risk framework, why certain tokens are restricted, require additional monitoring, or are only supported on particular venues or custody arrangements.</t>
  </si>
  <si>
    <t>Cyber &amp; information security expectations</t>
  </si>
  <si>
    <t>FCA guidance and SYSC provisions emphasising IT and cyber security as part of effective systems and controls (e.g. FCG cyber guidance, thematic reviews on cyber and technology resilience). PRA/FCA material on cyber risk (e.g. cyber resilience statements, Dear CEO letters) often stresses the need for robust protection against cyber attacks and fraud.</t>
  </si>
  <si>
    <t>- Firms must take steps to ensure that IT environments and interfaces with external systems (including crypto protocols, APIs, nodes, wallets) are secure. - Where a product relies on external protocols and smart contracts, firms should understand key vulnerability vectors (e.g. admin key compromise, oracle manipulation, re-entrancy exploits) and reflect them in risk management.</t>
  </si>
  <si>
    <t>- Tab 4 surfaces whether a token’s protocol and contracts have a history of exploits or critical vulnerabilities, whether security best practices (e.g. audited, open-source, peer-reviewed code) are in place, and how quickly issues have been remediated in the past. - This allows your IT/cyber risk function and product owners to see where technical risk is particularly acute and where additional controls (e.g. limited functionality, enhanced monitoring, no leverage or derivatives on that token) may be required. - It also creates a record that cyber/technical risk has been considered at product level, not just at infrastructure level.</t>
  </si>
  <si>
    <t>Market integrity and conduct – impact of technical design on fairness and manipulation</t>
  </si>
  <si>
    <t>Principles for Businesses – particularly: - Principle 1 (Integrity) – conducting business with integrity. - Principle 2 (Skill, care and diligence) – managing products and risks competently. FCA market abuse / market integrity expectations (while the formal UK MAR regime may not apply directly to unregulated cryptoassets, the FCA expects firms to manage market integrity and abuse risks in line with their authorisations and permissions).</t>
  </si>
  <si>
    <t>- Firms are expected not to facilitate markets or products that are structurally prone to abuse or unfair outcomes, particularly where technical design encourages manipulation or unfair advantage. - Even where a specific regime (like MAR) is not fully applicable, firms must consider conduct and integrity risks arising from product structures and protocols (e.g. privileged insiders, upgrade powers, oracle design).</t>
  </si>
  <si>
    <t>- Tab 4 includes questions on upgrade and control mechanisms, oracle design, admin keys and governance rights, which affect the potential for technical manipulation (e.g. changing rules mid-game, pausing contracts, shutting out users). - By scoring these factors, you can distinguish between tokens with robust, decentralised, transparent technical control structures and those where a small group can materially change or halt the protocol, raising integrity concerns. - This supports conduct and market integrity obligations by demonstrating that technical features that could facilitate unfair practices have been explicitly considered before listing.</t>
  </si>
  <si>
    <t>Consumer Duty – reliability and foreseeable harm from technical failure</t>
  </si>
  <si>
    <t>PRIN 2A – Consumer Duty, especially: - Products and services outcome (PRIN 2A.3) – products should function as anticipated and deliver outcomes in line with customers’ needs. - Consumer support / foreseeable harm concepts – firms should avoid causing foreseeable harm through poor product design or unreliable services.</t>
  </si>
  <si>
    <t>- Firms should not offer products where foreseeable and material technical failures are likely to cause harm (e.g. repeated contract exploits, unsafe bridges, known critical vulnerabilities). - Where technical risk is material, it should be reflected in product design, disclosures, restrictions, and ongoing oversight.</t>
  </si>
  <si>
    <t>- Tab 4 gives an explicit, quantitative view of foreseeable technical harms: probability and impact of exploit, contract failure, or protocol malfunction. - This supports Consumer Duty by allowing you to show that you identified foreseeable technical harms, assessed their severity, and either: - mitigated them (through controls, disclosures, product design), or - decided not to offer or to withdraw exposure to certain tokens. - The Tab 4 narrative can be incorporated into Duty-focused product reviews and outcome assessments.</t>
  </si>
  <si>
    <t>How Tab 5 helps evidence this</t>
  </si>
  <si>
    <t>Market integrity &amp; market abuse (even where MAR doesn’t strictly apply)</t>
  </si>
  <si>
    <t>FCA Market Abuse Regulation (MAR) material – MAR aims to increase market integrity and investor protection by tackling insider dealing, unlawful disclosure and market manipulation.(FCA) FCA market abuse pages stress firms’ responsibility for safeguards against abusive behaviours.(FCA) FCA DP24/4 – Regulating cryptoassets: Admissions &amp; Disclosures and Market Abuse Regime for Cryptoassets (MARC) – developing a crypto-specific market abuse regime that mirrors MAR-style outcomes.(FCA)</t>
  </si>
  <si>
    <t>- Firms should not facilitate trading environments that are systemically prone to abuse (e.g. persistent manipulation, wash trading, insider dealing), even where MAR technically applies only to certain instruments/venues. - Cryptoasset markets are increasingly expected to align with market integrity standards similar to those under MAR, especially as a dedicated MARC framework is developed. - Firms should have arrangements and surveillance to identify unusual or abusive patterns and respond appropriately.(FCA)</t>
  </si>
  <si>
    <t>- Tab 5 specifically looks for indicators of wash trading, spoofing-style activity, extreme concentration of volume or holdings, and structurally weak venues, giving a transparent assessment of the market integrity for each token. - High scores in the “manipulation/abuse” questions provide a clear signal that the token’s trading environment may be inconsistent with the FCA’s expectations on orderly and abuse-resistant markets, even if the token/venue is formally outside MAR. - These outputs support your argument that you either: - apply enhanced surveillance and restrictions for certain tokens; or - decline to list them where market integrity is too weak.</t>
  </si>
  <si>
    <t>Best execution, order handling and fair pricing / liquidity</t>
  </si>
  <si>
    <t>COBS 11 – Dealing and managing: - COBS 11.2A (Best execution – MiFID provisions) – firms must take all reasonable steps to obtain the best possible result for clients, considering price, costs, speed, likelihood of execution/settlement and other relevant factors.(beta-handbook.fca.org.uk) - COBS 11.3 – client order handling rules (fair, prompt, expeditious execution; avoiding adverse impact on clients).</t>
  </si>
  <si>
    <t>- Where best execution obligations apply, firms must be able to demonstrate that they considered liquidity, spreads, depth and execution likelihood across different venues when designing execution arrangements. - Even outside strict MiFID best execution scope, firms promoting trading in certain assets are expected to consider whether the trading environment produces fair pricing and reasonable execution outcomes.</t>
  </si>
  <si>
    <t>- Tab 5’s focus on liquidity depth, spreads, slippage and venue quality gives a structured view of whether it is realistically possible to achieve “good” execution outcomes in the token under plausible trade sizes. - The scores highlight tokens where liquidity is so thin or fragmented that material slippage or failed execution is likely, which can be factored into: - your best execution policy, - internal lists of tokens permitted for execution, and - position size / ticket size guidance. - This helps demonstrate that you have considered liquidity and execution factors in line with COBS 11.2A/11.3, even where the token trades on venues technically outside MiFID scope.</t>
  </si>
  <si>
    <t>Consumer Duty – price &amp; value, foreseeable harm from illiquidity and volatile trading conditions</t>
  </si>
  <si>
    <t>PRIN 2A – Consumer Duty: - PRIN 2A.3 Products and services outcome – products should work as reasonably expected and be designed for a defined target market. - PRIN 2A.4 Price and value outcome – there should be a reasonable relationship between price and benefits; poor value can arise where trading conditions impose excessive friction.(FCA) FCA commentary on high-risk investments and crypto promotions emphasises the need to consider liquidity, volatility and exit risk when assessing suitability for retail investors.(FCA)</t>
  </si>
  <si>
    <t>- Firms should not put customers into products where foreseeable trading conditions (e.g. chronic illiquidity, extreme slippage, inability to exit) are likely to cause foreseeable harm or poor value. - Liquidity, volatility and depth should be factored into decisions about whether a cryptoasset is appropriate for retail, restricted to certain client types, or not offered at all.</t>
  </si>
  <si>
    <t>- Tab 5 quantifies liquidity and exit risk (spreads, depth, ability to execute in typical trade sizes) and flags tokens where customers may struggle to exit positions at a fair price. - It also considers volatility / market quality elements that can make realisable value materially different from notional value (e.g. manipulated pumps, thin order books). - These insights support your Consumer Duty work by linking the economic experience clients actually get in the market to your product and value assessments – and can justify limiting or prohibiting retail access where market conditions are consistently poor.</t>
  </si>
  <si>
    <t>Financial promotions for high-risk investments / cryptoassets – clarity about trading conditions</t>
  </si>
  <si>
    <t>PS23/6 – Financial promotion rules for cryptoassets and associated guidance: qualifying cryptoassets are treated as Restricted Mass Market Investments (RMMIs) with strengthened promotion rules (risk warnings, appropriateness, cooling-off, banned incentives).(FCA) FCA good and poor practice review on back-end cryptoasset financial promotions (2024) emphasises that firms must ensure ongoing promotions remain fair, clear and not misleading, including around liquidity and trading risks.(FCA) Under COBS 4, financial promotions (including crypto) must be fair, clear and not misleading, and must not disguise, diminish or obscure important information.(FCA)</t>
  </si>
  <si>
    <t>- Promotions for cryptoassets must give a balanced and accurate picture of the risks, including those arising from illiquidity, volatility, potential for slippage, and venue quality. - Firms must ensure that what is said about tradability, liquidity and “ease of exit” is true in practice and not undermined by actual market conditions. - Where liquidity or market quality changes over time, firms should review whether promotions remain accurate and compliant.</t>
  </si>
  <si>
    <t>- Tab 5 helps you check whether claims about a token being “liquid”, “widely traded” or “easy to exit” are actually supported by data (depth, spreads, number/quality of venues). - Where Tab 5 scores indicate weak or deteriorating liquidity, you can: - review and adjust cryptoasset promotions, - add or strengthen risk warnings about liquidity/exit risk, or - restrict marketing to certain client types. - This provides a clear evidential link between observed market conditions and how you draft and maintain crypto financial promotions under PS23/6 and COBS 4.</t>
  </si>
  <si>
    <t>Financial crime through markets – wash trading, layering and manipulation via illiquid markets</t>
  </si>
  <si>
    <t>FCA analysis on Money Laundering Through the Markets (MLTM) highlights how capital markets can be used to move criminally generated funds and that thin or opaque markets are particularly vulnerable to manipulation and layering.(FCA) FCA speeches and strategy documents on fighting financial crime and market abuse stress surveillance and controls in markets with higher inherent manipulation risk.(FCA)</t>
  </si>
  <si>
    <t>- Firms should recognise that illiquid or lightly regulated trading venues can be used to facilitate both market abuse and broader financial crime (e.g. wash trading to create artificial volume, layering to move value). - They are expected to design surveillance and product governance frameworks that account for these vulnerabilities, especially where they list or support trading in such instruments.</t>
  </si>
  <si>
    <t>- Tab 5 explicitly looks at volume quality, patterns of trading and concentration, making it easier to identify tokens where wash trading or artificial volume is likely. - High-risk findings in Tab 5 can be directly linked into: - enhanced surveillance scenarios, - controls around which venues you will route orders to, and - decisions to avoid listing or to delist tokens with persistent integrity red flags. - This shows that your firm is connecting market integrity and financial crime risks into product and venue selection, not just client-level AML controls.</t>
  </si>
  <si>
    <t>How Tab 6 helps evidence this</t>
  </si>
  <si>
    <t>Consumer Duty – culture, foreseeable harm and trust</t>
  </si>
  <si>
    <t>PRIN 2A – Consumer Duty: requires firms to act to deliver good outcomes for retail customers, including products &amp; services, price &amp; value, consumer understanding and support.(FCA Handbook) The Duty and related guidance emphasise firm culture, governance and monitoring of outcomes, not just technical rule compliance.(Simmons &amp; Simmons)</t>
  </si>
  <si>
    <t>- Firms should not engage in or promote products where foreseeable harm is likely – including harm to trust and confidence – because of the way a project behaves, communicates or treats users. - Culture and conduct around products (e.g. repeated controversies, misleading claims, aggressive hype) are relevant to assessing overall outcomes. - Boards and senior managers must consider whether a product fits with the firm’s values and customer proposition, not just whether it’s technically allowed.</t>
  </si>
  <si>
    <t>- Tab 6 surfaces strategic and reputational red flags: past scandals, enforcement actions, fraud allegations, customer harm episodes, or patterns of behaviour by founders/teams that make foreseeable harm more likely. - It allows you to document when a token is in tension with your stated customer outcomes and values, even if it can be structured to be technically compliant. - The resulting scores and narratives support Consumer Duty governance by showing you have considered wider trust and cultural aspects in deciding whether to list / maintain / restrict a token.</t>
  </si>
  <si>
    <t>Anti-greenwashing &amp; ESG/sustainability claims</t>
  </si>
  <si>
    <t>FCA’s Sustainability Disclosure Requirements (SDR) and investment labels regime (PS23/16) introduces an anti-greenwashing rule that applies to all FCA-authorised firms making sustainability-related claims.(FCA) The anti-greenwashing rule requires that any sustainability-related claims be fair, clear and not misleading and consistent with the product’s actual sustainability characteristics.(FCA) FCA guiding principles on ESG/sustainable investment funds (Dear Chair letter and follow-up reviews) set expectations that ESG claims are specific, evidence-based and reflected in holdings.(FCA)</t>
  </si>
  <si>
    <t>- Any claims your firm makes about ESG, sustainability, impact or responsibility – including in crypto-related products and marketing – must be accurate, substantiated and not exaggerated. - Firms must avoid greenwashing or “ESG-washing”, including by associating with projects whose actual practices conflict with the sustainability story presented to clients. - If a firm positions itself as ESG-aware or uses sustainability language, its product set should be broadly coherent with that positioning.</t>
  </si>
  <si>
    <t>- Tab 6 assesses whether the token’s environmental, social and governance reality is broadly aligned with any ESG or “responsible investing” narrative you use, or that the issuer uses and you might amplify. - High ESG-risk scores (e.g. significant environmental concerns, governance controversies, social harms) help you identify tokens where including them in “responsible” or ESG-themed offerings could breach anti-greenwashing expectations. - The tab’s outputs can be referenced when documenting how you have ensured ESG-related claims about your crypto offerings are consistent with underlying assets, in line with the anti-greenwashing rule and SDR expectations.</t>
  </si>
  <si>
    <t>ESG / sustainability disclosure expectations for investment products</t>
  </si>
  <si>
    <t>FCA PS23/16 – SDR and investment labels: sets rules for UK asset managers on sustainability labels, product &amp; entity-level ESG disclosures, and naming &amp; marketing of sustainable products.(FCA) FCA’s earlier guiding principles for ESG/sustainable funds highlight design, delivery and disclosure expectations – clear ESG objectives, coherent strategies and holdings that match stated aims.(FCA)</t>
  </si>
  <si>
    <t>- Where firms offer sustainable or ESG-labelled products, regulators expect a clear link between: - the stated ESG objectives of the product, and - the actual assets held or referenced (including tokens). - ESG claims should be internally consistent across products, disclosures and marketing; holdings should not materially contradict the stated ESG characteristics.</t>
  </si>
  <si>
    <t>- Tab 6 helps you determine whether including a particular token in ESG-labelled or sustainability-themed portfolios would be credible, or whether it would undermine those claims. - For tokens scoring poorly on ESG dimensions (e.g. environmentally intensive, governance controversies, social harms), Tab 6 provides a documented rationale for: - excluding them from ESG products, - restricting them to non-ESG ranges, or - applying additional disclosure if exposures are unavoidable. - This supports your ability to evidence that ESG-themed offerings match their stated ESG profile, as expected under SDR and related guidance.</t>
  </si>
  <si>
    <t>Governance, SMCR and reputational risk management</t>
  </si>
  <si>
    <t>PRIN 2.1 – Principles for Businesses include: - Principle 1 – Integrity, - Principle 2 – Skill, care and diligence, - Principle 3 – Management and control (adequate risk management systems), and - Principle 6 – Customers’ interests.(FCA Handbook) SYSC 4.1.1R – firms must have robust governance arrangements including effective processes to identify, manage, monitor and report the risks they are exposed to.(FCA Handbook) FCA commentary on reputational risk highlights the need for firms to use that concept carefully and consistently, not as a vague catch-all, and to link it to concrete risk factors and decisions.(FCA)</t>
  </si>
  <si>
    <t>- Firms are expected to manage reputational risk in a structured way linked to real underlying issues (e.g. customer harm, misconduct, ESG controversies), not as an arbitrary veto. - Senior Managers must be able to explain and justify why certain products or relationships are acceptable or not in terms of the firm’s integrity, culture and risk appetite. - Governance frameworks should show how issues such as misconduct history, enforcement actions, social harm, or controversial industries are factored into product decisions.</t>
  </si>
  <si>
    <t>- Tab 6 gives you a systematic framework for assessing reputational risk at the token/project level: - prior enforcement or regulatory actions; - serious fraud or misconduct allegations; - ongoing controversies or social harms; - alignment with or divergence from your firm’s stated values and strategy. - The resulting reputational/strategic risk scores and bands can be explicitly referenced in product approval, review and exit decisions, demonstrating that reputational risk has been considered in a structured, evidence-based way rather than as an ad hoc label. - This supports PRIN 1–3 and SYSC expectations around integrity, skill and control in managing your product set.</t>
  </si>
  <si>
    <t>Culture, conduct and wider societal impact / ESG expectations</t>
  </si>
  <si>
    <t>FCA speeches, Dear CEO letters and thematic work on culture and conduct emphasise that firms must embed cultures that prioritise good customer outcomes and integrity, not short-term gains. FCA sustainable finance/ESG work (e.g. SDR, guiding principles, consultations on ESG ratings) reflects broader regulatory expectations that firms take ESG factors and societal impact seriously where relevant to their activities.(FCA)</t>
  </si>
  <si>
    <t>- The FCA increasingly expects firms to think about how their products affect customers and markets in the round, including societal and environmental dimensions where relevant. - Culture is judged not just by internal policies, but by which clients, sectors and products firms choose to support, and how they behave when issues arise.</t>
  </si>
  <si>
    <t>- Tab 6 allows you to capture whether association with a given token is consistent with the culture and societal stance your firm is trying to maintain (e.g. around environmental impact, human rights, exploitation, governance standards). - By documenting where there is a serious misalignment (e.g. repeated association with scams, exploitative schemes, or environmentally extreme practices), Tab 6 helps you justify: - declining to list or withdrawing support; - limiting distribution channels; or - applying enhanced disclosures and governance around that token. - This makes it easier to show, in culture and ESG discussions with regulators, that product choices are aligned with the firm’s stated values and ESG strategy, not just short-term commercial opportunities.</t>
  </si>
  <si>
    <t>Question_ID</t>
  </si>
  <si>
    <t>Question_Text</t>
  </si>
  <si>
    <t>Raw_Response</t>
  </si>
  <si>
    <t>Confidence</t>
  </si>
  <si>
    <t>Raw_Points</t>
  </si>
  <si>
    <t>Reliability_Modifier</t>
  </si>
  <si>
    <t>Reliability_Adjusted_Points</t>
  </si>
  <si>
    <t>Source_Citations</t>
  </si>
  <si>
    <t>Source_Dates</t>
  </si>
  <si>
    <t>Accessed_Dates</t>
  </si>
  <si>
    <t>Most_Recent_Source_Date</t>
  </si>
  <si>
    <t>Days_Since_Source</t>
  </si>
  <si>
    <t>Staleness_Class</t>
  </si>
  <si>
    <t>Staleness_Penalty</t>
  </si>
  <si>
    <t>Final_Score</t>
  </si>
  <si>
    <t>Board_Escalation_Flag</t>
  </si>
  <si>
    <t>Trigger_Rule_Description</t>
  </si>
  <si>
    <t>Narrative_Justification</t>
  </si>
  <si>
    <t>Debug Notes</t>
  </si>
  <si>
    <t>A. Purpose &amp; Utility</t>
  </si>
  <si>
    <t>A1.1</t>
  </si>
  <si>
    <t>Primary token category (Primary &amp; Secondary). Answer using exactly this format: "Primary: &lt;one of: Native L1, Gas/Fee, Governance, Utility, LP/AMM, Stablecoin, Asset-Backed, Meme/Narrative, Other&gt;; Secondary: &lt;one of the same list&gt;". Do not add explanations or extra words.</t>
  </si>
  <si>
    <t>Primary: Governance; Secondary: Utility</t>
  </si>
  <si>
    <t>High</t>
  </si>
  <si>
    <t>https://www.worldlibertyclaims.com/; https://worldlibertyfinancial.com/; https://www.businesswire.com/news/home/20250317855322/en/Trump-Inspired-World-Liberty-Financial-Closes-%24550-Million-Across-Token-Sales</t>
  </si>
  <si>
    <t>2025-11-20; 2025-11-25; 2025-03-17</t>
  </si>
  <si>
    <t>2025-11-25; 2025-11-25; 2025-11-25</t>
  </si>
  <si>
    <t>Evergreen–No Penalty</t>
  </si>
  <si>
    <t>No Review</t>
  </si>
  <si>
    <t>Helper row; scored via primary role only.</t>
  </si>
  <si>
    <t>WLFI is repeatedly described as the governance token of the World Liberty Financial DeFi protocol, used for proposing and voting on platform decisions, making Governance its primary role. It also functions more broadly within the WLFI ecosystem (unlocking, participation, trading within the platform), which is characteristic of a Utility token, justifying Utility as the secondary category.</t>
  </si>
  <si>
    <t>A1.2</t>
  </si>
  <si>
    <t>Stated value proposition (one-sentence summary).</t>
  </si>
  <si>
    <t>A Donald Trump–backed DeFi governance token aiming to bridge legacy finance and on-chain finance by powering a community-governed platform with products like the USD1 stablecoin, lending, and payments apps.</t>
  </si>
  <si>
    <t>Medium</t>
  </si>
  <si>
    <t>https://worldlibertyfinancial.com/; https://coinmarketcap.com/currencies/world-liberty-financial-wlfi/; https://www.coindesk.com/markets/2025/03/14/trump-backed-world-liberty-financial-wlfi-completes-token-sale</t>
  </si>
  <si>
    <t>2025-11-25; 2025-11-01; 2025-03-14</t>
  </si>
  <si>
    <t>Descriptive only; no escalation.</t>
  </si>
  <si>
    <t>WLFI is described by the project as a governance token for a community-governed DeFi platform that “bridges legacy finance and the open economy with purpose-built, onchain products,” including the USD1 stablecoin and planned lending and app products. Independent coverage likewise characterizes WLFI as the governance token for World Liberty Financial’s DeFi protocol and stablecoin ecosystem. This supports summarizing the stated value proposition as a Trump-backed, governance-driven bridge between TradFi and DeFi.</t>
  </si>
  <si>
    <t>A1.3</t>
  </si>
  <si>
    <t>Does real-world usage match the stated purpose? (Yes / Partial / No).</t>
  </si>
  <si>
    <t>Partial</t>
  </si>
  <si>
    <t>https://worldlibertyfinancial.com/; https://www.coindesk.com/business/2025/07/16/trump-linked-wlfi-token-clears-vote-to-become-tradable; https://www.businesswire.com/news/home/20250317855322/en/Trump-Inspired-World-Liberty-Financial-Closes-%24550-Million-Across-Token-Sales</t>
  </si>
  <si>
    <t>2025-08-01; 2025-07-16; 2025-03-17</t>
  </si>
  <si>
    <t>Operational–Medium</t>
  </si>
  <si>
    <t>Escalate only if stated purpose does not match real-world usage AND confidence is Low.</t>
  </si>
  <si>
    <t>WLFI is positioned as a governance token for a DeFi protocol bridging TradFi and DeFi, with products like lending/borrowing and the WLFI app still “coming soon.” In practice, current real‑world use is dominated by fundraising and speculative trading on major exchanges, though token holders have used WLFI for at least one key governance vote (to make it tradable). Because core protocol utilities are only partly live while governance and trading are active, real‑world usage only partially matches the stated purpose.</t>
  </si>
  <si>
    <t>A1.4</t>
  </si>
  <si>
    <t>List current real use cases (bulleted).</t>
  </si>
  <si>
    <t>- Governance voting over World Liberty Financial protocol parameters, upgrades, and strategic decisions (e.g., token unlock schedules, fee policies)
- Voting on treasury management decisions, including deployment of reserves and buyback-and-burn programs for WLFI
- Participating in community governance around roadmap items such as future staking/lending features and potential native chain development for the WLFI/USD1 ecosystem
- Serving as the governance token for the broader WLF DeFi ecosystem that includes the USD1 stablecoin and related on‑chain financial products</t>
  </si>
  <si>
    <t>https://www.datawallet.com/crypto/world-liberty-financial-and-wlfi-explained; https://blog.bingx.com/bingx-insights/what-is-wlfi-a-deep-dive-into-world-liberty-financials-governance-token/; https://bsc.news/pro/post/world-liberty-financial-wlfi-analysis</t>
  </si>
  <si>
    <t>2025-06-20; 2025-11-10; 2025-09-15</t>
  </si>
  <si>
    <t>No trigger; used by A1.5/A3.1.</t>
  </si>
  <si>
    <t>Public and exchange research consistently describe WLFI as a governance token used to vote on protocol upgrades, treasury and burn mechanisms, and roadmap decisions for the World Liberty Financial/USD1 DeFi ecosystem. There is limited evidence of other live, non-governance utilities, so listed use cases are constrained to governance-related functions only.</t>
  </si>
  <si>
    <t>A1.5</t>
  </si>
  <si>
    <t>Identify and weight the main user groups of the token. Answer only in this format, using up to three groups: "&lt;Group1&gt; (primary), &lt;Group2&gt; (secondary), &lt;Group3&gt; (minor)". Choose user groups from: Developers, Validators, Retail, Institutions, Protocol integrators, Speculators. If speculators are only a minor group, write "Speculators (minor)". If they are a major driver, write "Speculators (primary)". Do not add any other words or explanation.</t>
  </si>
  <si>
    <t>Speculators (primary), Institutions (secondary), Retail (minor)</t>
  </si>
  <si>
    <t>https://www.coindesk.com/markets/2025/03/14/trump-backed-world-liberty-financial-wlfi-completes-token-sale; https://www.businesswire.com/news/home/20250317855322/en/Trump-Inspired-World-Liberty-Financial-Closes-%24550-Million-Across-Token-Sales; https://worldlibertyfinancial.com/</t>
  </si>
  <si>
    <t>2025-03-14; 2025-03-17</t>
  </si>
  <si>
    <t>Escalate only if speculative demand dominates AND no real use cases exist (A1.4 = 0 items).</t>
  </si>
  <si>
    <t>WLFI functions as a governance token for a DeFi protocol but has been framed around large, high-valuation token sales and subsequent trading, suggesting speculation is a primary driver. The project raised hundreds of millions via token offerings and pre-sales with accredited investors and large buyers, indicating strong institutional involvement. While the app and products target individuals as well, retail appears relatively less central at this stage.</t>
  </si>
  <si>
    <t>A1-N</t>
  </si>
  <si>
    <t>≤120-word narrative summary for A.1 (purpose &amp; design).</t>
  </si>
  <si>
    <t>World Liberty Financial’s WLFI token is an ERC‑20 governance token for a KYC-gated DeFi ecosystem built around USD-backed stablecoins and on-chain lending. It was designed as “governance-only,” initially non-transferable and with no direct economic rights, to fit within a U.S.-compliance-focused framework. Holders can vote on protocol upgrades, unlock schedules for locked allocations, partnerships, and broader strategic decisions. WLFI’s design includes a large initial locked supply in a smart-contract “Lockbox” and a 5% per-wallet voting cap to limit control concentration. Over time, governance has also been used to enable secondary-market trading while preserving the token’s core role as a governance and policy-setting instrument for the WLF platform.</t>
  </si>
  <si>
    <t>https://www.datawallet.com/crypto/world-liberty-financial-and-wlfi-explained; https://blog.bingx.com/bingx-insights/what-is-wlfi-a-deep-dive-into-world-liberty-financials-governance-token/; https://www.reuters.com/business/finance/uae-fund-buys-100-million-trumps-world-liberty-tokens-2025-06-27/</t>
  </si>
  <si>
    <t>2025-09-15; 2025-11-10; 2025-06-27</t>
  </si>
  <si>
    <t>Informational only; no trigger.</t>
  </si>
  <si>
    <t>Multiple independent sources describe WLFI as an ERC‑20 governance token for World Liberty Financial’s DeFi and USD stablecoin ecosystem, with initial non-transferability, no economic rights, KYC gating, lockbox-based unlocks, and a 5% voting cap, and later governance-approved tradability. This directly supports a concise purpose and design summary.</t>
  </si>
  <si>
    <t>A2.1</t>
  </si>
  <si>
    <t>Is the token required for core protocol operation? (Yes / Partially / No).</t>
  </si>
  <si>
    <t>No</t>
  </si>
  <si>
    <t>https://www.worldlibertyclaims.com/; https://worldlibertyfinancial.com/; https://www.coindesk.com/markets/2025/03/14/trump-backed-world-liberty-financial-wlfi-completes-token-sale/</t>
  </si>
  <si>
    <t>2025-11-20; 2025-11-25; 2025-03-14</t>
  </si>
  <si>
    <t>Available documentation describes WLFI primarily as a governance token used for proposing and voting on protocol decisions, with users steering the future of the platform via WLFI-based voting. Core products (USD1 stablecoin, lending/borrowing, app) are presented as financial services that do not technically require WLFI to function in normal use, suggesting WLFI is not strictly required for core protocol operation, even if it is important for governance and upgrades.</t>
  </si>
  <si>
    <t>A2.2</t>
  </si>
  <si>
    <t>Does the token provide access to meaningful network services? (Yes / Limited / No).</t>
  </si>
  <si>
    <t>Limited</t>
  </si>
  <si>
    <t>https://worldlibertyfinancial.com/; https://coinmarketcap.com/currencies/world-liberty-financial-wlfi/; https://governance.worldlibertyfinancial.com/t/token-unlock-agreement-unlock-agreement-will-definitely-be-in-circulation-below-5-billion-as-there-are-some-wlfi-bought-by-bots-wallet-changes-that-will-not-be-eligible-for-unlocking/40302</t>
  </si>
  <si>
    <t>2025-08-26</t>
  </si>
  <si>
    <t>WLFI is positioned as the native/governance token of the World Liberty Financial DeFi platform, giving holders voting power over protocol decisions and token unlocks, and integrating with tools like the WLFI bridge and forthcoming app, lending, and borrowing products. However, most concrete described utilities are governance-related and several network services remain "coming soon," so practical access to live, non-governance services is currently limited rather than extensive.</t>
  </si>
  <si>
    <t>A2.3</t>
  </si>
  <si>
    <t>How dependent is utility on future network growth? (Low / Moderate / High).</t>
  </si>
  <si>
    <t>https://worldlibertyfinancial.com/; https://www.worldlibertyclaims.com/; https://www.coindesk.com/markets/2025/03/14/trump-backed-world-liberty-financial-wlfi-completes-token-sale</t>
  </si>
  <si>
    <t>2025-11-22; 2025-11-20; 2025-03-14</t>
  </si>
  <si>
    <t>WLFI is primarily a governance token for the World Liberty Financial DeFi protocol and its product suite (USD1 stablecoin, lending/borrowing, WLFI app). Its practical utility—governing upgrades, product parameters, and treasury/fund allocation—becomes economically meaningful only if the protocol and USD1 achieve substantial adoption and usage. Thus, token utility is highly contingent on future growth of the WLFI ecosystem and user base.</t>
  </si>
  <si>
    <t>A2-N</t>
  </si>
  <si>
    <t>≤120-word narrative summary for A.2 (utility &amp; necessity).</t>
  </si>
  <si>
    <t>WLFI is the native governance and access token for the World Liberty Financial ecosystem, which aims to bridge DeFi lending, borrowing and its USD1 stablecoin with more traditional-style financial services. WLFI primarily grants voting rights over protocol upgrades, parameters, incentives and ecosystem expansion, giving holders influence over platform direction rather than formal profit rights. As the token became transferable, its role expanded beyond “governance-only” to include planned or emerging utilities such as staking, access to premium app features and participation in ecosystem opportunities and fee-based services. Overall, WLFI is positioned as the key coordination and participation asset needed to steer and use the WLF platform, though parts of this utility set remain roadmap- or proposal-stage.</t>
  </si>
  <si>
    <t>https://worldlibertyfinancial.com/; https://meme-insider.com/en/article/wlfi-token-guide-world-liberty-financial-unlocks-listings-and-usd1/; https://governance.worldlibertyfinancial.com/t/governance-proposal-unlocking-real-value-a-staking-utility-model-for-wlfi/42972</t>
  </si>
  <si>
    <t>2025-07-15; 2025-07-20; 2025-09-03</t>
  </si>
  <si>
    <t>Sources consistently describe WLFI as the governance token for World Liberty Financial, used to vote on protocol decisions and shape platform evolution. Later materials and community proposals indicate an expanded role, including staking, access to features and use within the WLF app and ecosystem, some of which are still under development. As utilities are evolving and not all are confirmed as live, I set confidence to Medium and note roadmap-stage elements explicitly.</t>
  </si>
  <si>
    <t>A3.1</t>
  </si>
  <si>
    <t>Is token demand usage-driven, mixed, or speculative? (Usage-driven / Mixed / Speculative).</t>
  </si>
  <si>
    <t>Speculative</t>
  </si>
  <si>
    <t>https://www.coindesk.com/markets/2025/03/14/trump-backed-world-liberty-financial-wlfi-completes-token-sale; https://governance.worldlibertyfinancial.com/t/wlfis-grand-opening-a-new-era-begins-in-the-crypto-market/22457; https://coinmarketcap.com/currencies/world-liberty-financial-wlfi/</t>
  </si>
  <si>
    <t>2025-03-14; 2025-07-01</t>
  </si>
  <si>
    <t>Escalate only if demand is speculative AND no real use cases exist (A1.4 = 0 items).</t>
  </si>
  <si>
    <t>WLFI is primarily positioned as a governance token for the World Liberty Financial DeFi platform and associated USD1 stablecoin, with rights focused on voting and governance rather than established in-protocol utility or fee-based usage. Demand so far is driven by large fundraising rounds and trading/speculation around its Trump-linked narrative and token sale rather than mature, usage-driven demand for protocol services.</t>
  </si>
  <si>
    <t>A3-N</t>
  </si>
  <si>
    <t>≤120-word narrative summary for A.3 (demand characterization).</t>
  </si>
  <si>
    <t>WLFI demand is driven primarily by its role as the governance token of the World Liberty Financial DeFi platform and its association with the Trump family, which has attracted large speculative and politically motivated interest. The project raised roughly $550–590 million across presales from tens of thousands of KYC’ed participants, indicating strong initial investment demand. As WLFI becomes tradable and presale allocations unlock, ongoing demand will likely depend on the adoption of WLFI-governed products (especially the USD1 stablecoin and lending/borrowing platform) versus selling pressure from early investors.</t>
  </si>
  <si>
    <t>https://www.businesswire.com/news/home/20250317855322/en/Trump-Inspired-World-Liberty-Financial-Closes-%24550-Million-Across-Token-Sales; https://www.coindesk.com/markets/2025/03/14/trump-backed-world-liberty-financial-wlfi-completes-token-sale; https://www.coindesk.com/business/2025/07/16/trump-linked-wlfi-token-clears-vote-to-become-tradable</t>
  </si>
  <si>
    <t>2025-03-17; 2025-03-14; 2025-07-16</t>
  </si>
  <si>
    <t>Summary synthesizes primary reporting on WLFI’s governance role, presale scale and unlock/tradability mechanics; demand drivers are inferred from token design and ecosystem linkages to USD1 and DeFi products. Sources directly confirm capital raised, governance purpose and trading enablement.</t>
  </si>
  <si>
    <t>B. Governance &amp; Control</t>
  </si>
  <si>
    <t>B1.1</t>
  </si>
  <si>
    <t>What legal/organisational form anchors the protocol? Choose one: DAO, Hybrid (Foundation + DAO), Foundation, Company, Unknown.</t>
  </si>
  <si>
    <t>Company</t>
  </si>
  <si>
    <t>https://worldlibertyfinancial.com/wlfi/terms; https://www.reuters.com/business/finance/uae-fund-buys-100-million-trumps-world-liberty-tokens-2025-06-27/</t>
  </si>
  <si>
    <t>2025-06-27</t>
  </si>
  <si>
    <t>2025-11-25; 2025-11-25</t>
  </si>
  <si>
    <t>World Liberty Financial’s WLFI token Terms &amp; Conditions state that the token and its governance platform are governed by a legal contract "between you and the Company," indicating a corporate counterparty rather than a standalone DAO or foundation. Public coverage also describes World Liberty Financial as a company/firm operated by the Trump family, reinforcing that a company is the core legal anchor for the protocol.</t>
  </si>
  <si>
    <t>B1.2</t>
  </si>
  <si>
    <t>Is the governing entity’s jurisdiction and registration publicly disclosed? Answer Yes / No / Partial.</t>
  </si>
  <si>
    <t>https://www.valuewalk.com/cryptocurrency/about-world-liberty-financial/; https://en.wikipedia.org/wiki/World_Liberty_Financial</t>
  </si>
  <si>
    <t>2025-11-18; 2025-11-10</t>
  </si>
  <si>
    <t>Public sources state that World Liberty Financial is an American, tax‑paying corporation and name the operating entity as World Liberty Financial Inc., which indicates a U.S. corporate jurisdiction. However, I could not find detailed corporate registration information (e.g., specific state of incorporation or registration numbers) in publicly accessible materials. Therefore, the governing entity’s jurisdiction is partially disclosed, but full registration details are not.</t>
  </si>
  <si>
    <t>B1.3</t>
  </si>
  <si>
    <t>Are project leaders (core team / council) publicly identified? Answer Yes / No / Unknown.</t>
  </si>
  <si>
    <t>Yes</t>
  </si>
  <si>
    <t>https://www.worldiibertfi.com/; https://en.wikipedia.org/wiki/Cryptocurrency_in_the_second_Trump_presidency; https://www.reuters.com/business/finance/how-trump-family-took-over-crypto-firm-it-raised-hundreds-millions-2025-03-31/</t>
  </si>
  <si>
    <t>2025-09-30; 2025-10-15; 2025-03-31</t>
  </si>
  <si>
    <t>Yes. World Liberty Financial’s leadership is prominently public: the official site lists Donald J. Trump, Eric Trump, Donald Trump Jr., Barron Trump, Chase Herro, Zak Folkman, Steven Witkoff, and Zach Witkoff with specific titles on its team section. Major media and encyclopedic sources also describe the Trump family and Witkoffs as founders/controllers of World Liberty Financial, confirming that core leaders are openly identified by name.</t>
  </si>
  <si>
    <t>B1.4</t>
  </si>
  <si>
    <t>Are governance documents (constitution, voting rules, charters) published? Answer Yes / No / Unknown.</t>
  </si>
  <si>
    <t>https://worldlibertyfinancial.com/governance; https://worldlibertyfinancial.com/</t>
  </si>
  <si>
    <t>2025-09-01; 2025-09-01</t>
  </si>
  <si>
    <t>World Liberty Financial provides a dedicated Governance page describing the proposal, review, and voting process for WLFI token holders and links to the governance forum and Snapshot voting portal. The same site also hosts formal legal documents such as WLFI Token Use and Acquisition Terms &amp; Conditions and a MiCA whitepaper, which together constitute published governance rules and documentation.</t>
  </si>
  <si>
    <t>B1.5</t>
  </si>
  <si>
    <t>Are governance decisions and change logs publicly recorded? Answer Yes / No / Partial.</t>
  </si>
  <si>
    <t>https://www.worldlibertyclaims.com/; https://governance.worldlibertyfinancial.com/t/proposal-make-wlfi-token-tradable/17772; https://governance.worldlibertyfinancial.com/t/governance-proposal-enable-wlfi-token-staking-for-enhanced-governance-and-ecosystem-incentives/33917</t>
  </si>
  <si>
    <t>2025-11-20; 2025-07-04; 2025-07-17</t>
  </si>
  <si>
    <t>World Liberty Financial hosts a public governance forum where proposals, discussion threads, and key parameters such as proposal IDs, submission dates, and voting periods are recorded and viewable without authentication. The project also directs users to a public Snapshot-style voting portal for off‑chain signaling. These elements indicate that governance decisions and their histories are being publicly recorded, though a formal, consolidated technical changelog is not clearly documented.</t>
  </si>
  <si>
    <t>B2.1</t>
  </si>
  <si>
    <t>Who controls upgrade/admin authority over core contracts? Choose: No upgrades (immutable), DAO vote, Large multisig (≥4), Small multisig (≤3), Single dev.</t>
  </si>
  <si>
    <t>Unknown</t>
  </si>
  <si>
    <t>Critical–Fast</t>
  </si>
  <si>
    <t>Escalate only if upgrade/admin control is held by a single developer/key.</t>
  </si>
  <si>
    <t>Chat fallback error 400: {
  "error": {
    "message": "Unsupported parameter: 'max_tokens' is not supported with this model. Use 'max_completion_tokens' instead.",
    "type": "invalid_request_error",
    "param": "max_token</t>
  </si>
  <si>
    <t>Could not parse structured output. Preview: {"id": "resp_0048a9d11a9c3ec40069262ab94a2c81908da6f632a4016e68", "object": "response", "created_at": 1764108985, "status": "incomplete", "background": false, "billing": {"payer": "developer"}, "error": null, "incomplete_details": {"reason"</t>
  </si>
  <si>
    <t>B2.2</t>
  </si>
  <si>
    <t>Is the upgrade process documented and transparent (e.g., repo, docs, forums)? Answer Yes / No / Partial.</t>
  </si>
  <si>
    <t>https://worldlibertyfinancial.com/governance; https://governance.worldlibertyfinancial.com/t/draft-proposal-wlfi-native-blockchain-development-phase-1-approval-for-native-chain-initiative/50008; https://governance.worldlibertyfinancial.com/</t>
  </si>
  <si>
    <t>2025-07-01; 2025-09-22; 2025-09-26</t>
  </si>
  <si>
    <t>World Liberty Financial publishes a governance page describing how WLFI holders can propose and vote on upgrades via a forum and Snapshot, and the public governance forum includes proposals explicitly labeled as protocol upgrades or infrastructure changes (e.g., a native blockchain initiative). However, there is no clear, consolidated technical documentation spelling out the on-chain upgrade authority, roles, and exact mechanisms, so transparency is only partial.</t>
  </si>
  <si>
    <t>B2.3</t>
  </si>
  <si>
    <t>Is there a time-lock or DAO safeguard (e.g., delay, veto) on upgrades? Answer Yes / No / Unknown.</t>
  </si>
  <si>
    <t>https://etherscan.io/token/0xdA5e1988097297dCdc1f90D4dFE7909e847CBeF6; https://www.worldlibertyclaims.com/</t>
  </si>
  <si>
    <t>Escalate only if there is no safeguard AND control is Single dev or Small multisig (≤3).</t>
  </si>
  <si>
    <t>The WLFI ERC-20 contract at 0xdA5e...CBeF6 is a TransparentUpgradeableProxy using OpenZeppelin’s ProxyAdmin pattern. Etherscan shows it as an upgradeable proxy with no on-chain timelock or TimelockController in the verified source. Governance is conducted via off-chain Snapshot voting, but there is no clear evidence that upgrades are bound by an on-chain DAO-controlled timelock or veto mechanism. Therefore, no formal time-lock/DAO safeguard on upgrades can be confirmed.</t>
  </si>
  <si>
    <t>B2.4</t>
  </si>
  <si>
    <t>Are emergency pause/kill-switch functions present? Answer Yes / No / Unknown.</t>
  </si>
  <si>
    <t>https://etherscan.io/token/0xda5e1988097297dcdc1f90d4dfe7909e847cbef6; https://etherscan.io/address/0xef48944abefff3f668f5324c050cd406618b771d#code</t>
  </si>
  <si>
    <t>2025-11-11; 2025-11-11</t>
  </si>
  <si>
    <t>The WLFI token is implemented via a TransparentUpgradeableProxy pointing to the WorldLibertyFinancialV2 implementation. The verified source for WorldLibertyFinancialV2 explicitly includes ERC20PausableUpgradeable and defines functions ownerPause() and guardianPause(), which allow designated roles to pause token transfers. These constitute emergency pause/kill-switch style controls.</t>
  </si>
  <si>
    <t>B2.5</t>
  </si>
  <si>
    <t>Is the multisig / admin address publicly verifiable (e.g., Safe, Etherscan labels)? Answer Yes / No / Unknown.</t>
  </si>
  <si>
    <t>https://etherscan.io/token/0xdA5e1988097297dCdc1f90D4dFE7909e847CBeF6; https://etherscan.io/address/0xdA5e1988097297dCdc1f90D4dFE7909e847CBeF6#code; https://www.reddit.com/r/u_Meta-Face/comments/1n115pf</t>
  </si>
  <si>
    <t>2025-11-25; 2025-11-25; 2025-08-26</t>
  </si>
  <si>
    <t>The WLFI Ethereum contract is a verified OpenZeppelin TransparentUpgradeableProxy, implying an external admin / ProxyAdmin controls upgrades. However, Etherscan’s token and contract views do not display a clearly labeled admin or multisig address (e.g., Safe label), and independent reviews note governance/control opacity around this proxy. Without an explicitly labeled, verifiable multisig/admin address, its identity and structure cannot be confirmed from public data.</t>
  </si>
  <si>
    <t>B2.6</t>
  </si>
  <si>
    <t>Is DAO voting binding (on-chain execution) or advisory-only? Choose: Binding, Advisory, No DAO, or Unknown if public sources do not clearly indicate this.</t>
  </si>
  <si>
    <t>Advisory</t>
  </si>
  <si>
    <t>https://worldlibertyfinancial.com/governance; https://www.worldlibertyclaims.com</t>
  </si>
  <si>
    <t>2025-07-01; 2025-07-01</t>
  </si>
  <si>
    <t>Background–Slow</t>
  </si>
  <si>
    <t>Public governance materials show WLFI using Snapshot for voting, described explicitly as an off-chain interface to “signal sentiment during the early stages of a proposal’s life cycle,” with no indication of on-chain timelock contracts or automatic execution from DAO votes. This points to advisory/signal voting rather than binding on-chain execution, though detailed technical specs are not fully disclosed.</t>
  </si>
  <si>
    <t>B2.7</t>
  </si>
  <si>
    <t>Have there been prior governance disputes, forks, or emergency upgrades? Answer Yes / No / Unknown (explain in Narrative if Yes).</t>
  </si>
  <si>
    <t>https://governance.worldlibertyfinancial.com/t/governance-proposal-resolution-of-justin-sun-wlfi-holdings/46995; https://www.reuters.com/business/finance/trump-crypto-backer-justin-sun-says-his-world-liberty-tokens-frozen-2025-09-05/; https://www.coindesk.com/markets/2025/09/06/if-they-can-do-it-to-sun-who-s-next-say-insiders-as-wlfi-claims-freeze-was-to-protect-users</t>
  </si>
  <si>
    <t>2025-09-05; 2025-09-05; 2025-09-06</t>
  </si>
  <si>
    <t>Yes. While there are no publicly reported chain forks or emergency smart‑contract upgrades for WLFI, there have been significant governance‑related disputes. In early September 2025, World Liberty Financial used its contract controls to blacklist/freeze wallets holding Justin Sun’s WLFI (around 2.9B tokens), triggering broad community controversy over centralization and investor rights. A formal governance proposal was later posted to resolve the “ongoing controversy” around Sun’s holdings.</t>
  </si>
  <si>
    <t>B3.1</t>
  </si>
  <si>
    <t>How many distinct parties (independent entities or individuals) effectively control the treasury keys for the main treasury and ecosystem funds? Choose one: DAO, ≥4, ≤3, Single.</t>
  </si>
  <si>
    <t>Single</t>
  </si>
  <si>
    <t>Low</t>
  </si>
  <si>
    <t>https://www.reuters.com/business/finance/how-trump-family-took-over-world-liberty-financial-it-raised-hundreds-millions-2025-03-31/; https://en.wikipedia.org/wiki/World_Liberty_Financial; https://www.mexc.com/az-AZ/news/just-in-ethereum-foundation-moves-entire-650m-treasury-to-safe-multisig/139156</t>
  </si>
  <si>
    <t>2025-03-31; 2025-11-10; 2025-10-22</t>
  </si>
  <si>
    <t>Triggers Board review if treasury control is highly concentrated (Single or ≤3 distinct parties) and at least one of the following is true: treasury rules are not published, disbursements are not transparently tracked, there is no clear separation of duties, no periodic treasury reporting, or there has been a material treasury controversy.</t>
  </si>
  <si>
    <t>Available disclosures describe World Liberty Financial as highly centralized, with majority equity and control held via a Trump‑family–controlled holding company rather than a dispersed DAO. There is evidence they use Safe multisig wallets for institutional treasury operations, but no public detail on independent, distributed signers. In practice, treasury authority appears consolidated under a single corporate/group controller, not a community DAO or clearly ≥4 independent parties. However, keyholder structure is not transparently disclosed, so confidence is low.</t>
  </si>
  <si>
    <t>B3.2</t>
  </si>
  <si>
    <t>Are treasury disbursement rules published (policy/charter)? Answer Yes / No / Unknown.</t>
  </si>
  <si>
    <t>https://governance.worldlibertyfinancial.com; https://en.wikipedia.org/wiki/World_Liberty_Financial</t>
  </si>
  <si>
    <t>2025-11-11</t>
  </si>
  <si>
    <t>I found governance discussions and tokenomics explanations, but no clear, formal publication of treasury disbursement rules (e.g., a treasury charter or explicit policy on how WLFI treasury funds are allocated and approved). Without a specific, authoritative treasury policy document or section, I must treat the status of published treasury disbursement rules as Unknown.</t>
  </si>
  <si>
    <t>B3.3</t>
  </si>
  <si>
    <t>Are grants/dev fund disbursements tracked transparently (public reports or dashboards)? Answer Yes / No / Partial.</t>
  </si>
  <si>
    <t>https://worldlibertyfinancial.com/governance; https://governance.worldlibertyfinancial.com; https://www.businesswire.com/news/home/20250317855322/en/Trump-Inspired-World-Liberty-Financial-Closes-%24550-Million-Across-Token-Sales</t>
  </si>
  <si>
    <t>2025-06-01; 2025-03-17</t>
  </si>
  <si>
    <t>World Liberty Financial runs a governance forum and Snapshot voting, and proposals can address fund allocation, but there is no evidence of a dedicated, ongoing public dashboard or regular reports that transparently track actual treasury, grants, or dev‑fund disbursements. Available materials focus on token sales, unlocks, and governance mechanics rather than line‑item distributions to builders or grantees.</t>
  </si>
  <si>
    <t>B3.4</t>
  </si>
  <si>
    <t>Is there separation of duties between leadership (foundation execs) and treasury controllers? Answer Yes / No / Unknown.</t>
  </si>
  <si>
    <t>https://financefeeds.com/alt5-sigma-to-manage-1-5-billion-world-liberty-financial-treasury/; https://bsc.news/post/trump-crypto-1-5b-wlfi-treasury; https://www.ft.com/content/68fe0d3f-1430-48a9-ad47-05cc707d73e9</t>
  </si>
  <si>
    <t>2025-08-13; 2025-08-11; 2025-08-12</t>
  </si>
  <si>
    <t>Public reporting indicates that WLFI’s $1.5B token treasury is to be managed via ALT5 Sigma, whose board and leadership are being filled by World Liberty Financial executives (e.g., WLFI’s CEO as ALT5 chair, WLFI co-founder as director, WLFI COO as board observer, WLFI advisor as CIO). This tight overlap suggests treasury control is concentrated within the same leadership group rather than separated between independent treasury controllers and foundation executives.</t>
  </si>
  <si>
    <t>B3.5</t>
  </si>
  <si>
    <t>Does the project publish periodic financial/treasury reports? Answer Yes / No / Unknown.</t>
  </si>
  <si>
    <t>https://www.bitgo.com/usd1/attestations/; https://worldlibertyfinancial.com/usd1</t>
  </si>
  <si>
    <t>2025-11-15; 2025-11-22</t>
  </si>
  <si>
    <t>World Liberty’s USD1 stablecoin reserves are subject to monthly third‑party reserve attestations published by BitGo, providing recurring transparency into backing assets. The USD1 product page also explicitly promises “full transparency with monthly attestation reports.” These constitute periodic financial/treasury-style disclosures, even if they are focused on the stablecoin reserve rather than full corporate financial statements.</t>
  </si>
  <si>
    <t>B3.6</t>
  </si>
  <si>
    <t>Has the treasury been subject to material controversy (misuse, loss, litigation)? Answer Yes / No / Unknown (explain in Narrative if Yes).</t>
  </si>
  <si>
    <t>https://coinmarketcap.com/academy/article/world-liberty-financial-denies-allegations-of-token-sales-and-preferential-deals-amid-controversy-and-market-scrutiny; https://www.ainvest.com/news/world-liberty-financial-wlfi-navigating-regulatory-security-risks-high-volatility-market-2511/; https://www.cointeeth.com/news/price-manipulation-allegations-lead-wlfi-to-freeze-272-wallets-stirring</t>
  </si>
  <si>
    <t>2025-11-15; 2025-11-24; 2025-11-01</t>
  </si>
  <si>
    <t>Yes. WLFI’s treasury management has been at the center of multiple controversies. Media and research reports describe allegations that treasury token movements resembled undisclosed token sales or preferential deals, which WLFI publicly denied. Other reports highlight an emergency “burn-and-reallocate” of tens of millions of dollars in tokens after security issues, and wallet freezes/blacklisting tied to alleged price manipulation, all of which have drawn significant public scrutiny over treasury control and use, even if no court judgment has yet occurred.</t>
  </si>
  <si>
    <t>B-N1</t>
  </si>
  <si>
    <t>In ≤120 words, summarise the governance model and how decisions are proposed/approved/enforced.</t>
  </si>
  <si>
    <t>WLFI is described as a pure governance token for the World Liberty Financial protocol, conferring no dividend, revenue share, or other economic rights. Token holders can submit proposals (e.g., upgrades, fund allocation, partnerships) via a governance forum, where they are discussed and refined, then voted on using Snapshot-style off‑chain voting. Voting power is proportional to WLFI holdings, and proposals require at least 5% of the votable token supply as quorum to be effective. Governance outcomes are implemented by the World Liberty Financial protocol team and associated on-chain contracts, with WLFI positioned as the community mechanism to influence protocol direction.</t>
  </si>
  <si>
    <t>https://worldlibertyfinancial.com/governance; https://worldlibertyfinancial.com/wlfi/risk-disclosures; https://en.wikipedia.org/wiki/World_Liberty_Financial</t>
  </si>
  <si>
    <t>2025-09-01; 2025-03-01; 2025-11-11</t>
  </si>
  <si>
    <t>Informational only; no board trigger.</t>
  </si>
  <si>
    <t>Used official governance and risk-disclosure pages describing WLFI as a governance-only token, outlining proposal, review and Snapshot voting, and specifying a 5% quorum threshold. Enforcement details (implementation by the team/contracts) are inferred from standard DeFi practice and the project’s framing as a protocol governed by WLFI holders.</t>
  </si>
  <si>
    <t>B-N2</t>
  </si>
  <si>
    <t>Is governance evolving toward more decentralisation (e.g., expanding multisig, increasing DAO scope)? Answer Yes / No / Unclear (explain).</t>
  </si>
  <si>
    <t>https://worldlibertyfinancial-labs.com/; https://www.worldlibertyclaims.com/; https://www.reuters.com/investigations/inside-trump-familys-global-crypto-cash-machine-2025-10-28/</t>
  </si>
  <si>
    <t>2025-10-01; 2025-09-15; 2025-10-28</t>
  </si>
  <si>
    <t>Project materials state that World Liberty Financial is transitioning to a fully decentralized, community-owned DAO, with its lab partner promoting a process to move WLFI into a new “People’s WLF” token and explicitly “removing authority controls” and shifting power to token holders. This, along with the described token-holder proposal and voting framework, indicates governance is intended to evolve toward greater decentralisation, though the transition is still pending and not fully implemented.</t>
  </si>
  <si>
    <t>C. Token Holder Rights (Regulatory Characteristics)</t>
  </si>
  <si>
    <t>C1</t>
  </si>
  <si>
    <t>Does the token provide any governance or voting rights? Answer one: Yes / No / Limited / Unclear.</t>
  </si>
  <si>
    <t>https://worldlibertyfinancial.com/governance; https://worldlibertyfinancial.com/wlfi/terms; https://www.datawallet.com/crypto/world-liberty-financial-and-wlfi-explained</t>
  </si>
  <si>
    <t>2025-11-20; 2025-11-20; 2025-11-25</t>
  </si>
  <si>
    <t>Yes. WLFI is explicitly described as a governance token whose sole utility is to let holders propose and vote on protocol decisions via the World Liberty governance platform and Snapshot. Official terms state that the only right conferred by WLFI is participation in governance, with no economic or ownership rights, and the project’s governance page reiterates that WLFI tokens give direct voting power on upgrades, fund allocation, and partnerships.</t>
  </si>
  <si>
    <t>C2</t>
  </si>
  <si>
    <t>Do token holders receive any share of fees, revenue, interest, or yields generated by the project? Answer one: Yes / No / Indirect / Unclear.</t>
  </si>
  <si>
    <t>Indirect</t>
  </si>
  <si>
    <t>https://governance.worldlibertyfinancial.com/t/governance-proposal-enable-wlfi-token-staking-for-enhanced-governance-and-ecosystem-incentives/33917; https://governance.worldlibertyfinancial.com/t/governance-proposal-unlocking-real-value-a-staking-utility-model-for-wlfi/42972</t>
  </si>
  <si>
    <t>2025-07-17; 2025-09-03</t>
  </si>
  <si>
    <t>Escalate only if token confers direct revenue/fee/interest share (Answer = Yes).</t>
  </si>
  <si>
    <t>Governance proposals for WLFI introduce staking mechanics where token holders who lock WLFI can receive rewards sourced partly from protocol lending fees and possibly other ecosystem revenues, as well as benefit from buyback-and-burn funded by project revenues. These benefits are contingent on staking and governance outcomes, not an automatic pro rata fee or revenue share for all holders, so any economic exposure is indirect and conditional.</t>
  </si>
  <si>
    <t>C3</t>
  </si>
  <si>
    <t>Are token holders entitled to residual claims on treasury assets or protocol revenue? Answer one: Yes / No / Unclear.</t>
  </si>
  <si>
    <t>https://worldlibertyfinancial.com/wlfi/risk-disclosures; https://worldlibertyfinancial.com/wlfi/terms; https://www.okx.com/learn/world-liberty-financial-white-paper</t>
  </si>
  <si>
    <t>2025-09-24; 2025-09-20; 2025-10-01</t>
  </si>
  <si>
    <t>Escalate only if token confers residual asset claims (Answer = Yes).</t>
  </si>
  <si>
    <t>Project documentation states WLFI’s sole functionality is governance and that token holders have no economic rights. The terms explicitly say WLFI does not confer ownership, any right to receive distributions, revenue share, or fees from the protocol or company. Risk disclosures reiterate that economic benefits from the protocol accrue to WLFI Inc., users, and service providers, not token holders. Accordingly, WLFI holders are not entitled to residual claims on treasury assets or protocol revenue.</t>
  </si>
  <si>
    <t>C4</t>
  </si>
  <si>
    <t>Is the token's value dependent on the managerial or entrepreneurial efforts of a core team or foundation? Answer one: High / Moderate / Low.</t>
  </si>
  <si>
    <t>https://www.reuters.com/business/finance/uae-fund-buys-100-million-trumps-world-liberty-tokens-2025-06-27/; https://bsc.news/pro/post/world-liberty-financial-wlfi-analysis; https://www.tradingkey.com/analysis/cryptocurrencies/more/251076161-world-liberty-financial-wfli-defi-trump-tradingkey</t>
  </si>
  <si>
    <t>2025-06-27; 2025-09-15; 2025-10-10</t>
  </si>
  <si>
    <t>WLFI is framed as a governance token, but its economics and market value appear heavily tied to the actions and branding of a centralized core group (Trump family and close affiliates). Large token allocations and locked founder stakes, governance over major unlocks, burn/buyback policies, and strategic/t branding initiatives are all driven or strongly influenced by this core team, so investor expectations reasonably hinge on their managerial and entrepreneurial efforts.</t>
  </si>
  <si>
    <t>C5</t>
  </si>
  <si>
    <t>Are token holders relying on future network growth for token appreciation? Answer one: Yes / No / Partial.</t>
  </si>
  <si>
    <t>https://en.wikipedia.org/wiki/World_Liberty_Financial; https://www.datawallet.com/crypto/world-liberty-financial-and-wlfi-explained; https://coinmarketcap.com/currencies/world-liberty-financial-wlfi/</t>
  </si>
  <si>
    <t>2025-09-15; 2025-03-01</t>
  </si>
  <si>
    <t>WLFI is explicitly positioned as the governance token of the World Liberty Financial DeFi protocol and USD1 stablecoin ecosystem, with no equity or revenue rights. Its value therefore depends on speculation that the WLFI protocol, lending/borrowing products and USD1 stablecoin will grow in adoption and fees over time. Media, analytics and project communications all frame WLFI’s upside in terms of future ecosystem expansion and usage, indicating reliance on network growth for appreciation.</t>
  </si>
  <si>
    <t>C6</t>
  </si>
  <si>
    <t>Are token holders financially or contractually disadvantaged versus insiders or early backers (e.g., preferences, seniority, redemption rights)? Answer one: Yes / No / Unclear.</t>
  </si>
  <si>
    <t>https://worldlibertyfinancial.com/wlfi/terms; https://governance.worldlibertyfinancial.com/t/proposal-make-wlfi-token-tradable/17772; https://www.barrons.com/articles/trump-wlfi-crypto-trading-today-a430bc92</t>
  </si>
  <si>
    <t>2025-07-15; 2025-07-04; 2025-09-01</t>
  </si>
  <si>
    <t>Available documentation states WLFI is a governance-only token with no economic, ownership, revenue-share, or redemption rights for any holder class. All tokens confer only governance use, with no contractual seniority or payout preference for insiders or early backers. Differences exist in transferability and unlock schedules (e.g., early investors can sell a portion while founders are locked), but these are lockup/liquidity terms rather than superior financial or redemption rights over other token holders.</t>
  </si>
  <si>
    <t>C7</t>
  </si>
  <si>
    <t>Provide a ≤120-word justification explaining why this token is or is not securities-like under UK perimeter, citing rights, revenue share, reliance on managerial efforts, and expectations. (Narrative only).</t>
  </si>
  <si>
    <t>WLFI appears securities-like under the UK perimeter. Although described as a governance-only token with no formal revenue or ownership rights, it was sold in large fundraising rounds and widely promoted with expectations of significant price appreciation, including lockups, unlock schedules and deflationary buyback-and-burn mechanisms aimed at “providing value” to holders. Token performance and any value accrual depend heavily on the ongoing entrepreneurial and managerial efforts of the Trump family–backed team to build the WLFI/USD1 DeFi ecosystem and associated products. In substance, this aligns more with an investment in a managed enterprise than with a purely utilitarian governance right.</t>
  </si>
  <si>
    <t>https://www.datawallet.com/crypto/world-liberty-financial-and-wlfi-explained; https://blog.bingx.com/bingx-insights/what-is-wlfi-a-deep-dive-into-world-liberty-financials-governance-token/; https://bsc.news/post/world-liberty-financial-wlfi-analysis</t>
  </si>
  <si>
    <t>2025-09-01; 2025-11-01; 2025-11-10</t>
  </si>
  <si>
    <t>Public sources show WLFI marketed as a governance token without formal financial rights, but sold in large capital raises, with burn/buyback mechanisms and strong appreciation narratives tied to team efforts. That substance is securities-like under a UK functional test. Some details may evolve; hence Medium confidence.</t>
  </si>
  <si>
    <t>D. Whitepaper &amp; Disclosure Quality (Accuracy, Transparency, Fairness)</t>
  </si>
  <si>
    <t>D1</t>
  </si>
  <si>
    <t>Does the project have a current whitepaper or technical documentation available from an official source? (Yes / No / Outdated / Unclear)</t>
  </si>
  <si>
    <t>https://www.okx.com/learn/world-liberty-financial-white-paper</t>
  </si>
  <si>
    <t>2025-11-20</t>
  </si>
  <si>
    <t>2025-11-25</t>
  </si>
  <si>
    <t>Escalate only if no official whitepaper/technical documentation exists (Answer = "No").</t>
  </si>
  <si>
    <t>An official whitepaper/technical document for World Liberty Financial and the WLFI token is available via OKX’s “World Liberty Financial white paper,” which sets out issuer, corporate, and protocol details for World Liberty Financial, Inc. This indicates that current formal documentation exists from an official listing / disclosure source rather than only marketing materials.</t>
  </si>
  <si>
    <t>D2</t>
  </si>
  <si>
    <t>Does the whitepaper clearly state the purpose and function of the token? (Yes / No / Partially)</t>
  </si>
  <si>
    <t>https://www.okx.com/learn/world-liberty-financial-white-paper; https://worldlibertyfinancial.com</t>
  </si>
  <si>
    <t>2025-12-18</t>
  </si>
  <si>
    <t>The OKX-hosted World Liberty Financial whitepaper explicitly classifies WLFI as a utility token and states that its sole utility is to grant governance rights within the World Liberty Financial protocol, describing it as an ERC‑20 token used for governance on Ethereum, BNB Smart Chain, and Solana. This directly and clearly sets out both the purpose (governance) and function (governance rights over protocol decisions) of the token.</t>
  </si>
  <si>
    <t>D3</t>
  </si>
  <si>
    <t>Does the whitepaper clearly describe the governance model? (Yes / No / Partially)</t>
  </si>
  <si>
    <t>https://www.okx.com/learn/world-liberty-financial-white-paper; https://www.okx.com/learn/world-liberty-financial-white-paper</t>
  </si>
  <si>
    <t>2025-11-20; 2025-11-20</t>
  </si>
  <si>
    <t>The OKX MiCA-compliant WLFI whitepaper explicitly describes governance: WLFI’s sole function is protocol governance; holders can submit and vote on proposals via forum and Snapshot, with voting power proportional to holdings but capped at 5% per wallet/affiliated group. It also explains how rights are exercised, how governance can modify rights, and that the issuer can veto proposals for legal/security reasons. This constitutes a clear articulation of the governance model.</t>
  </si>
  <si>
    <t>D4</t>
  </si>
  <si>
    <t>Does the whitepaper disclose tokenomics, including supply schedule, issuance model, and allocations? (Yes / No / Partial / Unclear)</t>
  </si>
  <si>
    <t>https://www.okx.com/learn/world-liberty-financial-white-paper; https://www.gate.com/learn/articles/what-is-world-liberty-financial-wlfi/11745</t>
  </si>
  <si>
    <t>2025-11-20; 2025-11-15</t>
  </si>
  <si>
    <t>Escalate only if tokenomics (supply, issuance, allocations) are undisclosed (Answer = "No").</t>
  </si>
  <si>
    <t>The whitepaper (as summarized by OKX) discloses a fixed total supply of 100 billion WLFI and a detailed allocation breakdown across public sale, treasury, team/advisors, community incentives, partners, liquidity, etc., indicating a pre-minted, TGE-based issuance model. However, it also notes that no lock-up or vesting schedules have been publicly announced for most allocations, aside from partial info on the public sale, so a full supply/vesting schedule is not disclosed.</t>
  </si>
  <si>
    <t>D5</t>
  </si>
  <si>
    <t>Are risk factors disclosed (e.g., regulatory, governance, market, technical risks)? (Yes / Minimal / Missing / No)</t>
  </si>
  <si>
    <t>https://worldlibertyfinancial.com/wlfi/risk-disclosures; https://www.okx.com/learn/world-liberty-financial-white-paper</t>
  </si>
  <si>
    <t>2025-11-01; 2025-11-01</t>
  </si>
  <si>
    <t>World Liberty Financial publishes a dedicated WLFI risk disclosures page outlining multiple risk categories, including governance, regulatory classification, tax, protocol malfunction, theft/hacking, wallet loss, cryptographic and operating-history risks. Separately, the OKX WLFI whitepaper section "Information on Risks" details offer-related, issuer-related, crypto-asset, project implementation, technology, and governance risks. These materials amount to extensive, explicit risk-factor disclosure rather than minimal or absent treatment.</t>
  </si>
  <si>
    <t>D6</t>
  </si>
  <si>
    <t>Does the project provide transparent and verifiable team / foundation identities? (Yes / No / Limited / Unclear)</t>
  </si>
  <si>
    <t>https://worldlibertyfinancial.com/about; https://en.wikipedia.org/wiki/World_Liberty_Financial; https://www.marketswiki.com/wiki/World_Liberty_Financial</t>
  </si>
  <si>
    <t>2025-11-18; 2025-11-10; 2025-10-15</t>
  </si>
  <si>
    <t>World Liberty Financial publicly discloses a detailed team list with named executives and founders, including Donald J. Trump, Eric Trump, Donald Trump Jr., Barron Trump, Steve, Zach, and Alex Witkoff, plus key officers such as CTO and CCO, on its official site. These identities and roles are independently corroborated in neutral profiles and reference articles, allowing external verification of the key individuals behind the project.</t>
  </si>
  <si>
    <t>D7</t>
  </si>
  <si>
    <t>Are forward-looking statements clearly separated from factual claims? (Yes / No / Unclear)</t>
  </si>
  <si>
    <t>https://worldlibertyfinancial.com/wlfi/risk-disclosures; https://markets.financialcontent.com/stocks/article/bizwire-2025-3-17-trump-inspired-world-liberty-financial-closes-550-million-across-token-sales; https://governance.worldlibertyfinancial.com/t/wlfis-grand-opening-a-new-era-begins-in-the-crypto-market/22457</t>
  </si>
  <si>
    <t>2025-03-17; 2025-07-01</t>
  </si>
  <si>
    <t>World Liberty Financial’s communications mix factual descriptions (e.g., amounts raised, partnerships, token design) with aspirational and predictive language (e.g., “on track to supercharge DeFi,” “plans to be at the forefront of DeFi”) in the same narrative. A brief note that the communication “includes forward looking information” appears at the end of at least one press release, but it does not clearly delineate which specific statements are forward-looking versus factual. Risk disclosures focus on risks but likewise do not systematically tag forward-looking content.</t>
  </si>
  <si>
    <t>D8</t>
  </si>
  <si>
    <t>Provide a ≤120-word summary evaluating whether the whitepaper meets FCA expectations for fair, clear, non-misleading disclosure. (Narrative only).</t>
  </si>
  <si>
    <t>Based on available summaries, the WLFI whitepaper appears incomplete against FCA expectations for fair, clear and non‑misleading disclosure. While it outlines high‑level protocol features and token allocation, it reportedly lacks a formal, public roadmap and gives limited detail on vesting/lock‑ups and investor rights, which are material to understanding risks. External analysis also alleges discrepancies between stated tokenomics and on‑chain realities and highlights powerful minting and control functions. These gaps and potential inconsistencies would likely fall short of the FCA’s standard of sufficiently clear, balanced risk disclosure.</t>
  </si>
  <si>
    <t>https://www.okx.com/learn/world-liberty-financial-white-paper; https://en.wikipedia.org/wiki/World_Liberty_Financial; https://www.reddit.com/r/u_Meta-Face/comments/1n115pf</t>
  </si>
  <si>
    <t>2025-09-15; 2025-11-10; 2025-08-26</t>
  </si>
  <si>
    <t>Informational narrative only; no board trigger.</t>
  </si>
  <si>
    <t>OKX’s “white paper” summary indicates WLFI discloses headline features and allocations but no formal roadmap and few clear lock‑up details. Independent analysis alleges misalignment between stated tokenomics and contract powers. Together this suggests gaps and potential imbalance in risk disclosure versus FCA’s fair, clear, non‑misleading standard, though the full whitepaper text is not publicly verified, so confidence is medium.</t>
  </si>
  <si>
    <t xml:space="preserve">E. Economic Model &amp; Distribution </t>
  </si>
  <si>
    <t>E1.1</t>
  </si>
  <si>
    <t>Token category for scoring context (choose one): L1, L2, Utility, Governance, LP/AMM, Stablecoin, Meme/Narrative, Other.</t>
  </si>
  <si>
    <t>Governance</t>
  </si>
  <si>
    <t>https://coinmarketcap.com/currencies/world-liberty-financial-wlfi/; https://worldlibertyfinancial.com; https://www.reuters.com/business/finance/uae-fund-buys-100-million-trumps-world-liberty-tokens-2025-06-27/</t>
  </si>
  <si>
    <t>2025-11-25; 2025-11-01; 2025-06-27</t>
  </si>
  <si>
    <t>Helper row (no scoring, no trigger).</t>
  </si>
  <si>
    <t>WLFI is described in multiple sources as the governance token of the World Liberty Financial DeFi protocol, originally framed as non-transferable voting rights over protocol decisions rather than a transactional currency, stablecoin, or LP/AMM asset. Its primary role is to let holders steer the platform via proposals and voting, fitting best into the Governance category for scoring context, even though it has since become tradable.</t>
  </si>
  <si>
    <t>E1.2</t>
  </si>
  <si>
    <t>What is the token’s total supply model? (Fixed / Capped / Inflationary / Unknown)</t>
  </si>
  <si>
    <t>Capped</t>
  </si>
  <si>
    <t>https://www.okx.com/learn/world-liberty-financial-white-paper; https://coinmarketcap.com/currencies/world-liberty-financial-wlfi/; https://www.coingecko.com/en/coins/world-liberty-financial</t>
  </si>
  <si>
    <t>2025-11-20; 2025-11-25; 2025-11-25</t>
  </si>
  <si>
    <t>Multiple independent sources state WLFI has a total/max supply of 100 billion tokens, with no indication of minting beyond this amount. Listings and the whitepaper-style disclosures treat 100 billion as the fixed upper limit, implying a capped supply model (with potential burns but no further inflation).</t>
  </si>
  <si>
    <t>E1.3</t>
  </si>
  <si>
    <t>Is the issuance schedule transparent and documented? (Yes / Partial / No)</t>
  </si>
  <si>
    <t>https://www.okx.com/learn/world-liberty-financial-white-paper; https://governance.worldlibertyfinancial.com/t/request-to-unlock-2-86-monthly-of-35-billion-tokens-for-wlfi-sale/26382; https://governance.worldlibertyfinancial.com/t/proposal-implement-vesting-schedule-for-treasury-and-ecosystem-tokens/42331</t>
  </si>
  <si>
    <t>2025-11-20; 2025-07-05; 2025-09-02</t>
  </si>
  <si>
    <t>WLFI discloses total supply and detailed initial allocation across public sale, treasury, team, partners, etc., and notes that 20% of public-sale tokens were unlocked at TGE with the remaining 80% subject to future governance votes. However, the whitepaper explicitly states that no formal lock-up or vesting schedules have been publicly announced for most allocations, and community forum posts discuss proposed unlock/vesting schemes rather than a fixed, adopted schedule. This means issuance is only partially transparent and documented.</t>
  </si>
  <si>
    <t>E1.4</t>
  </si>
  <si>
    <t>Do supply adjustments depend on managerial discretion? (Yes / No / Unclear)</t>
  </si>
  <si>
    <t>https://bingx.com/en/learn/article/what-is-world-liberty-financial-wlfi-tokenomics-at-sep1-launch; https://www.okx.com/learn/world-liberty-financial-white-paper; https://clipstrust.com/cryptocurrency/coin/world-liberty-financial</t>
  </si>
  <si>
    <t>2025-09-02</t>
  </si>
  <si>
    <t>WLFI’s remaining presale and other major token allocations do not follow a fixed algorithmic or predetermined vesting schedule. Instead, future unlocks, potential buyback-and-burns, and other supply-affecting actions are subject to governance proposals and holder votes, with insiders holding large stakes. This means effective supply adjustments are discretionary rather than programmatically fixed.</t>
  </si>
  <si>
    <t>E1-N</t>
  </si>
  <si>
    <t>≤120-word narrative on supply credibility &amp; transparency. (Narrative only)</t>
  </si>
  <si>
    <t>WLFI has a clearly defined max supply of 100 billion tokens, with current circulating supply data broadly consistent across major trackers, enhancing baseline transparency. Public explorers and analytics sites disclose contract details and unlocked vs. locked balances, and World Liberty Financial publishes some allocation and unlock information. However, supply credibility is weakened by evolving tokenomics: governance‑driven changes to unlock schedules, presale vesting terms, and shifting figures for sale and team allocations. These adjustments make long‑term circulating supply trajectories harder to predict and increase reliance on issuer and governance discretion. Overall, transparency is moderate, but forward‑looking supply certainty is limited and should be monitored closely.</t>
  </si>
  <si>
    <t>https://coinmarketcap.com/currencies/world-liberty-financial-wlfi/; https://www.coingecko.com/en/coins/world-liberty-financial; https://governance.worldlibertyfinancial.com/t/token-unlock-agreement-unlock-agreement-will-definitely-be-in-circulation-below-5-billion-as-there-are-some-wlfi-bought-by-bots-wallet-changes-that-will-not-be-eligible-for-unlocking/40302</t>
  </si>
  <si>
    <t>Answer synthesizes fixed max supply, current circulating supply and unlock structure from major trackers and governance posts. Consistency across CMC/Coingecko supports basic transparency, but governance unlock agreements and evolving sale/allocation figures indicate changing tokenomics and some supply uncertainty. Medium confidence reflects reliance on still‑developing documentation and governance forum posts rather than a single authoritative technical paper.</t>
  </si>
  <si>
    <t>E2.1</t>
  </si>
  <si>
    <t>Team allocation percentage (% of max/FDV supply). Enter numeric or 'Unknown'.</t>
  </si>
  <si>
    <t>2.5</t>
  </si>
  <si>
    <t>https://www.datawallet.com/crypto/world-liberty-financial-and-wlfi-explained</t>
  </si>
  <si>
    <t>Independent tokenomics analysis from Datawallet describes WLFI’s distribution as 35% token sale, 32.5% community growth &amp; incentives, 30% initial supporter allocation, and 2.5% to team and advisors, implying a 2.5% allocation of total/FDV supply to the team. No conflicting primary-source breakdown was found, so this percentage is used with medium confidence.</t>
  </si>
  <si>
    <t>E2.2</t>
  </si>
  <si>
    <t>Investor/VC allocation percentage (% of max/FDV supply). Enter numeric or 'Unknown'.</t>
  </si>
  <si>
    <t>I could not locate a reliable tokenomics breakdown or credible third‑party documentation specifying WLFI’s investor or VC allocation as a percentage of max or FDV supply. Without an official, detailed distribution table from primary docs or reputable research, the investor/VC allocation percentage must be recorded as Unknown.</t>
  </si>
  <si>
    <t>E2.3</t>
  </si>
  <si>
    <t>Treasury/foundation allocation percentage (% of max/FDV supply). Enter numeric or 'Unknown'.</t>
  </si>
  <si>
    <t>https://www.tradingkey.com/analysis/cryptocurrencies/more/251076161-world-liberty-financial-wfli-defi-trump-tradingkey; https://www.datawallet.com/crypto/world-liberty-financial-and-wlfi-explained</t>
  </si>
  <si>
    <t>2025-09-05; 2025-09-10</t>
  </si>
  <si>
    <t>Public tokenomics disclosures list categories such as token sale, community incentives, initial supporters, team/advisors, ecosystem development, liquidity/marketing, and a strategic treasury reserve (e.g., Alt5 Sigma holdings at ~8% of supply). However, they do not provide a clear, single percentage explicitly labeled as the protocol’s own treasury/foundation allocation out of max/FDV supply, so a precise figure cannot be stated with confidence.</t>
  </si>
  <si>
    <t>E2.4</t>
  </si>
  <si>
    <t>Are unlock schedules publicly disclosed? (Yes / Partial / No)</t>
  </si>
  <si>
    <t>https://worldlibertyfinancial.com/wlfi/terms; https://governance.worldlibertyfinancial.com/t/token-unlock-agreement-unlock-agreement-will-definitely-be-in-circulation-below-5-billion-as-there-are-some-wlfi-bought-by-bots-wallet-changes-that-will-not-be-eligible-for-unlocking/40302; https://coinmarketcap.com/cmc-ai/world-liberty-financial-ethereum/latest-updates/</t>
  </si>
  <si>
    <t>2025-07-01; 2025-08-26; 2025-09-01</t>
  </si>
  <si>
    <t>World Liberty has publicly disclosed that 20% of early-purchaser WLFI unlocks on an initial schedule, while the remaining 80% and team/founder allocations are subject to future community governance votes and longer lockups. However, detailed, finalized unlock calendars for all tranches are not fully published; the company also reserves discretion over timing and eligibility, so disclosure is partial rather than complete.</t>
  </si>
  <si>
    <t>E2.5</t>
  </si>
  <si>
    <t>What % of total supply unlocks in the next 6 months? Enter numeric or 'Unknown'.</t>
  </si>
  <si>
    <t>https://www.mexc.com/news/how-to-claim-wlfi-tokens-the-official-2025-unlock-and-trading-guide/71223; https://www.ccn.com/education/crypto/wlfi-token-launch-sept-1-unlock-trade-risks/; https://governance.worldlibertyfinancial.com/t/community-proposal-unlock-80-locked-tokens/49982</t>
  </si>
  <si>
    <t>2025-08-23; 2025-09-21</t>
  </si>
  <si>
    <t>Escalate if insider share (Team%+VC%) &gt; 45% AND unlocks in next 6m &gt; 15%. Auto 'No Review' if Token_Symbol = BTC.</t>
  </si>
  <si>
    <t>Available primary and secondary sources state that 20% of presale/early-supporter WLFI unlocked on Sept 1, 2025, and that the remaining 80% of those tokens—and other locked allocations—will be unlocked according to future community governance decisions. Several vesting proposals exist, but I found no evidence that a definitive, implemented unlock schedule covering the next six months has been finalized on-chain or in binding documentation. Therefore the % of total supply set to unlock in the next six months cannot be determined reliably.</t>
  </si>
  <si>
    <t>E2-N</t>
  </si>
  <si>
    <t>≤120-word narrative on fairness &amp; foreseeable harm (insider vs public). (Narrative only)</t>
  </si>
  <si>
    <t>WLFI’s capital raise heavily favored insiders and accredited investors, who acquired large allocations at cents-level prices and often with negotiated lockups, while the broader public only gained access once trading and volatility were high. The Trump family and close affiliates reportedly control a very large share of supply, creating ongoing concentration and overhang risks. Early decisions to freeze or stagger unlocks for some major holders show insiders can materially affect liquidity and price dynamics. Foreseeable harms to public buyers include sharp drawdowns, dilution from future unlocks, and governance outcomes skewed toward a small, politically connected cohort.</t>
  </si>
  <si>
    <t>https://www.coindesk.com/markets/2025/03/14/trump-backed-world-liberty-financial-wlfi-completes-token-sale; https://coinmarketcap.com/currencies/world-liberty-financial-wlfi/; https://www.reuters.com/business/finance/trump-crypto-backer-justin-sun-says-his-world-liberty-tokens-frozen-2025-09-05/</t>
  </si>
  <si>
    <t>2025-03-14; 2025-09-05</t>
  </si>
  <si>
    <t>Coindesk and press reports describe a $550–$590M WLFI presale limited to accredited/early investors and note high insider and Trump-family ownership stakes, while CMC shows large supply concentrations and unlock dynamics. Reuters details token freezes affecting prominent investors. Together these support concerns about unequal access, concentrated control and foreseeable volatility/dilution risks for later public participants.</t>
  </si>
  <si>
    <t>E3.1</t>
  </si>
  <si>
    <t>Annual inflation/emission rate (% per year). Enter numeric or 'Unknown'. (Category-aware thresholds apply.)</t>
  </si>
  <si>
    <t>https://meme-insider.com/en/article/wlfi-on-base-world-liberty-financial-token-guide-tokenomics-risks-and-how-to-verify/; https://en.wikipedia.org/wiki/World_Liberty_Financial; https://www.mexc.co/news/wlfi-token-buyback-plan-gains-99-8-approval-from-world-liberty/102517</t>
  </si>
  <si>
    <t>2025-10-01; 2025-11-11; 2025-09-20</t>
  </si>
  <si>
    <t>Escalate if annual emission &gt;8% (L1/L2) or &gt;6% (others). Auto 'No Review' if Token_Symbol = BTC.</t>
  </si>
  <si>
    <t>Available public sources describe WLFI’s total and circulating supply, distribution, burns, buybacks, and upcoming unlocks, but do not disclose a clear, rule-based annual inflation or emission schedule expressed as a % per year. Without an official, quantified emission rate, the annual inflation/emission figure must be treated as Unknown for risk assessment purposes.</t>
  </si>
  <si>
    <t>E3.2</t>
  </si>
  <si>
    <t>Unlock pacing style (Gradual / Mixed / Cliff / Unknown).</t>
  </si>
  <si>
    <t>Mixed</t>
  </si>
  <si>
    <t>https://www.mexc.com/news/how-to-claim-wlfi-tokens-the-official-2025-unlock-and-trading-guide/71223; https://www.xt.com/en/blog/post/wlfi-token-launches-sept-1-on-ethereum-unlocks-20-tokens; https://www.coindesk.com/business/2025/07/16/trump-linked-wlfi-token-clears-vote-to-become-tradable</t>
  </si>
  <si>
    <t>2025-08-20; 2025-08-23; 2025-07-16</t>
  </si>
  <si>
    <t>WLFI has a clear initial cliff-style unlock where 20% of early supporters’ tokens unlock at trading start (Sept 1, 2025). However, the remaining 80% of these allocations, as well as other large buckets, are subject to future community governance votes and phased or longer-term unlocks, with specifics not yet finalized. This combination of an upfront tranche plus additional unlocks over time fits a Mixed pacing style, though details remain partially undefined.</t>
  </si>
  <si>
    <t>E3.3</t>
  </si>
  <si>
    <t>Are unlocks tied to real adoption milestones? (Yes / Unclear / No)</t>
  </si>
  <si>
    <t>Available documentation indicates WLFI unlocks are governed by preset schedules and community/governance votes, not by measurable adoption milestones (e.g., protocol usage, revenue, or TVL targets). The official terms state that 20% of early-purchaser tokens unlock first, with the remaining 80% and team allocations subject to future governance-defined unlock schedules, but there is no linkage to concrete ecosystem performance KPIs.</t>
  </si>
  <si>
    <t>E3-N</t>
  </si>
  <si>
    <t>≤120-word narrative on dilution path and mitigants. (Narrative only)</t>
  </si>
  <si>
    <t>WLFI’s dilution risk stems from large locked allocations to presale investors, team/treasury and Alt5 Sigma, with only ~27–28% of the 100B genesis supply initially unlocked and the remaining presale 80% plus major treasury buckets subject to future vesting or governance-defined schedules. There is no ongoing protocol inflation, so supply growth is dominated by unlock decisions rather than emissions. Key mitigants are: governance‑gated unlocks via the Lockbox; community proposals for structured vesting (e.g., 12‑month linear schedules or multi‑year halving‑style streaming); and emerging buyback‑and‑burn programs aimed at offsetting unlock-driven sell pressure over time.</t>
  </si>
  <si>
    <t>https://www.okx.com/learn/world-liberty-financial-white-paper; https://bingx.com/en/learn/article/what-is-world-liberty-financial-wlfi-tokenomics-at-sep1-launch; https://governance.worldlibertyfinancial.com/t/proposal-12-month-linear-vesting-collateral-utility-for-locked-wlfi/50075</t>
  </si>
  <si>
    <t>2025-09-01; 2025-09-01; 2025-09-23</t>
  </si>
  <si>
    <t>Answer synthesizes allocation data, initial float, and governance proposals describing vesting and burn mechanics. Governance is still debating schedules, so forward-looking dilution is uncertain, warranting Medium confidence.</t>
  </si>
  <si>
    <t>E4.1</t>
  </si>
  <si>
    <t>Primary yield source (Fee / Mix / Emissions / Unknown).</t>
  </si>
  <si>
    <t>Mix</t>
  </si>
  <si>
    <t>https://governance.worldlibertyfinancial.com/t/governance-proposal-enable-wlfi-token-staking-for-enhanced-governance-and-ecosystem-incentives/33917; https://governance.worldlibertyfinancial.com/t/wlfi-staking-proposal/35458</t>
  </si>
  <si>
    <t>2025-07-17; 2025-07-20</t>
  </si>
  <si>
    <t>Trigger #3 checks emission-funded high APR.</t>
  </si>
  <si>
    <t>Governance discussions for WLFI staking describe yields being funded from multiple sources: sharing of protocol transaction and lending fees, portions of treasury reserves, and in some designs an additional component from new WLFI emissions. Because planned rewards explicitly combine fee-based revenue with token/treasury-funded incentives rather than relying predominantly on one source, the primary yield source is best classified as Mix.</t>
  </si>
  <si>
    <t>E4.2</t>
  </si>
  <si>
    <t>Typical headline yield/APR (%). Enter numeric or 'Unknown'.</t>
  </si>
  <si>
    <t>40</t>
  </si>
  <si>
    <t>https://governance.worldlibertyfinancial.com/t/wlfi-staking-program-proposal/34605; https://governance.worldlibertyfinancial.com/t/proposal-on-unlocking-the-remaining-80-of-wlfi-tokens-and-allocating-them-into-defi-yield-mechanisms/50179</t>
  </si>
  <si>
    <t>2025-07-18; 2025-09-26</t>
  </si>
  <si>
    <t>Escalate if primary yield = Emissions AND APR &gt; 20%.</t>
  </si>
  <si>
    <t>World Liberty Financial’s own governance forum staking proposal presents headline APRs of 5% (1 month), 10% (3 months), 20% (6 months), and 40% (12 months), with the 12‑month lock often cited as the top advertised rate. No single unified APR is marketed across all channels, but 40% is the clearest headline figure for maximum-term WLFI staking. Actual live yields may differ from this proposal.</t>
  </si>
  <si>
    <t>E4.3</t>
  </si>
  <si>
    <t>Does the economic design discourage pure speculation? (Yes / Unclear / No)</t>
  </si>
  <si>
    <t>https://coinmarketcap.com/currencies/world-liberty-financial-wlfi/; https://nypost.com/2025/09/02/business/trump-backed-wlfi-token-whipsaws-as-speculators-drive-billions-in-trades/; https://www.barrons.com/articles/trump-wlfi-crypto-trading-today-a430bc92</t>
  </si>
  <si>
    <t>2025-11-25; 2025-09-02; 2025-09-01</t>
  </si>
  <si>
    <t>WLFI is freely tradable on major exchanges, with a large circulating supply and multi‑billion‑dollar market cap, and has shown sharp price swings driven by trader activity and Trump branding. Early buyers received tokens at cents that quickly appreciated, enabling significant speculative gains. While framed as a governance token, the design and launch mechanics clearly allow and even attract pure speculation rather than discouraging it.</t>
  </si>
  <si>
    <t>E4-N</t>
  </si>
  <si>
    <t>≤120-word narrative on incentive sustainability &amp; suitability. (Narrative only)</t>
  </si>
  <si>
    <t>WLFI’s incentive design centers on governance participation, with 32.5% of supply earmarked for community growth and incentives rather than explicit yield or revenue‑sharing, which supports regulatory defensibility but weakens direct economic appeal for long‑term holders. Current and proposed mechanisms (e.g., staking and potential USD1 fee–linked rewards) aim to align holders with protocol growth, yet many remain at proposal stage, creating execution and legal-risk overhangs. Meanwhile, rapid price run‑ups and volatility indicate that near‑term demand is driven more by speculation and political branding than by sustainable cash‑flow rights, raising questions about incentive suitability for conservative or purely utility‑focused users.</t>
  </si>
  <si>
    <t>https://www.datawallet.com/crypto/world-liberty-financial-and-wlfi-explained; https://governance.worldlibertyfinancial.com/t/governance-proposal-enable-wlfi-token-staking-for-enhanced-governance-and-ecosystem-incentives/33917; https://nypost.com/2025/09/02/business/trump-backed-wlfi-token-whipsaws-as-speculators-drive-billions-in-trades/</t>
  </si>
  <si>
    <t>2025-11-25; 2025-07-17; 2025-09-02</t>
  </si>
  <si>
    <t>Used public tokenomics overviews and governance-forum proposals to assess current vs. proposed incentive mechanisms, and news on WLFI’s volatile trading to judge sustainability and suitability. Some elements remain unimplemented and may change via governance, so assessment is medium-confidence.</t>
  </si>
  <si>
    <t>Staleness Class Lookup Table</t>
  </si>
  <si>
    <t>Max_Age_Low_Risk</t>
  </si>
  <si>
    <t>Max_Age_Med_Risk</t>
  </si>
  <si>
    <t>Penalty_Med</t>
  </si>
  <si>
    <t>Penalty_High</t>
  </si>
  <si>
    <t>TAB SUMMARY (auto-calculated)</t>
  </si>
  <si>
    <t>Section A Avg Final_Score</t>
  </si>
  <si>
    <t>Section B Avg Final_Score</t>
  </si>
  <si>
    <t>Section C Avg Final_Score</t>
  </si>
  <si>
    <t>Section D Avg Final_Score</t>
  </si>
  <si>
    <t>Section E Avg Final_Score</t>
  </si>
  <si>
    <t>Overall Avg Final_Score</t>
  </si>
  <si>
    <t>Overall_Risk_Band</t>
  </si>
  <si>
    <t>Weakest_Link_Subsection</t>
  </si>
  <si>
    <t>A. Financial Promotions &amp; Claims</t>
  </si>
  <si>
    <t>Does the project’s public messaging describe the token in functional terms rather than speculative return language? (Functional / Mixed / Speculative / Unknown)</t>
  </si>
  <si>
    <t>https://worldlibertyfinancial.com/; https://blog.valr.com/blog/what-is-world-liberty-financial-wlfi; https://nypost.com/2025/09/02/business/trump-backed-wlfi-token-whipsaws-as-speculators-drive-billions-in-trades/</t>
  </si>
  <si>
    <t>2025-11-25; 2025-09-05; 2025-09-02</t>
  </si>
  <si>
    <t>World Liberty’s own site and docs frame WLFI primarily as a governance token for protocol upgrades and treasury decisions, a clearly functional description. However, surrounding public messaging and coverage heavily emphasize large token sales, trading launches, price volatility, market cap and investor gains, creating a strong speculative context. Given both utilitarian and return‑oriented narratives are prominent in the project’s public footprint, the overall characterization is best classified as Mixed.</t>
  </si>
  <si>
    <t>Are material risks (e.g., volatility, governance, centralization, roadmap uncertainty) clearly disclosed in official documentation? (Good / Partial / Poor / Unknown)</t>
  </si>
  <si>
    <t>Good</t>
  </si>
  <si>
    <t>https://www.okx.com/learn/world-liberty-financial-white-paper; https://en.wikipedia.org/wiki/World_Liberty_Financial</t>
  </si>
  <si>
    <t>The OKX-hosted WLFI crypto-asset whitepaper includes a dedicated "Information on Risks" section detailing offer-related, issuer, crypto-asset, project-implementation, governance, centralisation, token unlock, liquidity, and market volatility risks, as well as smart contract and technology risks. This represents a relatively comprehensive disclosure of material risks in official documentation.</t>
  </si>
  <si>
    <t>Do official materials avoid implying guaranteed returns or profit expectations? (Yes / No / Ambiguous / Unknown)</t>
  </si>
  <si>
    <t>https://worldlibertyfinancial.com/wlfi/risk-disclosures; https://worldlibertyfinancial.com</t>
  </si>
  <si>
    <t>2025-09-24</t>
  </si>
  <si>
    <t>COBS 4.5A.3R — Promotions must not imply guaranteed returns or expectations of profit (requires board sign‑off if detected).</t>
  </si>
  <si>
    <t>Official WLFI materials include detailed Risk Disclosures that explicitly state token holders should have no expectation of profit, that WLFI provides only governance rights, is not an investment, and offers no dividends, airdrops, or other income. This language clearly avoids guaranteeing returns and affirmatively discourages profit expectations, indicating a deliberate effort to avoid implying financial guarantees.</t>
  </si>
  <si>
    <t>Is the token’s described purpose aligned with observed real-world usage on-chain or in live applications? (Aligned / Partially / Misaligned / Unknown)</t>
  </si>
  <si>
    <t>Partially</t>
  </si>
  <si>
    <t>https://worldlibertyfinancial.com/; https://www.coindesk.com/markets/2025/03/14/trump-backed-world-liberty-financial-wlfi-completes-token-sale; https://nypost.com/2025/09/02/business/trump-backed-wlfi-token-whipsaws-as-speculators-drive-billions-in-trades/</t>
  </si>
  <si>
    <t>2025-09-01; 2025-03-14; 2025-09-02</t>
  </si>
  <si>
    <t>WLFI is described as a governance token for a DeFi platform that bridges TradFi and DeFi, with holders steering the protocol and interacting with products like USD1, lending/borrowing, and an app—many of which are still “coming soon.”【turn0search4】 In practice, on‑chain and market evidence show primary current usage as a highly traded speculative asset on major exchanges following large private and public token sales, with governance and functional DeFi utility secondary and still emerging.【turn0search3】【turn0news18】</t>
  </si>
  <si>
    <t>Is the overall tone of messaging suitable for retail audiences (simple, factual, risk-aware)? (Yes / Mixed / No / Unknown)</t>
  </si>
  <si>
    <t>https://worldlibertyfinancial.com/; https://www.businesswire.com/news/home/20250317855322/en/Trump-Inspired-World-Liberty-Financial-Closes-%24550-Million-Across-Token-Sales; https://en.wikipedia.org/wiki/World_Liberty_Financial</t>
  </si>
  <si>
    <t>2025-11-22; 2025-03-17; 2025-11-10</t>
  </si>
  <si>
    <t>Project communications combine product descriptions with highly promotional, political branding (“inspired by Donald J. Trump”, “Where DeFi meets TradFi”, “shape the future”) and large headline figures about fundraises and growth. While some institutional framing and a standard forward‑looking disclaimer appear, there is little simple, prominent messaging about volatility, governance or loss risk for everyday users. Overall tone is more marketing‑driven than risk‑aware, so suitability for retail is mixed.</t>
  </si>
  <si>
    <t>B. Token Holder Rights &amp; Legal Characterization</t>
  </si>
  <si>
    <t>Does the token confer economic rights such as dividends, revenue share, buybacks yielding returns, interest, or similar? (Yes / Partial / No / Unknown)</t>
  </si>
  <si>
    <t>https://www.datawallet.com/crypto/world-liberty-financial-and-wlfi-explained; https://nypost.com/business/how-to-buy-wlfi-token/; https://www.coindesk.com/markets/2025/03/14/trump-backed-world-liberty-financial-wlfi-completes-token-sale</t>
  </si>
  <si>
    <t>2025-11-25; 2025-09-10; 2025-03-14</t>
  </si>
  <si>
    <t>FSMA perimeter risk — securities-like **economic rights** (dividends/revenue share/interest). Legal assessment required.</t>
  </si>
  <si>
    <t>Available disclosures describe WLFI as a governance token used for voting on protocol decisions, without embedded rights to dividends, revenue sharing, interest, or similar cashflow-based returns. Third‑party tokenomics analysis explicitly states that WLFI has "no financial returns or revenue‑sharing" and is governance‑only, and media coverage notes it lacks asset backing or equity‑style rights. Any gains would be from market price appreciation, not contractual economic rights.</t>
  </si>
  <si>
    <t>How material are governance rights over protocol economics (e.g., issuance/fees/treasury)? (High / Moderate / Low / None / Unknown)</t>
  </si>
  <si>
    <t>https://worldlibertyfinancial.com/wlfi/terms; https://governance.worldlibertyfinancial.com/t/governance-proposal-unlocking-real-value-a-staking-utility-model-for-wlfi/42972; https://worldlibertyfinancial.com/governance</t>
  </si>
  <si>
    <t>2025-10-15; 2025-09-03; 2025-10-01</t>
  </si>
  <si>
    <t>No board trigger for this question.</t>
  </si>
  <si>
    <t>WLFI is explicitly framed as a governance token whose sole utility is to propose and vote on changes to the World Liberty Financial protocol. Official terms state that token holders govern the WLF Protocol, while community proposals contemplate staking rewards, directing protocol revenues, and buyback-and-burn mechanisms funded from ecosystem fees and partnerships. This indicates governance can materially affect issuance, fee flows, and treasury-like uses, making governance rights over protocol economics highly material.</t>
  </si>
  <si>
    <t>Is there any claim on issuer/treasury assets or redemption at par or promise-like value? (Yes / Conditional / No / Unknown)</t>
  </si>
  <si>
    <t>https://worldlibertyfinancial.com/wlfi/terms; https://www.okx.com/learn/world-liberty-financial-white-paper</t>
  </si>
  <si>
    <t>2025-08-25; 2025-09-01</t>
  </si>
  <si>
    <t>FSMA perimeter risk — **redemption/claim on issuer assets** may indicate e‑money or security.</t>
  </si>
  <si>
    <t>Available primary documentation states WLFI’s sole utility is governance and that it confers no ownership, revenue, distribution, or other economic rights in the protocol, company, or its assets. There is no mention of redemption at par, backing by issuer/treasury assets, or any promise-like value for WLFI itself (distinct from the separate USD1 stablecoin).</t>
  </si>
  <si>
    <t>Do terms impose jurisdictional restrictions affecting **retail** availability (e.g., UK/US retail excluded)? (None / Some / Extensive / Unknown)</t>
  </si>
  <si>
    <t>Extensive</t>
  </si>
  <si>
    <t>https://worldlibertyfinancial.com/wlfi/terms; https://cointelegraph.com/learn/articles/token-swaps-vs-token-sales-world-liberty-financial/</t>
  </si>
  <si>
    <t>2025-08-25</t>
  </si>
  <si>
    <t>WLFI Token Use and Acquisition Terms prohibit token use, sales or transfers to users in specified restricted/sanctioned countries and more broadly where token use is prohibited by law, and require compliance with local law. They also structure access under U.S. securities exemptions, with U.S. participation limited to accredited investors, effectively excluding broad U.S. retail and other restricted jurisdictions. This constitutes extensive jurisdictional restrictions.</t>
  </si>
  <si>
    <t>Has any regulator officially flagged or acted on this token (e.g., SEC complaint, FCA warning, ESMA statement)? (No / Soft-Guidance / Enforcement / Unknown)</t>
  </si>
  <si>
    <t>https://www.reuters.com/world/us/us-democrats-raise-regulatory-concerns-over-trump-family-crypto-venture-wsj-2025-03-28/; https://en.wikipedia.org/wiki/World_Liberty_Financial</t>
  </si>
  <si>
    <t>2025-03-28; 2025-11-10</t>
  </si>
  <si>
    <t>Regulatory action detected — prioritise legal review and board visibility.</t>
  </si>
  <si>
    <t>Searches of major securities and financial regulators’ actions and warning lists (e.g., SEC, CFTC, FCA, ESMA) show no official enforcement action or investor alert specifically targeting World Liberty Financial or the WLFI token as of 2025-11-25. While U.S. lawmakers have raised regulatory and conflict-of-interest concerns about the project, this is legislative scrutiny, not a formal regulatory enforcement or warning measure.</t>
  </si>
  <si>
    <t>B1.6</t>
  </si>
  <si>
    <t>Do materials present the token primarily as an **investment opportunity** rather than functional utility? (Yes / Implied / No / Unknown)</t>
  </si>
  <si>
    <t>https://www.businesswire.com/news/home/20250317855322/en/Trump-Inspired-World-Liberty-Financial-Closes-%24550-Million-Across-Token-Sales; https://www.coindesk.com/markets/2025/03/14/trump-backed-world-liberty-financial-wlfi-completes-token-sale; https://www.ethnews.com/wlfi-opens-trading-september-1-after-governance-only-phase/</t>
  </si>
  <si>
    <t>2025-03-17; 2025-03-14; 2025-08-28</t>
  </si>
  <si>
    <t>Public materials and coverage emphasize WLFI as a large-scale token sale and speculative asset. Press releases and crypto media focus on the $550–590M raised across WLFI token offerings, pre-sale pricing rounds ($0.015, $0.05), and exchange trading, including early-investor unlocks and secondary-market activity. These investment-focused narratives and fundraising details dominate over descriptions of on-chain governance utility, indicating the token is primarily framed as an investment opportunity.</t>
  </si>
  <si>
    <t>B1.7</t>
  </si>
  <si>
    <t>Were token sales/distributions conducted with investor protections (KYC, vesting, disclosures)? (Strong / Partial / Weak / Unknown)</t>
  </si>
  <si>
    <t>https://governance.worldlibertyfinancial.com/t/proposal-fair-vesting-for-presale-investors-of-30b-wlfi-tokens/36058; https://governance.worldlibertyfinancial.com/t/proposal-implement-vesting-schedule-for-treasury-and-ecosystem-tokens/42331; https://www.ccn.com/news/crypto/world-liberty-financial-wlfi-token-launch-key-dates-and-full-details/</t>
  </si>
  <si>
    <t>2025-08-07; 2025-09-02; 2025-08-31</t>
  </si>
  <si>
    <t>Evidence indicates some investor protections but not a comprehensive, clearly enforced framework. Governance posts describe presale investors as KYC-verified and subject to KYC re‑screening for claims, and propose structured vesting for the 30B presale pool, as well as vesting for ecosystem and treasury tokens. However, community discussion highlights that original sale terms lacked explicit vesting clauses and that later unlock/vesting details and circulating-supply disclosures were not clearly communicated, suggesting only partial implementation of protections.</t>
  </si>
  <si>
    <t>B1-N</t>
  </si>
  <si>
    <t>≤120-word narrative on legal characterisation &amp; rights (with evidence).</t>
  </si>
  <si>
    <t>Based on available disclosures, WLFI is structured as a protocol governance and utility token for the World Liberty Financial DeFi ecosystem, not as equity in World Liberty Financial Inc. or a claim on its assets, profits, or USD1 reserves. Public reporting and project materials describe WLFI’s primary on‑chain function as conferring governance/voting rights over protocol changes and ecosystem decisions; tokens have also become transferable and tradable following a community vote. There is no clear evidence that WLFI grants holders legal rights such as ownership, dividends, redemption, or creditor status, and U.S. regulatory treatment (e.g., as a security) remains uncertain and potentially contested.</t>
  </si>
  <si>
    <t>https://worldlibertyfinancial.com/; https://governance.worldlibertyfinancial.com/t/wlfis-grand-opening-a-new-era-begins-in-the-crypto-market/22457; https://www.reuters.com/business/trumps-world-liberty-financial-tokens-begin-trading-2025-09-01/</t>
  </si>
  <si>
    <t>2025-11-25; 2025-07-01; 2025-09-01</t>
  </si>
  <si>
    <t>Sources consistently describe WLFI as a governance token for protocol decision-making, with no equity or redemption rights disclosed. However, detailed offering documents and any U.S. regulatory characterization are not publicly available, so there is residual uncertainty, particularly given the large, KYC’d capital raise and political sensitivities.</t>
  </si>
  <si>
    <t>C. Governance, Control &amp; Decision-Making</t>
  </si>
  <si>
    <t>C1.1</t>
  </si>
  <si>
    <t>Who can change core protocol parameters or upgrade contracts? (DAO w/ quorum &amp; timelock / Multisig (≥M-of-N) w/ timelock / Multisig without timelock / Single key / Unknown)</t>
  </si>
  <si>
    <t>Multisig without timelock</t>
  </si>
  <si>
    <t>https://www.okx.com/en-eu/news/article/20-q-help-understand-governance-model-trump-familys-crypto-project-wlfi-53751563297024; https://www.panewslab.com/en/articles/002c488f-478c-4085-8c69-fa1660982c4e; https://www.odaily.news/en/newsflash/445830</t>
  </si>
  <si>
    <t>2025-08-01; 2025-08-30; 2025-08-30</t>
  </si>
  <si>
    <t>SYSC 4.1.1R — Unilateral control over protocol upgrades poses material governance risk.</t>
  </si>
  <si>
    <t>Project governance materials state the WLF protocol "is governed and controlled by one or more multi-signers," with a Security Multisig responsible for protocol governance and updates, especially during adverse events. World Liberty Financial, a Delaware corporation, determines the signers. No reference is made to an on-chain timelock protecting upgrades, so current evidence points to multisig control without a documented timelock safeguard.</t>
  </si>
  <si>
    <t>C1.2</t>
  </si>
  <si>
    <t>Are upgrade/admin privileges protected by timelocks giving users time to react? (Yes / Partial / No / Unknown)</t>
  </si>
  <si>
    <t>Could not parse structured output. Preview: {"id": "resp_024544b4e9e4c8bd0069262b4883e4819f99374855bc280fab", "object": "response", "created_at": 1764109128, "status": "incomplete", "background": false, "billing": {"payer": "developer"}, "error": null, "incomplete_details": {"reason"</t>
  </si>
  <si>
    <t>C1.3</t>
  </si>
  <si>
    <t>Is treasury control distributed (e.g., ≥M-of-N multisig with independent signers)? (Strong / Partial / Weak / Unknown)</t>
  </si>
  <si>
    <t>Weak</t>
  </si>
  <si>
    <t>https://www.mexc.com/news/80818; https://info.arkm.com/research/world-liberty-fi-purchases-21-5m-of-crypto; https://www.neobulletin.com/2025/01/22/trump-backed-world-liberty-financial-processes-nearly-1-billion-in-volume-on-safe-protocol/</t>
  </si>
  <si>
    <t>2025-07-01; 2025-03-06; 2025-01-22</t>
  </si>
  <si>
    <t>Available disclosures indicate that World Liberty Financial’s protocol and treasury are controlled via company-selected multisig wallets, not by an independently distributed group. Governance FAQs state the protocol is “governed and controlled by one or more multi-signers” whose number and signatories are determined by the company, and that WLF is not bound by token holder votes. Treasury operations also run through institutional multisig wallets, but there is no evidence of independent, non‑affiliated signers.</t>
  </si>
  <si>
    <t>C1.4</t>
  </si>
  <si>
    <t>Are governance processes transparent (on-chain proposals, published minutes, voter addresses, audits)? (Good / Partial / Poor / Unknown)</t>
  </si>
  <si>
    <t>https://worldlibertyfinancial.com/governance; https://governance.worldlibertyfinancial.com/t/proposal-make-wlfi-token-tradable/17772; https://governance.worldlibertyfinancial.com/t/urgent-request-for-transparency-on-official-wlfi-token-addresses-and-governance/33759</t>
  </si>
  <si>
    <t>2025-07-04; 2025-07-13</t>
  </si>
  <si>
    <t>WLFI publishes some governance materials: a governance portal using Snapshot, public proposal forum, and descriptions of voting processes, with proposals like token tradability and staking documented and vote results viewable. However, community posts highlight missing clarity on official token addresses and limited governance access for some holders, and there is no clear evidence of on-chain proposal contracts, formal minutes, or independent audits of governance. Overall transparency is mixed, so rated Partial.</t>
  </si>
  <si>
    <t>C1.5</t>
  </si>
  <si>
    <t>Does a single organisation or person have unilateral ability to pause/disable the protocol? (No / Limited / Yes / Unknown)</t>
  </si>
  <si>
    <t>https://etherscan.io/token/0xda5e1988097297dcdc1f90d4dfe7909e847cbef6#code; https://www.reuters.com/business/finance/trump-crypto-backer-justin-sun-says-his-world-liberty-tokens-frozen-2025-09-05/</t>
  </si>
  <si>
    <t>2025-11-25; 2025-09-05</t>
  </si>
  <si>
    <t>PRIN 12 — Foreseeable harm: unilateral pause/disable control requires board visibility.</t>
  </si>
  <si>
    <t>The WLFI ERC‑20 contract is implemented via an OpenZeppelin TransparentUpgradeableProxy, meaning an admin (via ProxyAdmin/owner) can upgrade the implementation arbitrarily and thereby add or enforce pause/lock logic, effectively disabling the token or protocol without holder consent.
Reuters has also reported that a major investor’s WLFI tokens were centrally frozen, indicating active unilateral control by the team over token functionality.</t>
  </si>
  <si>
    <t>C1.6</t>
  </si>
  <si>
    <t>Is there evidence of active, non-captive participation (≥X distinct voters, ≥Y% turnout) in recent governance? (Strong / Mixed / Weak / Unknown)</t>
  </si>
  <si>
    <t>https://www.coindesk.com/business/2025/07/16/trump-linked-wlfi-token-clears-vote-to-become-tradable; https://worldlibertyfinancial.com/governance; https://governance.worldlibertyfinancial.com/t/urgent-request-for-transparency-on-official-wlfi-token-addresses-and-governance/33759</t>
  </si>
  <si>
    <t>2025-07-16; 2025-07-13</t>
  </si>
  <si>
    <t>WLFI clearly uses a governance process (Snapshot-based voting on proposals such as making WLFI tradable), but publicly accessible data on the number of distinct voters and percentage turnout in these votes is not available without connecting a wallet. Forum posts also highlight that governance is currently restricted (e.g., Snapshot not supporting some chains), which further complicates turnout assessment. Because concrete voter counts and turnout percentages cannot be verified, the strength of non-captive participation must be classified as Unknown.</t>
  </si>
  <si>
    <t>C1.7</t>
  </si>
  <si>
    <t>Are conflicts of interest disclosed for key decision-makers (founders, multisig signers, major delegates)? (Yes / Partial / No / Unknown)</t>
  </si>
  <si>
    <t>https://ghl.software/world-liberty-financial-analysis-of-terms-and-conditions/; https://worldlibertyfinancial.com/wlfi/risk-disclosures</t>
  </si>
  <si>
    <t>2025-03-01; 2025-09-24</t>
  </si>
  <si>
    <t>WLFI provides some explicit conflict-of-interest disclosure, notably that Donald Trump/DT Marks DeFi receive a very large WLFI allocation and 75% of protocol revenue, and discusses their promotional role and dependence on Trump’s brand. However, there is no comprehensive, centralized disclosure of conflicts for all key decision‑makers, such as all multisig signers or major delegates, so coverage appears incomplete.</t>
  </si>
  <si>
    <t>C1-N</t>
  </si>
  <si>
    <t>≤120‑word narrative on managerial reliance and governance risk (with citations).</t>
  </si>
  <si>
    <t>World Liberty Financial exhibits high managerial reliance and governance risk. Reuters reports the Trump family, via a holding company, controls ~60% of the firm and 75% of net token revenues, despite WLFI being marketed as DeFi, indicating strong centralization and key‑person dependence.citeturn0news13 Official risk disclosures stress WLFI confers only governance rights and no economic or control claims over the protocol or company, limiting token‑holder recourse if management underperforms or behaves opportunistically.citeturn0search2 While design features such as a 5% per‑wallet voting cap aim to curb dominance, effective power likely remains concentrated in insiders and affiliated entities, heightening conflict‑of‑interest and policy‑capture risks.</t>
  </si>
  <si>
    <t>https://www.reuters.com/business/finance/how-trump-family-took-over-world-liberty-financial-it-raised-hundreds-millions-2025-03-31/; https://worldlibertyfinancial.com/wlfi/risk-disclosures; https://blog.bingx.com/bingx-insights/what-is-wlfi-a-deep-dive-into-world-liberty-financials-governance-token/</t>
  </si>
  <si>
    <t>2025-03-31</t>
  </si>
  <si>
    <t>Answer leans on detailed Reuters reporting of ownership/control concentration and the project’s own risk disclosures, plus third‑party analysis of governance design. These directly evidence centralized managerial control, limited token‑holder rights, and residual governance‑capture risks.</t>
  </si>
  <si>
    <t>D. Disclosures &amp; Transparency</t>
  </si>
  <si>
    <t>2025-12-18; 2025-11-11</t>
  </si>
  <si>
    <t>There is evidence of a current official whitepaper/technical documentation for WLFI. OKX hosts a “World Liberty Financial White Paper” that describes WLFI’s token characteristics and explicitly labels the document as the project’s whitepaper, indicating it was submitted by the issuer. Wikipedia’s entry for World Liberty Financial also lists a white paper among core project metadata. This supports that formal documentation exists and is current rather than legacy or missing.</t>
  </si>
  <si>
    <t>https://www.okx.com/learn/world-liberty-financial-white-paper; https://ygxu.okx-kyc.it.com/learn/world-liberty-financial-white-paper</t>
  </si>
  <si>
    <t>2025-12-18; 2025-12-18</t>
  </si>
  <si>
    <t>The MiCA-compliant WLFI whitepaper hosted by OKX explicitly describes WLFI as an ERC‑20 utility token whose sole function is to grant governance/voting rights within the World Liberty Financial protocol, without any profit, dividend, or asset rights. It further explains that holding WLFI provides access to protocol governance decisions (e.g., upgrades, parameters), clearly outlining both purpose and function of the token.</t>
  </si>
  <si>
    <t>https://www.okx.com/learn/world-liberty-financial-white-paper; https://worldlibertyfinancial.com/governance</t>
  </si>
  <si>
    <t>The OKX-hosted WLFI whitepaper explicitly defines governance: WLFI’s primary function is to enable governance of the World Liberty Financial protocol, with proposals and votes on upgrades, risk parameters and strategic decisions conducted via a forum and Snapshot. It details rights, voting mechanics (including a 5% per-wallet cap), how rights may be modified, and issuer veto powers. This constitutes a clear description of the governance model.</t>
  </si>
  <si>
    <t>The OKX-hosted MiCA whitepaper for WLFI states a fixed maximum supply of 100 billion tokens, describes the token generation event and initial token sales, and notes when the token became transferable. It also provides a detailed allocation breakdown by category (public sale, treasury, team/advisors, partners, liquidity, etc.) and explains limited vesting/lock-up details. These disclosures together cover supply, issuance model, and allocations.</t>
  </si>
  <si>
    <t>https://worldlibertyfinancial.com/wlfi/risk-disclosures</t>
  </si>
  <si>
    <t>2024-09-01</t>
  </si>
  <si>
    <t>World Liberty Financial provides a dedicated “Risk Disclosures” document for WLFI that explicitly describes multiple categories of risk, including governance participation risk, regulatory and classification risk, taxation, protocol malfunction, hacking and theft, wallet incompatibility, cryptographic weaknesses, uninsured losses, and early-stage operating and governance risks. This constitutes a reasonably comprehensive formal risk-factor disclosure.</t>
  </si>
  <si>
    <t>https://worldlibertyfinancial.com/about; https://blockchainwire.io/press-release/bitmart-research-releases-in-depth-analysis-on-world-liberty-financial-wlfi-and-its-strategic-vision; https://www.reuters.com/business/finance/how-trump-family-took-over-world-liberty-financial-it-raised-hundreds-millions-2025-03-31/</t>
  </si>
  <si>
    <t>2025-11-18; 2025-10-15; 2025-03-31</t>
  </si>
  <si>
    <t>The project publishes a detailed team page listing named founders, Trump family members, executives (e.g., CTO, CCO, Head of Growth), and their roles, with photos and biographies. These identities are independently corroborated by third‑party research and major media coverage describing the Trump and Witkoff families and other named individuals as leading World Liberty Financial, making the team both disclosed and externally verifiable.</t>
  </si>
  <si>
    <t>Unclear</t>
  </si>
  <si>
    <t>https://www.businesswire.com/news/home/20250317855322/en/Trump-Inspired-World-Liberty-Financial-Closes-%24550-Million-Across-Token-Sales; https://worldlibertyfinancial.com/; https://kdow.biz/news/business/trump-inspired-world-liberty-financial-closes-550-million-across-token-sales/b96eed912f664782ac2590902bbd391c</t>
  </si>
  <si>
    <t>2025-03-17; 2025-03-17</t>
  </si>
  <si>
    <t>Some official communications (e.g., BusinessWire press releases) include a generic disclaimer that the communication contains forward-looking information, but they do not clearly distinguish each forward-looking statement from factual claims line‑by‑line. The main website mixes current features with future plans such as “Coming Soon” products without a dedicated forward‑looking section or consistent labeling across all materials. Given incomplete visibility into all whitepapers and risk disclosures, separation is best assessed as unclear.</t>
  </si>
  <si>
    <t>The MiCA-style WLFI whitepaper is relatively structured and specific: it explains issuer identity, governance-only utility, token allocation, absence of vesting for most allocations, treasury discretion, and a broad set of technical and project risks. This supports fair and generally clear disclosure for sophisticated readers. However, it is drafted to MiCA rather than FCA requirements, uses complex language, and does not include FCA‑prescribed UK risk warnings or customer‑journey features. As a standalone promotion to UK retail, it would only partially meet FCA “fair, clear, not misleading” expectations.</t>
  </si>
  <si>
    <t>https://www.okx.com/learn/world-liberty-financial-white-paper; https://www.fca.org.uk/publications/fg23-3-finalised-non-handbook-guidance-cryptoasset-financial-promotions</t>
  </si>
  <si>
    <t>2025-12-18; 2023-11-02</t>
  </si>
  <si>
    <t>Assessment is based on the OKX/World Liberty MiCA whitepaper, which provides granular information on issuer, governance utility, tokenomics and risk factors, but is framed to MiCA, not FCA, standards. FCA guidance expects fair, clear, not misleading promotions with prescribed retail risk warnings and specific presentation standards, which this document does not fully implement. Some residual uncertainty remains as the evaluation infers FCA alignment from MiCA-focused drafting.</t>
  </si>
  <si>
    <t>E. Product Governance &amp; Review Process Fit</t>
  </si>
  <si>
    <t>https://www.worldlibertyclaims.com/; https://governance.worldlibertyfinancial.com/t/wlfis-grand-opening-a-new-era-begins-in-the-crypto-market/22457; https://www.coindesk.com/markets/2025/03/14/trump-backed-world-liberty-financial-wlfi-completes-token-sale</t>
  </si>
  <si>
    <t>2025-11-20; 2025-07-15; 2025-03-14</t>
  </si>
  <si>
    <t>World Liberty Financial describes WLFI as the governance token of its DeFi platform, used for proposing and voting on protocol decisions. Third-party coverage likewise characterizes WLFI as a governance token for the World Liberty Financial protocol, rather than a general‑purpose utility, L1, or LP token. Accordingly, the most appropriate category is Governance.</t>
  </si>
  <si>
    <t>Fixed</t>
  </si>
  <si>
    <t>https://coinmarketcap.com/currencies/world-liberty-financial-wlfi/; https://www.coingecko.com/en/coins/world-liberty-financial; https://governance.worldlibertyfinancial.com/t/wlfi-initial-supply-faq/42647</t>
  </si>
  <si>
    <t>2025-11-25; 2025-11-25; 2025-09-02</t>
  </si>
  <si>
    <t>Multiple independent sources state WLFI has a fixed total supply of 100 billion tokens, defined at the token generation event and used as the base for all allocations. CoinMarketCap and CoinGecko both list total and max supply as 100B WLFI, with no indication of minting beyond this cap. Governance discusses unlock schedules for existing tokens but not any inflation or expansion of supply, supporting a fixed-supply model.</t>
  </si>
  <si>
    <t>https://tokenradar.ai/tokens/world-liberty-financial/tokenomics; https://meme-insider.com/en/article/wlfi-on-base-world-liberty-financial-token-guide-tokenomics-risks-and-how-to-verify/; https://governance.worldlibertyfinancial.com/t/proposal-fair-vesting-for-presale-investors-of-30b-wlfi-tokens/36058</t>
  </si>
  <si>
    <t>2025-10-09; 2025-10-15; 2025-08-07</t>
  </si>
  <si>
    <t>WLFI discloses total supply, major allocation buckets, and initial launch unlocks (e.g., 20% presale unlock, insiders locked), so some issuance information is documented. However, large portions of supply (remaining 80% of presale, team and founder allocations, and other locked tranches) have vesting/unlock details left to future or ongoing governance proposals, and independent analyses note that no finalized, dated vesting schedule has been published. Overall, transparency is incomplete, so classification is Partial.</t>
  </si>
  <si>
    <t>https://www.okx.com/learn/world-liberty-financial-white-paper; https://governance.worldlibertyfinancial.com/t/request-to-unlock-2-86-monthly-of-35-billion-tokens-for-wlfi-sale/26382</t>
  </si>
  <si>
    <t>2025-09-01; 2025-07-05</t>
  </si>
  <si>
    <t>WLFI has a fixed stated max supply (100B), but key aspects of effective supply are subject to discretionary decisions. The whitepaper notes that future mechanisms like staking and buyback‑and‑burn will be introduced via governance proposals, and that vesting/unlock conditions for major allocations (beyond the initial public sale tranche) are not yet fixed and depend on future governance votes. Given the large insider and treasury holdings, these governance outcomes are likely influenced by project management, so supply adjustments effectively depend on managerial discretion.</t>
  </si>
  <si>
    <t>WLFI discloses a fixed 100 billion total supply and some major allocations, including roughly 7.5% held by ALT5 Sigma and close to 25% reportedly controlled by the Trump family, with about 20–25% circulating soon after launch. Unlocking follows phased schedules and governance-approved plans, and official portals let holders check individual vesting and claim status, which adds some procedural transparency. However, detailed, consolidated tokenomics—full allocation breakdowns, precise vesting timelines for insiders, and on-chain supply dashboards—are not yet presented in a single, independently verifiable source. This combination of large insider holdings and partial disclosure creates meaningful supply concentration and dilution risk despite moderate transparency efforts.</t>
  </si>
  <si>
    <t>https://www.investopedia.com/trump-backed-crypto-token-wlfi-has-a-treasury-company-here-s-what-that-means-11790255; https://nypost.com/2025/09/02/business/trump-backed-wlfi-token-whipsaws-as-speculators-drive-billions-in-trades/; https://worldlibertyfinancial.com/unlock</t>
  </si>
  <si>
    <t>2025-08-20; 2025-09-02</t>
  </si>
  <si>
    <t>Public sources confirm a 100B total supply, large insider and corporate holdings, and governance-based unlocking, but comprehensive, independently audited tokenomics and real-time supply dashboards appear limited. This supports a mixed but decision-usable view of supply transparency and associated concentration/dilution risks.</t>
  </si>
  <si>
    <t>2025-09-01</t>
  </si>
  <si>
    <t>Available tokenomics breakdowns for WLFI indicate a 100B max supply with 35% token sale, 32.5% community growth &amp; incentives, 30% initial supporter allocation, and 2.5% reserved for team and advisors. As no more granular public split between team vs. advisors is disclosed, using the full 2.5% bucket as the team allocation is the most supportable estimate, though it may slightly overstate the pure team share.</t>
  </si>
  <si>
    <t>7.5</t>
  </si>
  <si>
    <t>2025-09-10; 2025-09-05</t>
  </si>
  <si>
    <t>Available tokenomics indicate that 7.5% of the 100B WLFI supply was allocated to presale investors, with 80% in a community lockup and 12.5% to team/advisors. This 7.5% presale bucket is the clearest disclosed allocation specifically for investors/VCs, while larger sale allocations mix retail and other participants. Because project disclosures vary across sources, confidence is medium.</t>
  </si>
  <si>
    <t>20</t>
  </si>
  <si>
    <t>https://www.okx.com/learn/world-liberty-financial-white-paper; https://tokenradar.ai/tokens/world-liberty-financial/tokenomics</t>
  </si>
  <si>
    <t>2025-11-20; 2025-10-09</t>
  </si>
  <si>
    <t>OKX’s hosted version of the World Liberty Financial whitepaper states that at TGE the 100B WLFI supply was allocated as: Public Sale 20%, Treasury 20%, Team &amp; Advisors 33.5%, Community Growth &amp; Incentives 10%, Alt5 Sigma 7.8%, Strategic Partners 5.9%, Liquidity 2.9%. This indicates a 20% allocation of max supply to the project treasury/foundation.</t>
  </si>
  <si>
    <t>https://www.reuters.com/business/trumps-world-liberty-crypto-tokens-become-tradable-2025-07-16/; https://governance.worldlibertyfinancial.com/t/early-supporter-unlocking-explained-simply/29395; https://tokenradar.ai/tokens/world-liberty-financial/tokenomics</t>
  </si>
  <si>
    <t>2025-07-16; 2025-07-01; 2025-10-09</t>
  </si>
  <si>
    <t>Some unlock parameters are public (e.g., early investors initially allowed to sell up to 20% of holdings and statements that remaining tokens will be subject to a later community‑decided schedule), but a complete, finalized unlock/vesting schedule for the remaining pre‑sale, team, treasury, and ecosystem allocations is not yet formally enacted or fully specified in official docs. Public discussion is ongoing via governance proposals, so disclosure is partial rather than comprehensive.</t>
  </si>
  <si>
    <t>https://www.reuters.com/business/trumps-world-liberty-financial-tokens-begin-trading-2025-09-01/; https://tokenradar.ai/tokens/world-liberty-financial/tokenomics; https://governance.worldlibertyfinancial.com/t/proposal-fair-vesting-for-presale-investors-of-30b-wlfi-tokens/36058</t>
  </si>
  <si>
    <t>2025-09-01; 2025-10-09; 2025-08-07</t>
  </si>
  <si>
    <t>Public information shows only that 20% of presale/early investor WLFI unlocked around the Sept. 1, 2025 TGE, with remaining presale, team, and large treasury/ecosystem allocations still locked and subject to future governance-defined vesting schedules. Multiple governance proposals discuss alternative vesting models, but none are confirmed as implemented with specific dated unlocks. Independent tokenomics trackers also note that major allocations have “vesting TBD.” Therefore the % of total supply unlocking in the next 6 months cannot be determined reliably.</t>
  </si>
  <si>
    <t>WLFI’s large pre-sale to accredited and institutional investors, with tokens initially non-transferable, concentrates supply and information advantages among insiders and politically connected backers. When trading later opens to the public, early investors may exit into thinner, more speculative markets, shifting downside risk to retail. Close ties to Donald Trump and major buyers like Justin Sun, plus complex treasury and governance structures, heighten conflict-of-interest and policy-risk asymmetries that ordinary holders cannot realistically hedge or monitor, creating foreseeable harm if valuations prove unsustainable or regulatory conditions change abruptly.</t>
  </si>
  <si>
    <t>https://www.coindesk.com/markets/2025/03/14/trump-backed-world-liberty-financial-wlfi-completes-token-sale; https://www.businesswire.com/news/home/20250317855322/en/Trump-Inspired-World-Liberty-Financial-Closes-%24550-Million-Across-Token-Sales; https://www.barrons.com/articles/alt5sigma-wlfi-trump-crypto-c8b636ea</t>
  </si>
  <si>
    <t>2025-03-14; 2025-03-17; 2025-11-25</t>
  </si>
  <si>
    <t>Assessment draws on documented WLFI pre-sale structure, accredited-only access, delayed tradability, and political/whale linkages, which materially skew risk between insiders and public. Sources directly describe the sale terms and major investors.</t>
  </si>
  <si>
    <t>https://bingx.com/en/learn/what-is-world-liberty-financial-wlfi-tokenomics-at-sep1-launch; https://blog.valr.com/blog/what-is-world-liberty-financial-wlfi; https://www.ainvest.com/news/world-liberty-financial-tokenomics-market-viability-deflationary-mechanisms-offset-political-risks-2509/</t>
  </si>
  <si>
    <t>Available materials describe WLFI as having a fixed total supply (commonly cited as 100B) with large governance‑controlled unlocks and burn programs, not a clear, pre‑programmed annual inflation/emission percentage. Emissions depend on future community votes and token unlock decisions, so no reliable fixed annual rate in % per year can be derived at this time.</t>
  </si>
  <si>
    <t>https://web3.bitget.com/en/academy/wlfi-token-unlock-schedule-key-dates-vesting-periods-and-price-impact; https://www.ccn.com/news/crypto/world-liberty-financial-wlfi-token-launch-key-dates-and-full-details/; https://governance.worldlibertyfinancial.com/t/proposal-16-year-vesting-model-streaming-with-bitcoin-s-halving-rhythm/49369</t>
  </si>
  <si>
    <t>2025-09-10; 2025-08-29; 2025-09-12</t>
  </si>
  <si>
    <t>Available information shows WLFI has both significant cliff-style unlocks and ongoing vesting. Early investors receive a 20% unlock at TGE, while the remaining allocations are subject to vesting schedules determined by governance and spread over time via linear, quarterly, or streaming mechanisms. This combination of initial cliffs plus longer-term gradual releases fits a Mixed pacing style.</t>
  </si>
  <si>
    <t>https://worldlibertyfinancial.com/wlfi/terms; https://worldlibertyfinancial.com/wlfi/risk-disclosures; https://www.ccn.com/news/crypto/world-liberty-financial-wlfi-token-launch-key-dates-and-full-details/</t>
  </si>
  <si>
    <t>2025-07-15; 2025-07-15; 2025-08-20</t>
  </si>
  <si>
    <t>Available documentation describes WLFI unlocks as a fixed 20% initial release to early purchasers, with the remaining 80% subject to community governance votes and company discretion over timing and eligibility. There is no indication that unlocks are conditioned on protocol usage, TVL, user numbers, or other measurable adoption milestones, so they are not tied to real adoption metrics.</t>
  </si>
  <si>
    <t>WLFI has a fixed max supply of 100 billion tokens, with roughly one quarter already circulating and another large block (around 22–25% of supply) held by the Trump family under lock-up. Public sales distributed about 25 billion WLFI, but early investors are initially limited to selling only a portion (e.g., up to 20%) of their allocations, with the rest subject to staged unlocks. These vesting and trading limits, together with a capped total supply and time-based unlocking schedules managed via the official unlock portal, help smooth the dilution path, although large concentrated insider holdings still represent a significant overhang risk as lock-ups expire.</t>
  </si>
  <si>
    <t>https://en.wikipedia.org/wiki/World_Liberty_Financial; https://coinmarketcap.com/currencies/world-liberty-financial-wlfi/; https://www.barrons.com/articles/trump-wlfi-crypto-trading-today-a430bc92</t>
  </si>
  <si>
    <t>2025-11-10; 2025-09-01</t>
  </si>
  <si>
    <t>Used circulating and max supply plus family and public-sale allocations to infer dilution path; relied on reported early-investor sale limits and unlock mechanics for mitigants. Exact vesting schedule details are not fully disclosed, so confidence is medium.</t>
  </si>
  <si>
    <t>Fee</t>
  </si>
  <si>
    <t>https://cryptonewsland.com/wlfi-governance-passes-proposal-to-allocate-100-of-treasury-liquidity-fees-to-token-buyback-and-burn/; https://cointelegraph.com/news/world-liberty-financial-proposes-token-buyback-and-burn-program-using-fees; https://news.bitcoinprotocol.org/world-liberty-financial-wlfi-token-hits-4-8-billion-but-questions-linger-on-its-value/</t>
  </si>
  <si>
    <t>2025-09-26; 2025-09-02; 2025-10-01</t>
  </si>
  <si>
    <t>WLFI is primarily a governance token, and recent tokenomics changes route 100% of protocol-owned liquidity fees (a 0.125% fee on trading volume) into buyback-and-burn of WLFI, linking token value to platform fee revenues rather than to fixed inflationary emissions. While holders lack direct revenue-sharing or staking yield, the main economic mechanism now relies on protocol fee flows to support token scarcity, so the dominant yield/value driver is fee-based.</t>
  </si>
  <si>
    <t>https://governance.worldlibertyfinancial.com/t/wlfi-staking-program-proposal/34605; https://governance.worldlibertyfinancial.com/t/governance-proposal-enable-wlfi-token-staking-for-enhanced-governance-and-ecosystem-incentives/33917</t>
  </si>
  <si>
    <t>2025-07-18; 2025-07-15</t>
  </si>
  <si>
    <t>World Liberty Financial’s own staking program proposal markets tiered APRs, with the most prominent example being 12‑month WLFI staking at 40% per year. That 40% figure is the highest and most attention‑grabbing rate in project materials, and is therefore the most representative “headline” APR, even though other documents reference more conservative 5–12% ranges and all yields are subject to change and performance risk.</t>
  </si>
  <si>
    <t>https://bingx.com/en/learn/article/what-is-world-liberty-financial-wlfi-tokenomics-at-sep1-launch; https://blog.valr.com/blog/what-is-world-liberty-financial-wlfi; https://governance.worldlibertyfinancial.com/t/governance-proposal-unlocking-real-value-a-staking-utility-model-for-wlfi/42972</t>
  </si>
  <si>
    <t>2025-09-05; 2025-09-05; 2025-09-03</t>
  </si>
  <si>
    <t>WLFI is now a freely tradable governance token whose unlock schedule, community-controlled future vesting, and high-profile branding have led to significant price volatility since launch, indicating active speculation rather than discouraging it. The ecosystem is adding staking and buyback‑and‑burn mechanisms specifically to drive token value through scarcity, which tends to incentivize speculative holding and trading rather than limit it.</t>
  </si>
  <si>
    <t>WLFI’s incentive model hinges on large governance-token pre-sales, potential capital gains, and future utility in a DeFi lending, borrowing, and USD1-stablecoin ecosystem. While substantial institutional funding and a macro reserve may support ecosystem development, WLFI does not appear to provide explicit, sustainable yield mechanisms tied to verifiable protocol revenues. Instead, value accrual seems heavily dependent on continued token demand, trading activity, and speculative appreciation. This raises concerns about long‑term sustainability, concentration of economic power among early and affiliated holders, and suitability for conservative or non‑sophisticated investors who may underestimate political, regulatory, and market‑structure risks.</t>
  </si>
  <si>
    <t>https://www.businesswire.com/news/home/20250317855322/en/Trump-Inspired-World-Liberty-Financial-Closes-%24550-Million-Across-Token-Sales; https://www.coindesk.com/markets/2025/03/14/trump-backed-world-liberty-financial-wlfi-completes-token-sale; https://worldlibertyfinancial.com</t>
  </si>
  <si>
    <t>2025-03-17; 2025-03-14</t>
  </si>
  <si>
    <t>Public sources describe WLFI as a governance token sold in large pre-sales, with future utility tied to protocol governance and a DeFi/ stablecoin ecosystem rather than clearly defined revenue-backed yields. Information on concrete, sustainable incentive flows is limited. This supports a cautious, medium-confidence assessment focused on speculative demand and concentration risks, especially for less sophisticated investors.</t>
  </si>
  <si>
    <t>A. Asset Anonymity &amp; Traceability</t>
  </si>
  <si>
    <t>What best describes the asset’s on-chain anonymity profile? Choose: Transparent, Optional privacy, Native privacy coin, Unknown.</t>
  </si>
  <si>
    <t>Transparent</t>
  </si>
  <si>
    <t>https://en.wikipedia.org/wiki/World_Liberty_Financial; https://www.bestchange.com/blog/wlfi-platform; https://meme-insider.com/en/article/wlfi-world-liberty-financial-token-on-ethereum-address-tokenomics-listings-and-risks/</t>
  </si>
  <si>
    <t>2025-11-10; 2025-09-15; 2025-11-01</t>
  </si>
  <si>
    <t>Escalate if the asset functions as a native privacy coin (default-anonymous design).</t>
  </si>
  <si>
    <t>WLFI functions as a standard governance token deployed on public blockchains (Ethereum ERC‑20, BNB Smart Chain BEP‑20, Solana SPL). These networks expose balances, transfers, and holders by default, and there is no indication of built‑in privacy tech (e.g., zero‑knowledge transfers or shielded pools). Thus its on‑chain activity is transparently traceable using conventional blockchain analytics.</t>
  </si>
  <si>
    <t>Does the core protocol implement built-in mixing or obfuscation features (e.g., shielded pools, stealth addresses, native mixers)? Choose: None, Limited, Structural, Unknown.</t>
  </si>
  <si>
    <t>None</t>
  </si>
  <si>
    <t>https://coinmarketcap.com/currencies/world-liberty-financial-wlfi/; https://worldlibertyfinancial.com/; https://en.wikipedia.org/wiki/World_Liberty_Financial</t>
  </si>
  <si>
    <t>2025-11-25; 2025-11-25; 2025-11-10</t>
  </si>
  <si>
    <t>Escalate if mixing/obfuscation is a structural feature of the protocol (default or core design).</t>
  </si>
  <si>
    <t>Public materials describe WLFI as a governance token for a DeFi platform with lending/borrowing and a USD1 stablecoin, but do not mention shielded pools, stealth addresses, mixers, or other on-chain obfuscation primitives. It is deployed as a standard ERC-20-style asset on Ethereum and other public chains, inheriting their transparent transaction model. No evidence of protocol-level privacy or mixing features was found.</t>
  </si>
  <si>
    <t>How well can major blockchain analytics providers trace typical transactions for this asset? Choose: Full coverage, Partial coverage, Low coverage, Unknown.</t>
  </si>
  <si>
    <t>Full coverage</t>
  </si>
  <si>
    <t>https://etherscan.io/token/0xda5e1988097297dcdc1f90d4dfe7909e847cbef6; https://coinmarketcap.com/currencies/world-liberty-financial-wlfi/</t>
  </si>
  <si>
    <t>WLFI is a standard ERC-20 token on Ethereum with verified contract source on Etherscan and tens of thousands of holders, and is a top-25 asset on CoinMarketCap with multi-exchange trading and high daily volume. Such large, mainstream ERC-20s on Ethereum are routinely integrated by major blockchain analytics vendors (e.g., Chainalysis, TRM, Elliptic), so typical WLFI transactions should be fully traceable, although each vendor’s exact coverage set is proprietary.</t>
  </si>
  <si>
    <t>≤120-word narrative summary for A.1 (asset anonymity &amp; traceability design).</t>
  </si>
  <si>
    <t>WLFI is an ERC‑20–style token on Ethereum, so transfers are traceable on public block explorers and do not use built‑in privacy features such as confidential transactions, mixers, or zero‑knowledge shielding. All movements, balances, and contract interactions are visible at the address level, subject to standard pseudonymity limitations of Ethereum (linking addresses to real‑world identities generally requires off‑chain/KYC data or analytics). The project’s available materials do not indicate any custom obfuscation, mixing, stealth address, or privacy‑enhancing design. Overall, WLFI appears to inherit Ethereum’s baseline pseudonymous but highly traceable transparency model for AML monitoring.</t>
  </si>
  <si>
    <t>https://etherscan.io/token/0xda5e1988097297dcdc1f90d4dfe7909e847cbef6; https://ethereum.org/en/developers/docs/accounts</t>
  </si>
  <si>
    <t>On-chain data show WLFI as a standard Ethereum token without privacy extensions. No evidence of mixers, ZK shielding, or stealth mechanisms, so it inherits Ethereum’s transparent yet pseudonymous traceability profile. Medium confidence due to limited independent research coverage.</t>
  </si>
  <si>
    <t>Where does most economic activity in the token occur? Choose: On-chain dominant, Mixed, Off-chain/opaque dominant, Unknown.</t>
  </si>
  <si>
    <t>Off-chain/opaque dominant</t>
  </si>
  <si>
    <t>https://nypost.com/2025/09/02/business/trump-backed-wlfi-token-whipsaws-as-speculators-drive-billions-in-trades/; https://www.barrons.com/articles/trump-wlfi-crypto-trading-today-a430bc92; https://www.ccn.com/news/crypto/world-liberty-financial-wlfi-token-launch-key-dates-and-full-details/</t>
  </si>
  <si>
    <t>2025-09-02; 2025-09-01; 2025-08-25</t>
  </si>
  <si>
    <t>No board trigger; used to calibrate opacity of economic footprint.</t>
  </si>
  <si>
    <t>WLFI’s primary economic activity currently appears to be speculative trading on large centralized exchanges like Binance, OKX, and Bybit, with reports of billions in traded volume and a multibillion‑dollar market cap. This CEX-centric, orderbook-based activity is largely off-chain/opaque, while on-chain governance and DeFi usage are secondary at this stage.</t>
  </si>
  <si>
    <t>How frequently is the asset wrapped or bridged into privacy-focused layers or sidechains? Choose: Rare, Occasional, Frequent/structural, Unknown.</t>
  </si>
  <si>
    <t>Rare</t>
  </si>
  <si>
    <t>https://worldlibertyfinancial.com; https://www.coindesk.com/price/wlfi/platforms</t>
  </si>
  <si>
    <t>2025-11-19; 2025-09-29</t>
  </si>
  <si>
    <t>No direct board trigger; incorporated into anonymity score.</t>
  </si>
  <si>
    <t>WLFI is issued on mainstream public chains (Ethereum, BNB Smart Chain, Solana) and the official tooling promotes bridging between these visible networks, not to privacy-focused layers or shielded sidechains. No evidence was found of WLFI being structurally integrated with privacy L2s (e.g., Aztec, Secret, Railgun) or commonly wrapped into such environments, suggesting that any use of privacy layers is at most ad hoc rather than frequent or structural.</t>
  </si>
  <si>
    <t>Is the asset materially present in anonymising mixer or privacy-pool transaction flows (per major on-chain analytics reports)? Choose: No material usage, Some usage, Heavy/structural usage, Unknown.</t>
  </si>
  <si>
    <t>No material usage</t>
  </si>
  <si>
    <t>https://www.reuters.com/business/finance/how-trump-family-took-over-world-liberty-financial-it-raised-hundreds-millions-2025-03-31/; https://www.coindesk.com/markets/2025/03/14/trump-backed-world-liberty-financial-wlfi-completes-token-sale; https://en.wikipedia.org/wiki/World_Liberty_Financial</t>
  </si>
  <si>
    <t>2025-03-31; 2025-03-14; 2025-09-01</t>
  </si>
  <si>
    <t>Escalate if token appears as a heavy or structural component of mixer/privacy pool flows.</t>
  </si>
  <si>
    <t>Public reporting on WLFI focuses on its large token sale, governance, trading, and political/centralization concerns, with no indication from major media or industry coverage that it features materially in mixer or privacy-pool flows. Given WLFI’s high profile, such patterns would likely attract explicit commentary if present. Absence of such evidence suggests no material mixer-linked usage identified to date, though dedicated chain-analytics vendor data is not publicly visible.</t>
  </si>
  <si>
    <t>≤120-word narrative summary for A.2 (transaction footprint &amp; opacity).</t>
  </si>
  <si>
    <t>WLFI is a high-profile governance token and DeFi asset with a large, rapidly developed footprint across Ethereum (and other chains via bridging), significant secondary-market trading volumes, and a multi‑billion‑dollar market cap. On-chain activity is likely dominated by speculative trading, presale unlocks, and bridging rather than clear end‑user payments, with substantial holder and liquidity concentration. Although the issuer claims KYC on tens of thousands of token sale participants, once WLFI is freely tradable, subsequent transfers occur pseudonymously with no inherent KYC/AML controls. No native privacy or mixer-style features are advertised, but standard DeFi composability and cross‑chain flows increase traceability complexity and can obscure ultimate beneficial ownership.</t>
  </si>
  <si>
    <t>https://www.businesswire.com/news/home/20250317855322/en/Trump-Inspired-World-Liberty-Financial-Closes-%24550-Million-Across-Token-Sales; https://coinmarketcap.com/currencies/world-liberty-financial-wlfi/; https://worldlibertyfinancial.com/</t>
  </si>
  <si>
    <t>2025-03-17</t>
  </si>
  <si>
    <t>Summary reflects large, fast-growing WLFI footprint (presales, KYC claims, market cap, trading launch) and standard public-chain pseudonymity without embedded privacy tech; some details are inferred from typical DeFi patterns rather than granular flow analysis.</t>
  </si>
  <si>
    <t>B. Sanctions Exposure &amp; High-Risk Geography</t>
  </si>
  <si>
    <t>Have any smart contracts, official wallets, or entities directly associated with the token been named on OFAC, UN, EU, or UK sanctions lists? Choose: No, Indirect association only, Direct listing / designation, Unknown.</t>
  </si>
  <si>
    <t>https://en.wikipedia.org/wiki/World_Liberty_Financial; https://accountable.us/trump-crypto-venture-wlfl-sold-tokens-to-entities-tied-to-north-korea-iran-a-notorious-money-laundering-platform/; https://worldlibertyfinancial.com/wlfi/terms</t>
  </si>
  <si>
    <t>2025-11-10; 2025-09-10; 2025-08-25</t>
  </si>
  <si>
    <t>Escalate if any token-linked entity, wallet, or contract is directly listed on OFAC, UN, EU, or UK sanctions lists.</t>
  </si>
  <si>
    <t>Open-source reporting and project documentation describe WLFI/World Liberty Financial as controversial and under political scrutiny, including allegations of sales to buyers linked to sanctioned actors, but there is no indication that WLFI smart contracts, official wallets, or World Liberty Financial itself have been placed on OFAC, UN, EU, or UK sanctions lists. Project terms explicitly reference screening out sanctioned persons, suggesting they are not themselves designated targets.</t>
  </si>
  <si>
    <t>Have regulators or enforcement agencies taken public action referencing this token or project in relation to sanctions breaches or evasion? Choose: None disclosed, Under investigation / warning, Fined / enforcement for sanctions issues, Unknown.</t>
  </si>
  <si>
    <t>None disclosed</t>
  </si>
  <si>
    <t>https://accountable.us/trump-crypto-venture-wlfl-sold-tokens-to-entities-tied-to-north-korea-iran-a-notorious-money-laundering-platform/; https://www.ainvest.com/news/world-liberty-financial-risks-opportunities-politically-linked-crypto-projects-2511/; https://www.theblock.co/post/379561/trump-backed-world-liberty-financial-reallocates-funds-following-third-party-security-lapses</t>
  </si>
  <si>
    <t>2025-09-01; 2025-11-20; 2025-11-19</t>
  </si>
  <si>
    <t>Escalate if the project has been fined or subject to formal enforcement for sanctions-related breaches.</t>
  </si>
  <si>
    <t>Open-source reporting indicates serious allegations that WLFI token sales reached wallets linked to sanctioned actors (e.g., Lazarus Group, Iran-related exchange NoBitex, Russian ruble A7A5 token), and U.S. Senators Warren and Reed have publicly urged DOJ and Treasury/OFAC to investigate. However, as of 2025-11-25 there is no public record of DOJ, Treasury, OFAC, or other regulators formally announcing investigations, warnings, or sanctions-enforcement actions naming World Liberty Financial or WLFI itself.</t>
  </si>
  <si>
    <t>To what extent do on-chain analytics or public reports show this asset involved in sanctions-evasion typologies (e.g., DPRK, Russia-related evasion)? Choose: No material link, Some flagged flows, Heavy / structural involvement, Unknown.</t>
  </si>
  <si>
    <t>No material link</t>
  </si>
  <si>
    <t>https://worldlibertyfinancial.com/wlfi/terms; https://www.reuters.com/technology/trumps-world-liberty-financial-crypto-venture-says-it-will-launch-stablecoin-2025-03-25/; https://apnews.com/article/b38d40abff48b48902f8249eb4ef626b</t>
  </si>
  <si>
    <t>2025-08-25; 2025-03-25; 2025-05-08</t>
  </si>
  <si>
    <t>Escalate if the token appears as a heavy or structural component of sanctions-evasion flows in credible analytics reports.</t>
  </si>
  <si>
    <t>Open-source reporting and public documentation on WLFI and its USD1 stablecoin, including major press coverage and protocol terms, focus on governance, conflicts of interest, investor protection, and regulatory scrutiny—not on DPRK, Russia, Iran, or other sanctions‑evasion typologies. WLFI’s own terms explicitly restrict use and sales to certain sanctioned or high‑risk jurisdictions. No major analytics providers or news outlets currently flag structural sanctions‑evasion use of WLFI or USD1.</t>
  </si>
  <si>
    <t>≤120-word narrative summary for B.1 (direct sanctions linkage and enforcement).</t>
  </si>
  <si>
    <t>No direct sanctions listings or enforcement actions currently target WLFI or its issuer, and the project’s terms explicitly prohibit token sales or transfers to users in multiple sanctioned or high‑risk jurisdictions (e.g., Iran, Cuba, North Korea, Syria) and allow cancellation of such transactions. However, sanctions and AML risk is elevated indirectly: WLFI and its USD1 stablecoin are closely linked to Binance, whose founder and the exchange pleaded guilty to extensive Bank Secrecy Act and U.S. sanctions violations, and which enabled hundreds of millions of dollars in sanctions‑breaching transactions. No clear evidence yet indicates regulatory or law‑enforcement action focused specifically on WLFI.</t>
  </si>
  <si>
    <t>https://worldlibertyfinancial.com/wlfi/terms; https://www.justice.gov/usao-wdwa/pr/binance-and-ceo-plead-guilty-federal-charges-4b-resolution; https://apnews.com/article/cf81925ff9b4b65e27f80f906a6a63ae</t>
  </si>
  <si>
    <t>2025-11-21; 2023-11-21; 2024-04-30</t>
  </si>
  <si>
    <t>Informational narrative only; no separate board trigger.</t>
  </si>
  <si>
    <t>No evidence WLFI or its issuer is on OFAC/UN lists or directly subject to sanctions enforcement, but the issuer’s own T&amp;Cs show sanctions‑driven geographic blocks, and the ecosystem is intertwined with Binance, which admitted large‑scale sanctions and AML violations. This supports a narrative of indirect but material sanctions exposure without current direct action.</t>
  </si>
  <si>
    <t>What best describes the estimated share of total trading volume originating from high-risk or sanctioned jurisdictions (as per FATF and major sanctions regimes)? Choose: Low (&lt;5%), Moderate (5–20%), High (&gt;20%), Unknown.</t>
  </si>
  <si>
    <t>https://coinmarketcap.com/currencies/world-liberty-financial-wlfi/; https://www.theguardian.com/technology/2025/sep/02/trump-world-liberty-financial-cryptocurrency; https://nypost.com/2025/09/02/business/trump-backed-wlfi-token-whipsaws-as-speculators-drive-billions-in-trades/</t>
  </si>
  <si>
    <t>2025-11-25; 2025-09-02; 2025-09-02</t>
  </si>
  <si>
    <t>Escalate if a high (&gt;20%) share of volume originates from high-risk or sanctioned jurisdictions.</t>
  </si>
  <si>
    <t>There is substantial trading activity in WLFI and listings on major global exchanges (e.g., Binance, OKX, Bybit), which are accessible from both low- and high‑risk jurisdictions. However, no reliable public data breaks down WLFI trading volumes by user geography or distinguishes flows from FATF high‑risk or sanctioned countries. Without exchange or analytics disclosures on jurisdictional mix, the share of volume from high‑risk or sanctioned jurisdictions must be treated as Unknown.</t>
  </si>
  <si>
    <t>Are core team members, foundation entities, or key validators/miners significantly located in sanctioned or FATF high-risk jurisdictions? Choose: No material presence, Some presence, Primary base / heavy presence, Unknown.</t>
  </si>
  <si>
    <t>No material presence</t>
  </si>
  <si>
    <t>https://worldlibertyfinancial.com/about; https://www.cbinsights.com/company/world-liberty-financial; https://www.reuters.com/business/finance/uae-fund-buys-100-million-trumps-world-liberty-tokens-2025-06-27/</t>
  </si>
  <si>
    <t>2025-11-18; 2025-11-15; 2025-06-27</t>
  </si>
  <si>
    <t>Escalate if the project’s primary base or validator set is heavily concentrated in sanctioned or FATF high-risk jurisdictions.</t>
  </si>
  <si>
    <t>Available information indicates World Liberty Financial is a U.S.-centric project: its listed co-founders and executives are primarily U.S.-based (Trump family, U.S. real-estate executives) and the corporate headquarters is in Wilmington, Delaware. There is notable investment from a UAE-based fund, but that is an external investor, not a core team or foundation relocation to a sanctioned or FATF high‑risk jurisdiction. No evidence shows material core operations based in such jurisdictions.</t>
  </si>
  <si>
    <t>Is there structural dependence on exchanges, OTC desks, or cross-chain bridges with known sanctions deficiencies or high-risk profiles? Choose: Limited / none, Moderate exposure, High / structural exposure, Unknown.</t>
  </si>
  <si>
    <t>High / structural exposure</t>
  </si>
  <si>
    <t>https://de.wikipedia.org/wiki/World_Liberty_Financial; https://www.prnewswire.com/news-releases/record-breaking-world-liberty-financial-usd1-stablecoin-unlocks-cross-chain-capabilities-with-chainlink-302458003.html</t>
  </si>
  <si>
    <t>2025-08-15; 2025-05-16</t>
  </si>
  <si>
    <t>No direct board trigger; this informs the overall sanctions and geography risk profile.</t>
  </si>
  <si>
    <t>Evidence indicates structural reliance on high‑risk venues and cross‑chain infrastructure. Reuters-linked reporting and major press summaries note that USD1’s growth is tied to a $2B Binance-based arrangement, concentrating stablecoin reserves and liquidity on an exchange whose founder pled guilty in the U.S. to money‑laundering violations—implicating sanctions/AML control weaknesses. WLFI/USD1 are also designed for multi‑chain mobility via Chainlink CCIP, embedding ongoing dependence on external bridge infrastructure for value transfer.</t>
  </si>
  <si>
    <t>B2-N</t>
  </si>
  <si>
    <t>≤120-word narrative summary for B.2 (high-risk jurisdictions and sanctions-sensitive footprint).</t>
  </si>
  <si>
    <t>WLFI exhibits a sanctions‑sensitive footprint driven more by counterparties and political exposure than clear geographic concentration. The project is U.S.-centric but marketed globally, with large concurrent U.S. and non‑U.S. token offerings and a multi‑chain DeFi and stablecoin platform (USD1) intended for cross‑border use, increasing exposure to higher‑risk jurisdictions via users and intermediaries. WLFI is closely associated with Donald Trump, a very high‑profile PEP, heightening sanctions and corruption‑risk sensitivity. In addition, key treasury partner ALT5 Sigma has a subsidiary convicted in Rwanda for money laundering, indicating elevated indirect exposure to high‑risk activity, even if WLFI itself is not sanctioned.</t>
  </si>
  <si>
    <t>https://en.wikipedia.org/wiki/World_Liberty_Financial; https://www.businesswire.com/news/home/20250317855322/en/Trump-Inspired-World-Liberty-Financial-Closes-%24550-Million-Across-Token-Sales; https://www.fastbull.com/news-detail/a-blockchain-company-invested-in-a-trump-familybacked-news_6100_0_2025_4_13125_3</t>
  </si>
  <si>
    <t>2025-11-10; 2025-03-17; 2025-11-25</t>
  </si>
  <si>
    <t>Summary draws on public descriptions of WLFI’s global token sales and multi‑chain DeFi / USD stablecoin model, its Trump‑linked governance and PEP exposure, and the money‑laundering conviction of partner ALT5 Sigma’s subsidiary in Rwanda. No evidence WLFI itself is sanctioned, but cross‑border reach, PEP nexus, and association with an entity facing ML conviction warrant an elevated but nuanced sanctions‑sensitivity assessment.</t>
  </si>
  <si>
    <t>C. Illicit Activity Typologies &amp; Law Enforcement References</t>
  </si>
  <si>
    <t>How is the asset characterised in major blockchain crime/intelligence reports (e.g., Chainalysis, TRM, Elliptic)? Choose: Not mentioned, Minor / incidental mentions, Frequently highlighted as an illicit-usage asset, Unknown.</t>
  </si>
  <si>
    <t>Not mentioned</t>
  </si>
  <si>
    <t>https://www.reuters.com/business/finance/uae-fund-buys-100-million-trumps-world-liberty-tokens-2025-06-27/; https://www.ft.com/content/2ea2b35b-e009-42ed-b4d3-6b21aa9b2a13; https://www.ccn.com/news/crypto/world-liberty-financial-wlfi-token-launch-key-dates-and-full-details/</t>
  </si>
  <si>
    <t>2025-06-27; 2025-10-15; 2025-11-15</t>
  </si>
  <si>
    <t>Escalate if major crime/intelligence reports frequently highlight the asset as associated with illicit usage.</t>
  </si>
  <si>
    <t>Searches of major blockchain analytics and crime-intel providers (e.g., Chainalysis, TRM, Elliptic) show no specific coverage of WLFI in typologies, high‑risk asset lists, or sanctions‑evasion case studies as of Nov 25, 2025. Media and research coverage focuses on fundraising, governance, political ties, and investor conflicts, not treatment as a key illicit-usage asset. Given WLFI’s recency and prominence, this is likely to change if material abuse emerges, but currently it appears not mentioned in those reports.</t>
  </si>
  <si>
    <t>To what extent is the asset associated with fraud, scams, or rug-pull typologies in public reports or case studies? Choose: Limited / unexceptional, Some notable schemes, Frequently used in fraud / rug-pull typologies, Unknown.</t>
  </si>
  <si>
    <t>Some notable schemes</t>
  </si>
  <si>
    <t>https://coincentral.com/world-liberty-financial-wlfi-price-prediction-token-crashes-40-after-272-wallets-blacklisted/; https://www.reddit.com/r/u_Meta-Face/comments/1n115pf; https://governance.worldlibertyfinancial.com/t/is-the-wlfi-token-a-scam/41049</t>
  </si>
  <si>
    <t>2025-09-05; 2025-08-26; 2025-09-01</t>
  </si>
  <si>
    <t>Escalate where the asset is frequently used in fraud or rug-pull typologies, indicating elevated consumer and AML risk.</t>
  </si>
  <si>
    <t>Public sources show repeated controversy and red flags around WLFI rather than a clean, unexceptional profile. A CoinCentral piece documents 272 WLFI wallets being blacklisted after alleged phishing-related abuses, raising governance and fairness concerns. Independent reviewers (e.g., MEFAI) flag serious transparency and contract-control risks, and WLFI’s own forum hosts investor accusations that the token is a scam or unfair to small holders. However, it is not yet widely cited as a canonical rug-pull token across the broader market.</t>
  </si>
  <si>
    <t>Is the asset significantly associated with ransomware, darknet markets, or terrorist-financing typologies in public data or intelligence reports? Choose: No specific association, Some reported use, Significant / recurring association, Unknown.</t>
  </si>
  <si>
    <t>No specific association</t>
  </si>
  <si>
    <t>https://www.abc.net.au/news/2024-12-13/trump-crypto-venture-partners-platform-linked-to-middle-east/104721566; https://www.yahoo.com/news/trump-crypto-venture-partners-platform-110706659.html; https://en.wikipedia.org/wiki/World_Liberty_Financial</t>
  </si>
  <si>
    <t>2024-12-13; 2024-12-13; 2025-11-10</t>
  </si>
  <si>
    <t>Escalate if there is a significant or recurring association with ransomware, darknet markets, or terrorist-financing typologies.</t>
  </si>
  <si>
    <t>Open‑source reporting highlights ethics and conflict‑of‑interest concerns around World Liberty Financial, including large foreign investors and a strategic partnership and investment from Tron, a network itself repeatedly cited by Israeli authorities and Reuters as heavily used by militant/terrorist groups. However, these sources do not report WLFI tokens being directly used in ransomware, darknet markets, or terrorist‑financing flows. Current public data therefore supports no specific direct association, though indirect exposure risks exist via partners.</t>
  </si>
  <si>
    <t>≤120-word narrative summary for C.1 (overall illicit activity typologies, including fraud, ransomware, darknet and TF).</t>
  </si>
  <si>
    <t>Current open-source reporting links WLFI primarily to fraud-type risks rather than to confirmed ransomware, darknet or terrorist-financing use. Documented issues include fake WLFI websites and tokens, impersonation of official channels, and phishing-style wallet-drain incidents targeting users interacting with purported WLFI services or airdrops. The team and third-party observers have issued repeated scam and security warnings to the community. There are also broader corruption and foreign‑influence concerns around the Trump-linked ecosystem and certain major backers with prior AML enforcement histories, which may elevate overall financial-crime risk. However, as of the latest available data, there is no clear evidence of systematic WLFI use in ransomware, darknet markets, or designated terrorist support.</t>
  </si>
  <si>
    <t>https://governance.worldlibertyfinancial.com/t/warning-there-are-some-fake-wlfi-websites-to-scam/32827; https://www.reddit.com/r/u_ksalab/comments/1n6kezs; https://www.theguardian.com/us-news/2025/may/25/trump-crypto-corruption-ethics</t>
  </si>
  <si>
    <t>2025-07-09; 2025-09-02; 2025-05-25</t>
  </si>
  <si>
    <t>Informational narrative only; no independent board trigger.</t>
  </si>
  <si>
    <t>Summary reflects multiple open-source reports of scams, phishing and impersonation around WLFI, plus ethics/AML concerns tied to project backers, but no clear evidence yet of ransomware/darknet/TF use. Evidence set is evolving; hence Medium confidence.</t>
  </si>
  <si>
    <t>C2.1</t>
  </si>
  <si>
    <t>To what extent have law-enforcement agencies explicitly named this asset in public criminal cases, advisories, or typology guidance (beyond generic “cryptocurrency” references)? Choose: Not explicitly named, Named in isolated / incidental cases, Repeatedly named as relevant to typologies or cases, Unknown.</t>
  </si>
  <si>
    <t>Not explicitly named</t>
  </si>
  <si>
    <t>https://proinvestnews.com/2025/11/18/senators-seek-probe-of-trump-crypto-venture-over-alleged-token-sales-linked-to-north-korea-and-russia/; https://www.rootdata.com/news/429529; https://coincentral.com/wlfi-under-scrutiny-senators-push-for-probe-into-trump-linked-firm/</t>
  </si>
  <si>
    <t>2025-11-18; 2025-11-18; 2025-11-18</t>
  </si>
  <si>
    <t>Escalate if law-enforcement repeatedly names the asset in criminal cases or typology guidance.</t>
  </si>
  <si>
    <t>Available records show WLFI has attracted political and media scrutiny, including letters from U.S. Senators Warren and Reed requesting DOJ and Treasury investigations into alleged token sales to wallets linked to sanctioned actors. However, as of 2025-11-25 there is no evidence that DOJ, Treasury/OFAC, or other law‑enforcement agencies have themselves named WLFI/WLFI tokens in public criminal charging documents, enforcement actions, advisories, or typology reports. The current status is investigatory pressure, not explicit LE naming.</t>
  </si>
  <si>
    <t>C2.2</t>
  </si>
  <si>
    <t>What best describes public law-enforcement seizures or forfeitures of this asset? Choose: No significant seizures, Some notable seizures, Large / high-profile multi-case seizures, Unknown.</t>
  </si>
  <si>
    <t>No significant seizures</t>
  </si>
  <si>
    <t>https://en.wikipedia.org/wiki/World_Liberty_Financial; https://info.arkm.com/research/world-liberty-financial-wlfi-trump-tokenomics-stablecoin-products; https://crypto.news/world-liberty-financial-wlfi-wallet-breach-2025/</t>
  </si>
  <si>
    <t>2025-09-15; 2025-09-20; 2025-11-19</t>
  </si>
  <si>
    <t>No direct board trigger; seizures are a contextual indicator of usage and enforcement, not automatically a structural red flag.</t>
  </si>
  <si>
    <t>Open-source checks of major news outlets, blockchain-analytics research and protocol-focused coverage for WLFI and the USD1 stablecoin show controversies (blacklisting Justin Sun’s wallets, phishing-related reallocation of tokens) but no reports that law-enforcement agencies (e.g., DOJ, SEC, OFAC, Europol) have seized or forfeited WLFI or USD1 at scale. Given the token’s recency and high media scrutiny, such actions would likely be reported if they had occurred.</t>
  </si>
  <si>
    <t>C2.3</t>
  </si>
  <si>
    <t>Have counter-terrorism or sanctions authorities (e.g., OFAC, UN, EU, national CT agencies) specifically referenced the asset in relation to terrorist financing? Choose: No TF-specific reference, Some TF-related references, Significant TF-related designation / repeated references, Unknown.</t>
  </si>
  <si>
    <t>No TF-specific reference</t>
  </si>
  <si>
    <t>https://en.wikipedia.org/wiki/World_Liberty_Financial; https://www.reuters.com/technology/trump-crypto-venture-partners-with-platform-linked-middle-east-militants-2024-12-12/; https://www.ainvest.com/news/world-liberty-financial-risks-opportunities-politically-linked-crypto-projects-2511/</t>
  </si>
  <si>
    <t>2025-11-10; 2024-12-12</t>
  </si>
  <si>
    <t>Escalate if counter-terrorism or sanctions authorities significantly link or designate the asset in relation to terrorist financing.</t>
  </si>
  <si>
    <t>Searches of OFAC/UN sanctions materials and major news coverage show no instance where WLFI or World Liberty Financial is named by counter‑terrorism or sanctions authorities as being used for terrorist financing or placed under a TF‑related designation. Media focus is on ethics, conflicts of interest, and sanctions‑evasion/screening concerns, not on formal TF allegations or listings against the asset itself.</t>
  </si>
  <si>
    <t>C2-N</t>
  </si>
  <si>
    <t>≤120-word narrative summary for C.2 (law-enforcement references, seizures, and any terrorist-financing designations).</t>
  </si>
  <si>
    <t>As of 25 November 2025, there are no public records of law-enforcement seizures, asset freezes, or terrorist‑financing designations specifically targeting WLFI, USD1, or World Liberty Financial. Open‑source reporting instead focuses on conflicts of interest and relationships with individuals and entities previously subject to fraud and AML actions, such as Justin Sun (SEC civil fraud case) and Binance founder Changpeng Zhao (U.S. AML compliance conviction and later pardon), as well as large USD1 flows linked to Abu Dhabi entities and Binance. These raise heightened political‑corruption and AML‑sensitivity concerns but do not constitute formal sanctions or terror‑financing actions against the token itself.</t>
  </si>
  <si>
    <t>https://en.wikipedia.org/wiki/World_Liberty_Financial; https://www.reuters.com/world/middle-east/trumps-stablecoin-chosen-2-billion-abu-dhabi-investment-binance-2025-05-01/; https://www.reuters.com/technology/us-sec-tron-founder-justin-sun-explore-resolution-civil-fraud-case-2025-02-14/</t>
  </si>
  <si>
    <t>2025-09-15; 2025-05-01; 2025-02-14</t>
  </si>
  <si>
    <t>Open sources detail ethical and AML-related controversies involving WLFI counterparties (Justin Sun, Binance/CZ, Abu Dhabi-linked entities) and large USD1 flows, but I find no evidence of actual seizures, sanctions listings, or TF designations against WLFI/USD1 as of 2025-11-25. This drives a Medium confidence qualitative statement, with residual risk that non-public or very recent actions may not yet be widely reported.</t>
  </si>
  <si>
    <t>D. Protocol Controls for AML/CTF Mitigation</t>
  </si>
  <si>
    <t>D1.1</t>
  </si>
  <si>
    <t>Does the project or its primary ecosystem integrate on-chain compliance tooling (e.g., KYT screening, analytics provider integration, real-time risk scoring)? Choose: No integration, Some integrations via partners, Integrated as a core feature, Unknown.</t>
  </si>
  <si>
    <t>https://www.prnewswire.com/news-releases/donald-j-trump-inspired-world-liberty-financial-adopts-the-chainlink-standard-to-accelerate-the-mass-adoption-of-defi-302305219.html; https://www.blockhead.co/2025/10/03/mantle-secures-trump-backed-world-liberty-financial-stablecoin-as-it-launches-tokenization-service/; https://www.vaulta.com/resources/world-liberty-financial-vaulta-partnership-web3-banking</t>
  </si>
  <si>
    <t>2024-11-14; 2025-10-03; 2025-07-23</t>
  </si>
  <si>
    <t>Informational control assessment; lack of KYT integration does not auto-trigger escalation.</t>
  </si>
  <si>
    <t>Public materials focus on WLFI’s integrations with Chainlink (data/oracle and cross-chain), Mantle’s compliance-focused tokenization platform for USD1 deployment, and Vaulta’s Web3 banking partnership emphasizing institutional-grade compliance. However, none of these sources clearly describe WLFI or its core DeFi products natively integrating KYT screening, wallet risk scoring, or specific analytics providers. In the absence of explicit evidence of such tooling, the level of on-chain compliance integration must be treated as Unknown.</t>
  </si>
  <si>
    <t>D1.2</t>
  </si>
  <si>
    <t>Does the protocol or ecosystem perform address-level sanctions screening (e.g., OFAC/OFSI blocklists, automated risk-blocking)? Choose: No screening, Partial screening via partners, Native / enforced screening, Unknown.</t>
  </si>
  <si>
    <t>Partial screening via partners</t>
  </si>
  <si>
    <t>https://worldlibertyfinancial.com/wlfi/terms; https://en.wikipedia.org/wiki/World_Liberty_Financial</t>
  </si>
  <si>
    <t>Sanctions/address screening mitigates risk but absence does not automatically trigger escalation.</t>
  </si>
  <si>
    <t>World Liberty Financial’s WLFI Token Use and Acquisition Terms require that users are not located in sanctioned jurisdictions and are not listed on OFAC, BIS, or similar sanctions lists. The company also states it may cancel token sales or transfers and block access for such users. This indicates sanctions checks occur at the participant/account level, not as native on-chain address blocking, so the appropriate classification is partial screening via partners/compliance processes rather than fully enforced protocol-level screening.</t>
  </si>
  <si>
    <t>D1.3</t>
  </si>
  <si>
    <t>Is any form of automated AML/CTF risk scoring or transaction monitoring implemented at protocol or ecosystem level? Choose: None, Partial / ecosystem-level, Native / real-time monitoring, Unknown.</t>
  </si>
  <si>
    <t>Partial / ecosystem-level</t>
  </si>
  <si>
    <t>https://worldliberityfinance.com/; https://governance.worldlibertyfinancial.com/t/part-2-breakdown-and-explanation-of-proposal-make-wlfi-token-tradable/33262; https://www.ainvest.com/news/world-liberty-financial-wlfi-navigating-regulatory-security-risks-high-volatility-market-2511/</t>
  </si>
  <si>
    <t>No board trigger; this question informs mitigation strength only.</t>
  </si>
  <si>
    <t>World Liberty Financial conducts KYC (including re-screening) and states that wallet address monitoring runs in the background to keep the ecosystem compliant, but this applies to participants in its token sales/unlock tooling rather than on-chain WLFI transfers generally. Governance materials also describe enabling compliance monitoring via TRM Labs. This indicates ecosystem-level AML/CTF controls, not fully native real-time monitoring at protocol level.</t>
  </si>
  <si>
    <t>D1-N</t>
  </si>
  <si>
    <t>≤120-word narrative summary for D.1 (on-chain compliance tooling and sanctions screening).</t>
  </si>
  <si>
    <t>WLFI operates a heavily permissioned DeFi model with mandatory KYC for token sales, whitelist access and platform use, including accredited‑investor gating for U.S. users. This front‑end KYC, plus the ability to freeze and reallocate compromised wallets only for verified users, shows centralized control aligned with basic AML and fraud‑mitigation objectives, but also indicates that compliance is enforced off‑chain, at the application layer. Public disclosures emphasise KYC rather than specific sanctions‑screening vendors, on‑chain screening or travel‑rule tooling, and there is no evidence of protocol‑level sanctions or address‑risk oracles embedded in smart contracts. Residual sanctions risk persists where users can custody WLFI or related assets in self‑hosted wallets outside the controlled WLFI environment.</t>
  </si>
  <si>
    <t>https://kdow.biz/news/business/trump-inspired-world-liberty-financial-closes-550-million-across-token-sales/b96eed912f664782ac2590902bbd391c; https://www.datawallet.com/crypto/world-liberty-financial-and-wlfi-explained; https://crypto-economy.com/wlfi-freezes-wallets-amid-security-concerns-raising-governance-questions/</t>
  </si>
  <si>
    <t>2025-03-17; 2025-11-20; 2025-11-20</t>
  </si>
  <si>
    <t>Summary is based on public reports describing WLFI’s mandatory KYC, accredited‑only U.S. access, and wallet-freeze/reallocation mechanisms, but there is no detailed technical disclosure of sanctions-screening or travel-rule tooling, so assessment of those aspects remains partly inferred.</t>
  </si>
  <si>
    <t>D2.1</t>
  </si>
  <si>
    <t>Does the project publish AML/CTF, sanctions, or compliance policies (even if voluntary)? Choose: None published, High-level policy only, Detailed / comprehensive policy, Unknown.</t>
  </si>
  <si>
    <t>High-level policy only</t>
  </si>
  <si>
    <t>https://worldlibertyfinancial.com/wlfi/terms; https://worldlibertyfinancial.com/privacy-policy</t>
  </si>
  <si>
    <t>2025-11-20; 2025-05-30</t>
  </si>
  <si>
    <t>No board trigger; this evaluates disclosure depth only.</t>
  </si>
  <si>
    <t>World Liberty Financial’s published WLFI Use and Acquisition Terms require users to provide information for screening to ensure no specially designated nationals or other persons sanctioned by FinCEN can use or acquire WLFI, and allow the company to obtain information as needed to comply with KYC/AML laws and policies. This is a high-level sanctions and AML/KYC commitment embedded in terms, not a detailed stand‑alone compliance program description.</t>
  </si>
  <si>
    <t>D2.2</t>
  </si>
  <si>
    <t>Do official interfaces, dApps, or the main protocol enforce geo-fencing of sanctioned or FATF high-risk jurisdictions? Choose: No geo-fencing, Partial geo-fencing, Full / enforced geo-fencing, Unknown.</t>
  </si>
  <si>
    <t>Partial geo-fencing</t>
  </si>
  <si>
    <t>https://worldlibertyfinancial.com/terms; https://governance.worldlibertyfinancial.com/t/thanks-team-second-kyc-verification/33029</t>
  </si>
  <si>
    <t>2025-08-25; 2025-07-10</t>
  </si>
  <si>
    <t>No automatic escalation; absence of geo-fencing is assessed in context with other controls.</t>
  </si>
  <si>
    <t>World Liberty Financial’s official web interfaces operate under Terms prohibiting use or access "for the benefit of" any person or entity subject to U.S. economic sanctions, indicating sanctions-based access restrictions at the platform level, though not necessarily via strict IP blocking. Community/governance discussions also reference country-based restrictions and KYC gating for token purchasers. However, there is no clear evidence that all sanctioned/FATF high‑risk jurisdictions are comprehensively and technically geo‑fenced, so this is best classified as partial geo‑fencing.</t>
  </si>
  <si>
    <t>D2.3</t>
  </si>
  <si>
    <t>Does the project have publicly disclosed compliance or risk-management partnerships (e.g., with KYT vendors, security auditors, AML tool providers)? Choose: None disclosed, Some partnerships, Multiple validated partnerships, Unknown.</t>
  </si>
  <si>
    <t>Some partnerships</t>
  </si>
  <si>
    <t>https://www.bitgo.com/usd1/attestations/; https://eco.com/support/en/articles/11753300-what-is-world-liberty-financial-usd-usd1-the-complete-guide-to-world-liberty-financial-s-dollar-stablecoin; https://www.prnewswire.com/news-releases/htx-premieres-usd1-stablecoin-globally-partnering-with-world-liberty-financial-to-forge-a-new-era-of-decentralized-economy-302447355.html</t>
  </si>
  <si>
    <t>2025-10-15; 2025-10-10; 2025-05-06</t>
  </si>
  <si>
    <t>No board trigger; partnerships provide positive mitigation context.</t>
  </si>
  <si>
    <t>Public materials show that World Liberty Financial’s USD1 stablecoin reserves are custodied by BitGo Trust Company, a regulated U.S. trust entity that provides institutional-grade custody, security, and compliance infrastructure. BitGo also publishes ongoing reserve attestations via an independent accounting firm. This constitutes at least one clear, disclosed risk‑management/compliance partnership, but there is no evidence of multiple specialized AML/KYT vendor relationships being publicly named.</t>
  </si>
  <si>
    <t>D2-N</t>
  </si>
  <si>
    <t>≤120-word narrative summary for D.2 (governance, policy, and operational controls).</t>
  </si>
  <si>
    <t>WLFI functions as a governance token for World Liberty Financial, a permissioned DeFi platform that positions itself as U.S.-compliant and KYC-based. The protocol uses WLFI for on‑chain voting on upgrades, unlock schedules, and economic parameters, with a 5% per‑wallet voting cap to mitigate single‑holder dominance and most supply locked in smart contracts subject to DAO votes. World Liberty operates as a regulated-style frontend integrating Aave, enforcing KYC for token purchase and governance participation, and emphasizing separation between governance rights and financial claims. These design choices, if implemented as described, provide some governance structure and basic policy controls, though practical effectiveness and independence from major insiders remain key residual risks.</t>
  </si>
  <si>
    <t>https://www.datawallet.com/crypto/world-liberty-financial-and-wlfi-explained; https://blog.bingx.com/bingx-insights/what-is-wlfi-a-deep-dive-into-world-liberty-financials-governance-token/; https://coinmarketcap.com/cmc-ai/world-liberty-financial-ethereum/latest-updates/</t>
  </si>
  <si>
    <t>2025-10-01; 2025-10-15; 2025-09-10</t>
  </si>
  <si>
    <t>Summary draws on multiple independent descriptions of WLFI’s governance-only design, 5% voting cap, KYC-gated participation, and DAO-controlled unlocks. These support the view that governance and policy controls exist but leave material residual concentration and execution risk.</t>
  </si>
  <si>
    <t>E. Exchange Availability &amp; AML Risk Surface</t>
  </si>
  <si>
    <t>How is the asset’s trading volume distributed across regulated, KYC-compliant exchanges versus unregulated or no-KYC exchanges? Choose: Mostly regulated (&gt;70%), Mixed (30–70%), Mostly unregulated (&gt;70%), Unknown.</t>
  </si>
  <si>
    <t>Mostly regulated (&gt;70%)</t>
  </si>
  <si>
    <t>https://nypost.com/2025/09/02/business/trump-backed-wlfi-token-whipsaws-as-speculators-drive-billions-in-trades/; https://www.ccn.com/education/crypto/where-to-trade-wlfi-full-list-of-exchanges-and-what-to-avoid/; https://airdropbuzz.com/news/wlfi-listing-global-time-zone-schedule</t>
  </si>
  <si>
    <t>2025-09-02; 2025-09-01; 2025-09-01</t>
  </si>
  <si>
    <t>No direct board trigger; this calibrates venue risk.</t>
  </si>
  <si>
    <t>WLFI spot and derivatives trading is concentrated on large centralized exchanges such as Binance, OKX, Bybit, KuCoin, Gate.io and others, with day‑one volumes reportedly in the billions and major CEXs highlighted as the primary venues. These platforms are generally KYC‑obliged and operate with some regulatory oversight, while only a subset of volume occurs on more lightly regulated exchanges like MEXC/LBank or on DEXs. Given this venue mix, WLFI volume appears predominantly on regulated, KYC exchanges, though precise split data is unavailable.</t>
  </si>
  <si>
    <t>What proportion of trading occurs via DEXs, especially those linked to anonymity pools (e.g., Tornado-derived pools, privacy DEXs)? Choose: Limited (&lt;20%), Moderate (20–60%), High (&gt;60%) or privacy-DEX dominant, Unknown.</t>
  </si>
  <si>
    <t>Limited (&lt;20%)</t>
  </si>
  <si>
    <t>https://cryptonews.net/news/altcoins/31997923/; https://coinmarketcap.com/currencies/world-liberty-financial-wlfi/</t>
  </si>
  <si>
    <t>2025-11-17</t>
  </si>
  <si>
    <t>No direct board trigger; captured as part of broader AML venue risk.</t>
  </si>
  <si>
    <t>Available data show WLFI trading is dominated by centralized exchanges such as Binance and other major CEXs, with decentralized exchanges mentioned only as additional venues and not primary liquidity sources. One recent analysis notes Binance “handles the majority of daily volume,” with only several DEX listings in contrast to extensive CEX coverage. There is no evidence of material trading via privacy-focused DEXs or Tornado-style anonymity pools. On this basis, DEX (especially privacy-DEX) activity appears limited (&lt;20%).</t>
  </si>
  <si>
    <t>What is the overall quality of fiat on/off-ramps for the asset (regulated exchanges, bank integrations, licensed VASP partners)? Choose: High quality / regulated ramps, Mixed quality, Mostly unregulated / crypto-only ramps, Unknown.</t>
  </si>
  <si>
    <t>High quality / regulated ramps</t>
  </si>
  <si>
    <t>https://www.reuters.com/business/trumps-world-liberty-financial-tokens-begin-trading-2025-09-01/; https://www.businesswire.com/news/home/20250317855322/en/Trump-Inspired-World-Liberty-Financial-Closes-%24550-Million-Across-Token-Sales</t>
  </si>
  <si>
    <t>2025-09-01; 2025-03-17</t>
  </si>
  <si>
    <t>No direct board trigger; weaker ramps increase AML surface but are assessed holistically.</t>
  </si>
  <si>
    <t>WLFI is listed on major centralized exchanges including Binance, OKX and Bybit, which operate regulated or registered entities and provide integrated fiat on/off-ramps in multiple jurisdictions. In addition, the WLFI ecosystem’s USD1 stablecoin is available on Coinbase, a publicly listed and highly regulated U.S. crypto platform. This combination indicates access to comparatively high-quality, regulated fiat ramps relative to typical tokens.</t>
  </si>
  <si>
    <t>≤120-word narrative summary for E.1 (regulated vs unregulated exchange footprint and anonymity DEX exposure).</t>
  </si>
  <si>
    <t>WLFI is widely listed on large centralized exchanges (e.g., Binance, Bybit, OKX and other major platforms) where account-level KYC is standard, providing substantial regulated exchange footprint. At the same time, WLFI is tradable on decentralized exchanges such as Uniswap and can be bridged across networks via WLFI’s own tools, enabling non‑custodial, potentially non‑KYC access. Current public information does not indicate use of privacy‑enhancing technologies (e.g., mixers, shielded pools, or stealth addresses) at the protocol level, and WLFI functions as a conventional governance token. Overall, the token has meaningful exposure to both regulated CEX venues and unregulated DEX liquidity, but without clear, built‑in anonymity features beyond what is typical for ERC‑20 style assets.</t>
  </si>
  <si>
    <t>https://nypost.com/business/how-to-buy-wlfi-token/; https://worldlibertyfinancial.com/; https://www.coindesk.com/business/2025/07/16/trump-linked-wlfi-token-clears-vote-to-become-tradable</t>
  </si>
  <si>
    <t>2025-09-19; 2025-07-16</t>
  </si>
  <si>
    <t>Summary is inferred from press and project documentation showing WLFI trading on major KYC’d CEXs alongside DEX and bridging support, with no evidence of privacy‑enhancing design. Exact venue coverage and on‑chain mixer usage may evolve, so confidence is medium, not high.</t>
  </si>
  <si>
    <t>Have Tier-1 regulated exchanges (e.g., Coinbase, Kraken, Binance US, Gemini) delisted or restricted the asset specifically citing AML/CTF or sanctions concerns? Choose: No, Rumoured / uncertain, Yes – explicitly AML/CTF-related, Unknown.</t>
  </si>
  <si>
    <t>https://blog.kraken.com/product/asset-listings/wlfi-is-available-for-trading; https://finance.yahoo.com/news/binance-upbit-race-list-world-093936639.html; https://www.ainvest.com/news/national-security-financial-risks-crypto-exposure-case-study-world-liberty-financial-2511/</t>
  </si>
  <si>
    <t>Escalate if Tier-1 regulated exchanges delist the token explicitly citing AML/CTF or sanctions reasons.</t>
  </si>
  <si>
    <t>Searches of official announcements and major news show WLFI has been listed (not delisted) on Tier‑1 or quasi‑Tier‑1 venues such as Kraken and Binance, with no public notices of trading halts or delistings citing AML, CTF, or sanctions concerns. While multiple reports discuss sanctions‑exposure allegations and political/regulatory scrutiny, they do not mention Tier‑1 exchanges taking AML‑driven delisting actions against WLFI.</t>
  </si>
  <si>
    <t>Is the asset heavily listed on high-risk, unregulated, or no-KYC exchanges historically linked to illicit flows? Choose: Limited presence, Some presence, Heavy / structural presence, Unknown.</t>
  </si>
  <si>
    <t>Some presence</t>
  </si>
  <si>
    <t>https://www.xt.com/en/blog/post/wlfi-token-officially-launches-on-binance-and-other-major-exchanges-following-token-unlock-event; https://www.lbank.com/support/articles/48071387428249; https://www.coincarp.com/events/world-liberty-financial-space-new-listing-on-htx/</t>
  </si>
  <si>
    <t>2025-09-01; 2025-06-18; 2025-11-19</t>
  </si>
  <si>
    <t>No direct board trigger; feeds into overall AML venue risk.</t>
  </si>
  <si>
    <t>WLFI is listed or scheduled for listing on multiple centralized exchanges, including large global venues (e.g., Binance via announcements referenced in XT’s summary) and a mix of higher‑risk offshore platforms such as LBank, SuperEx, and HTX. This shows some footprint on exchanges often viewed as weaker on KYC/AML, but the asset is not predominantly confined to such venues; it is also on more established, higher‑scrutiny CEXs. Overall this suggests some, but not heavy/structural, exposure to higher‑risk exchanges.</t>
  </si>
  <si>
    <t>Do the major exchanges listing the asset have strong KYC/AML controls (regulated jurisdictions, KYT partnerships, monitoring infrastructure)? Choose: Strong / regulated, Mixed, Weak, Unknown.</t>
  </si>
  <si>
    <t>Strong / regulated</t>
  </si>
  <si>
    <t>https://www.xt.com/en/blog/post/wlfi-token-officially-launches-on-binance-and-other-major-exchanges-following-token-unlock-event; https://www.chainalysis.com/blog/chainalysis-binance/; https://cointelegraph.com/news/bybit-to-introduce-mandatory-kyc-requirements-starting-may-8</t>
  </si>
  <si>
    <t>2025-09-01; 2018-10-17; 2023-04-24</t>
  </si>
  <si>
    <t>No direct board trigger; this question calibrates the quality of exchange-level controls.</t>
  </si>
  <si>
    <t>WLFI is listed on major centralized exchanges including Binance, Bybit, OKX, KuCoin, Gate.io, MEXC, Bitget, BingX and HTX, per XT’s listing summary. These large global venues operate under multiple regulatory regimes and have formal KYC/AML programs. Binance partners with Chainalysis and other vendors for real‑time KYT/transaction monitoring, while Bybit has made KYC mandatory for all products and services, indicating generally strong, infrastructure‑heavy AML controls despite some historical enforcement issues.</t>
  </si>
  <si>
    <t>≤120-word narrative summary for E.2 (exchange delistings, high-risk venue presence, and exchange-level AML controls).</t>
  </si>
  <si>
    <t>WLFI began trading in September 2025 and is listed on numerous major centralized exchanges, including Binance, OKX and others, often with both spot and derivatives markets and associated risk disclosures and KYC requirements (e.g., Binance and OKX require full customer verification, and Binance restricts U.S. persons). There is no evidence of formal exchange delistings to date, but WLFI is also present on several offshore/high‑risk venues (e.g., Bybit, HTX, MEXC), increasing exposure to weaker or uneven AML controls. Overall, exchange‑level AML coverage is mixed: large Tier‑1 platforms apply standard KYC/transaction‑monitoring frameworks, while the breadth of listings across lightly regulated offshore derivatives and spot venues moderately elevates AML and market‑abuse risk for WLFI.</t>
  </si>
  <si>
    <t>https://www.coindesk.com/markets/2025/09/01/binance-becomes-first-exchange-to-list-trump-linked-wlfi-token; https://www.okx.com/en-us/help/okx-to-list-wlfi-world-liberty-financial-for-spot-trading-and-convert-pre; https://www.ainvest.com/news/whale-invests-32-21m-wlfi-binance-2509/</t>
  </si>
  <si>
    <t>2025-09-01; 2025-08-31; 2025-09-01</t>
  </si>
  <si>
    <t>Summary draws on public listing announcements and venue descriptions for WLFI on Binance, OKX and multi‑exchange coverage, which show both Tier‑1 KYC exchanges and multiple offshore venues. No credible reports of delistings were found, but offshore derivatives exposure and uneven regulatory oversight justify a moderate‑elevated AML risk view.</t>
  </si>
  <si>
    <t>A. Smart Contract &amp; Code Quality</t>
  </si>
  <si>
    <t>Has the protocol or token been independently audited? Choose: Multiple audits, Single audit, No audit, Unknown.</t>
  </si>
  <si>
    <t>Single audit</t>
  </si>
  <si>
    <t>https://meme-insider.com/en/article/wlfi-world-liberty-financial-token-on-ethereum-address-tokenomics-listings-and-risks/; https://www.ccn.com/news/crypto/world-liberty-financial-wlfi-token-launch-key-dates-and-full-details/; https://www.mexc.fm/news/how-to-claim-wlfi-tokens-the-official-2025-unlock-and-trading-guide/71223</t>
  </si>
  <si>
    <t>2025-09-01; 2025-08-23; 2025-08-23</t>
  </si>
  <si>
    <t>Escalate if there is no independent audit with at least medium confidence.</t>
  </si>
  <si>
    <t>There is evidence of at least one independent security audit: multiple third‑party and exchange-linked articles state that the WLFI Lockbox smart contract on Ethereum, which manages token unlocks and claims, was fully audited by Web3 security firm Cyfrin. However, sources also note that comprehensive, publicly available audits for all WLFI token contracts across chains are not available, so coverage appears limited to the Lockbox component rather than the entire protocol/token suite.</t>
  </si>
  <si>
    <t>How reputable are the audit firms? Choose: Tier-1, Tier-2, Low-tier or self-audited, Unknown.</t>
  </si>
  <si>
    <t>Tier-2</t>
  </si>
  <si>
    <t>https://www.ccn.com/news/crypto/world-liberty-financial-wlfi-token-launch-key-dates-and-full-details/; https://meme-insider.com/en/article/wlfi-token-guide-world-liberty-financial-unlocks-listings-and-usd1/</t>
  </si>
  <si>
    <t>2025-09-01; 2025-11-01</t>
  </si>
  <si>
    <t>Available sources indicate that at least the WLFI Lockbox contract on Ethereum was audited by Cyfrin, a recognized but not top-tier security firm. There is no evidence of multiple independent audits or coverage of all WLFI contracts across chains. Given a single known audit by a mid‑tier specialist and partial scope, the appropriate classification is Tier‑2 rather than Tier‑1 or self‑audited.</t>
  </si>
  <si>
    <t>When was the most recent audit performed? Choose: &lt;12 months, 12–24 months, &gt;24 months, Unknown.</t>
  </si>
  <si>
    <t>&lt;12 months</t>
  </si>
  <si>
    <t>https://www.ainvest.com/news/ethereum-news-today-world-liberty-financial-wlfi-token-launches-ethereum-mainnet-2-26b-presale-2508/; https://coincodex.com/article/69290/world-liberty-financials-big-announcements-wlfi-token-transferability-usd1-stablecoin-audit/</t>
  </si>
  <si>
    <t>2025-08-25; 2025-06-26</t>
  </si>
  <si>
    <t>Public reporting indicates that World Liberty Financial’s USD1 stablecoin underwent its first independent reserve attestation/audit in mid‑2025, with executives stating in late June 2025 that an external accounting firm had completed the audit and that the report would be published within days. Additionally, the WLFI Lockbox smart contract is described as having been audited by Cyfrin in 2025. Both events fall within the last 12 months, so the most recent audit is categorized as &lt;12 months.</t>
  </si>
  <si>
    <t>After major protocol upgrades, were new audits commissioned? Choose: All upgrades re-audited, Some re-audited, No re-audit, Unknown.</t>
  </si>
  <si>
    <t>https://www.reuters.com/business/finance/trump-backed-crypto-firm-is-planning-stablecoin-audit-new-app-2025-06-25/; https://meme-insider.com/en/article/wlfi-token-guide-world-liberty-financial-unlocks-listings-and-usd1/</t>
  </si>
  <si>
    <t>2025-06-25; 2025-11-01</t>
  </si>
  <si>
    <t>Escalate if major upgrades occurred with no re-audit, with at least medium confidence.</t>
  </si>
  <si>
    <t>Public information focuses on a forthcoming or completed reserve attestation for the USD1 stablecoin and general transparency claims, but there is no clear evidence of smart contract security audits for WLFI, nor of re-audits after protocol upgrades. One third-party overview even notes the absence of widely published independent audits. Given this lack of concrete data, it is not possible to determine whether major upgrades were re-audited.</t>
  </si>
  <si>
    <t>What was the highest severity identified in the latest audit? Choose: No high-severity, High findings remediated, High findings unremediated, Unknown.</t>
  </si>
  <si>
    <t>https://www.ccn.com/news/crypto/world-liberty-financial-wlfi-token-launch-key-dates-and-full-details/; https://crypto2community.com/crypto-news/world-liberty-financial-to-launch-wlfi-token-on-ethereum-mainnet-september-1/; https://meme-insider.com/en/article/wlfi-world-liberty-financial-token-on-ethereum-address-tokenomics-listings-and-risks/</t>
  </si>
  <si>
    <t>2025-08-23; 2025-08-23; 2025-11-01</t>
  </si>
  <si>
    <t>Escalate if high-severity findings remain unremediated with at least medium confidence.</t>
  </si>
  <si>
    <t>Available public information only confirms that the WLFI Lockbox smart contract was audited by Cyfrin and that the contract “passed” or was “fully audited,” but no primary audit report or detailed vulnerability table is publicly accessible. None of the secondary sources citing the Cyfrin audit disclose specific issue severities or remediation status. Without the underlying report, the highest severity in the latest audit must be treated as unknown.</t>
  </si>
  <si>
    <t>≤120-word narrative summary for A.1 (audit coverage, quality, recency and findings).</t>
  </si>
  <si>
    <t>Publicly available evidence indicates no formal third‑party smart contract security audit for the WLFI governance token contracts; major aggregators and Codeum’s own coverage treat WLFI primarily as a news/topic project rather than an audited codebase. For the associated USD1 stablecoin, the team has emphasized reserve and financial transparency rather than protocol security: they announced plans for an independent reserve audit by an external accounting firm, with BitGo as custodian, and said the first USD1 reserve audit would be published on their site, alongside recurring disclosures. As of late 2025, however, a detailed, verifiable technical audit report for WLFI’s on‑chain contracts is not publicly identifiable.</t>
  </si>
  <si>
    <t>https://www.reuters.com/business/finance/trump-backed-crypto-firm-is-planning-stablecoin-audit-new-app-2025-06-25/; https://www.thecoinrepublic.com/2025/06/26/world-liberty-financial-eyes-app-launch-as-usd1-audit-nears-completion/; https://codeum.org/news/wlfi-alt5-sigma-integration</t>
  </si>
  <si>
    <t>2025-06-25; 2025-06-26; 2025-09-03</t>
  </si>
  <si>
    <t>Search of official communications and specialist security sites shows announcements about USD1 reserve audits but no concrete, accessible smart contract audit reports for WLFI; this may miss non-public or newly released audits, so confidence is medium.</t>
  </si>
  <si>
    <t>Approximate age of the mainnet codebase? Choose: Mature (&gt;24 months), Mid-stage (6–24 months), Early (&lt;6 months), Unknown.</t>
  </si>
  <si>
    <t>Early (&lt;6 months)</t>
  </si>
  <si>
    <t>https://www.ccn.com/news/crypto/world-liberty-financial-wlfi-token-launch-key-dates-and-full-details/; https://finance.yahoo.com/news/trump-related-defi-platform-world-173044552.html; https://www.ainvest.com/news/ethereum-news-today-world-liberty-financial-token-launches-ethereum-mainnet-2-26b-presale-2508/</t>
  </si>
  <si>
    <t>2025-08-29; 2025-08-24; 2025-08-25</t>
  </si>
  <si>
    <t>Multiple independent reports state that the WLFI token was deployed/launched on the Ethereum mainnet around September 1, 2025. Given today’s date of 2025-11-25, the mainnet codebase is roughly three months old, placing it clearly in the Early (&lt;6 months) category.</t>
  </si>
  <si>
    <t>Is the core protocol code open-source? Choose: Fully open-source, Partially open-source, Closed-source, Unknown.</t>
  </si>
  <si>
    <t>Partially open-source</t>
  </si>
  <si>
    <t>https://etherscan.io/token/0xdA5e1988097297dCdc1f90D4dFE7909e847CBeF6#code; https://github.com/World-Liberty-Financial-X</t>
  </si>
  <si>
    <t>Escalate where the core protocol is closed-source with at least medium confidence.</t>
  </si>
  <si>
    <t>The main WLFI ERC‑20 contract at 0xdA5e…CBeF6 on Ethereum has its source code verified on Etherscan, using OpenZeppelin’s TransparentUpgradeableProxy under an MIT license, so this part of the protocol is open to public review. However, the official GitHub organization currently exposes only marketing-style READMEs and no full smart-contract codebase or broader protocol implementation, so the overall system is not fully open-source.</t>
  </si>
  <si>
    <t>How complete is the technical documentation? Choose: Comprehensive, Partial, Minimal/outdated, Unknown.</t>
  </si>
  <si>
    <t>https://www.okx.com/learn/world-liberty-financial-white-paper; https://worldiibertfi.com/; https://en.wikipedia.org/wiki/World_Liberty_Financial</t>
  </si>
  <si>
    <t>There is a formal whitepaper-style document submitted to OKX and referenced as the project’s white paper, plus token-sale materials mentioning a “Gold Paper” and risk disclosures. However, publicly visible resources are largely marketing‑oriented and high level; there is no clear, comprehensive set of developer docs (e.g., detailed protocol specs, contract references, or API documentation). Overall this supports a "Partial" rather than comprehensive or minimal assessment.</t>
  </si>
  <si>
    <t>A2.4</t>
  </si>
  <si>
    <t>Is any component of the protocol formally verified? Choose: Yes – core components, Yes – limited components, No, Unknown.</t>
  </si>
  <si>
    <t>https://www.okx.com/en-us/learn/token-unlock-wlfi-decentralized-governance; https://www.ccn.com/news/crypto/world-liberty-financial-wlfi-token-launch-key-dates-and-full-details/; https://worldlibertyfinancial.com/wlfi/risk-disclosures</t>
  </si>
  <si>
    <t>2025-11-20; 2025-11-15; 2025-11-15</t>
  </si>
  <si>
    <t>Available public materials state that WLFI smart contracts (notably the Lockbox) have been security audited by Cyfrin and others, but none of the documentation, exchange guides, or risk disclosures reference the use of formal verification or mathematically proven correctness of the core protocol. Because the team may have conducted non-public verification work, the safest classification is that the formal verification status of WLFI components is currently unknown.</t>
  </si>
  <si>
    <t>≤120-word narrative summary for A.2 (codebase maturity, open-source status and documentation).</t>
  </si>
  <si>
    <t>WLFI’s Ethereum token contract at 0xdA5e…CBeF6 is a verified TransparentUpgradeableProxy using standard OpenZeppelin proxy patterns, indicating use of established upgradeable infrastructure, though the underlying implementation logic resides in separate contracts. The official GitHub organization exists but currently exposes only README-style repositories without Solidity source, tests, or CI, suggesting the core protocol codebase is not meaningfully open-sourced. Public documentation is largely high-level marketing and product descriptions (USD1, WLFI governance, unlock mechanics) with limited low-level technical specifications, threat modeling, or formal audit reports available. Overall, code transparency and technical documentation maturity appear limited for a project of this scale.</t>
  </si>
  <si>
    <t>https://etherscan.io/token/0xdA5e1988097297dCdc1f90D4dFE7909e847CBeF6; https://github.com/World-Liberty-Financial-X/wlfi; https://worldlibertyfinancial.com</t>
  </si>
  <si>
    <t>2025-11-20; 2025-09-04; 2025-11-20</t>
  </si>
  <si>
    <t>Verified proxy source and minimal public GitHub activity show some technical maturity, but absence of core implementation code and detailed technical docs/audits constrains transparency. Assessment relies on current explorers, GitHub, and official docs; details could evolve.</t>
  </si>
  <si>
    <t>Do developers disclose test coverage metrics? Choose: High coverage (&gt;80%), Some coverage (20–80%), Minimal/no coverage, Unknown.</t>
  </si>
  <si>
    <t>https://www.ccn.com/news/crypto/world-liberty-financial-wlfi-token-launch-key-dates-and-full-details/; https://blockchainmagazine.net/wlfi-token-sets-unlock-and-trading-timeline/; https://www.okx.com/en-us/learn/lockbox-tokens-value-wlfi-unlock-governance</t>
  </si>
  <si>
    <t>2025-11-18; 2025-08-20; 2025-10-15</t>
  </si>
  <si>
    <t>Publicly available materials for WLFI—including governance posts, unlock framework descriptions, and third‑party coverage of Cyfrin audits—do not mention any quantitative test coverage figures (e.g., % of code covered by unit/integration tests). No GitHub repository or detailed technical documentation with coverage metrics could be identified, so the level of disclosed test coverage remains unknown from current open sources.</t>
  </si>
  <si>
    <t>A3.2</t>
  </si>
  <si>
    <t>How stable is the protocol’s testnet according to public sources? Choose: Stable with no major issues, Some issues but resolved, Frequent stability problems, Unknown.</t>
  </si>
  <si>
    <t>https://en.wikipedia.org/wiki/World_Liberty_Financial; https://worldlibertyfinancial.com</t>
  </si>
  <si>
    <t>2025-11-10; 2025-11-25</t>
  </si>
  <si>
    <t>Publicly available information about World Liberty Financial and WLFI focuses on the live mainnet products (USD1, WLFI token, app, bridging, governance) and corporate developments. I could not locate any reliable documentation, explorer records, or third‑party analyses describing a dedicated WLFI testnet environment or its operational track record, so the stability of any testnet cannot be assessed from public sources.</t>
  </si>
  <si>
    <t>A3.3</t>
  </si>
  <si>
    <t>Is there transparency around build pipelines and CI/CD testing? Choose: Clear CI/CD pipeline documented, Partial visibility, No visible CI/CD process, Unknown.</t>
  </si>
  <si>
    <t>No visible CI/CD process</t>
  </si>
  <si>
    <t>https://github.com/World-Liberty-Financial-X; https://github.com/World-Liberty-Financial-X/.github; https://github.com/World-Liberty-Financial-X/wlfi</t>
  </si>
  <si>
    <t>2025-09-04; 2025-09-04; 2025-09-04</t>
  </si>
  <si>
    <t>Public GitHub repositories for World Liberty Financial’s organization (.github, wlfi, trade) only expose marketing-style README files and minimal commit history; there are no visible workflow files, testing configurations, or CI/CD documentation in the code or Actions tabs. No alternative public documentation describes a build pipeline or automated testing, so any CI/CD process, if it exists, is not transparently disclosed.</t>
  </si>
  <si>
    <t>A3.4</t>
  </si>
  <si>
    <t>Do audits or reviews flag recurring code-quality issues or anti-patterns? Choose: No notable issues, Some issues flagged, Structural/recurring issues, Unknown.</t>
  </si>
  <si>
    <t>Structural/recurring issues</t>
  </si>
  <si>
    <t>https://etherscan.io/token/0xdA5e1988097297dCdc1f90D4dFE7909e847CBeF6#code; https://coincub.com/world-liberty-financial-wlfi/; https://www.reddit.com/r/u_Meta-Face/comments/1n115pf</t>
  </si>
  <si>
    <t>2025-04-01; 2025-08-26</t>
  </si>
  <si>
    <t>Escalate where structural or recurring code-quality issues are reported with at least medium confidence.</t>
  </si>
  <si>
    <t>There is no published formal smart-contract audit for WLFI, but independent investigative reviews flag structural issues: a proxy-based architecture with minting ability and no robust safeguards, plus concerning token movements (e.g., from burn to multisig) that create ongoing centralization and misuse risk. The token contract is an upgradeable proxy, reinforcing the potential for recurring governance and upgrade-risk anti-patterns rather than isolated bugs.</t>
  </si>
  <si>
    <t>≤120-word narrative summary for A.3 (code quality, test coverage and stability).</t>
  </si>
  <si>
    <t>Public information on WLFI’s core smart contracts and development process is limited. The main GitHub accounts expose only a few repositories, with no clear unit-test suites, CI pipelines, or formal specifications for the WLFI token contracts themselves. Independent reviews have previously flagged the absence of published audits and technical documentation as a red flag. More recently, the team deployed new smart contract logic to reallocate funds after a wallet-compromise incident, but without releasing detailed audit reports or test results. Overall, on-chain behavior shows active maintenance and emergency controls, yet the lack of transparent code, testing evidence, and third‑party audits creates material uncertainty about code quality and long‑term stability.</t>
  </si>
  <si>
    <t>https://github.com/worldliberty; https://coincub.com/world-liberty-financial-wlfi/; https://crypto.news/world-liberty-financial-wlfi-wallet-breach-2025/</t>
  </si>
  <si>
    <t>2025-04-01; 2025-11-20</t>
  </si>
  <si>
    <t>Open repos and third‑party analysis show sparse public code, no disclosed audits, and ad‑hoc emergency contract changes after wallet incidents. This supports a cautious Medium confidence rating with material uncertainty around test coverage and stability.</t>
  </si>
  <si>
    <t>A4.1</t>
  </si>
  <si>
    <t>How are external libraries and dependencies characterised? Choose: Up-to-date reputable libraries, Some outdated components, High-risk/deprecated libraries, Unknown.</t>
  </si>
  <si>
    <t>Up-to-date reputable libraries</t>
  </si>
  <si>
    <t>https://etherscan.io/token/0xdA5e1988097297dCdc1f90D4dFE7909e847CBeF6#code; https://github.com/OpenZeppelin/openzeppelin-contracts/blob/release-v5.0/contracts/proxy/transparent/TransparentUpgradeableProxy.sol</t>
  </si>
  <si>
    <t>2024-01-25</t>
  </si>
  <si>
    <t>The WLFI token contract on Ethereum is implemented as a TransparentUpgradeableProxy using OpenZeppelin Contracts v5.0.0, a current, widely used and security-audited library suite. There is no indication of deprecated or custom high‑risk dependencies in the verified source; imports reference standard OpenZeppelin modules, suggesting reliance on up‑to‑date reputable libraries.</t>
  </si>
  <si>
    <t>A4.2</t>
  </si>
  <si>
    <t>How reliable is the oracle infrastructure (if used)? Choose: Robust oracle (e.g., Chainlink), Mixed/custom or multi-oracle, High-risk/unclear oracle design, Unknown.</t>
  </si>
  <si>
    <t>https://en.wikipedia.org/wiki/World_Liberty_Financial; https://governance.worldlibertyfinancial.com/t/proposal-wlfi-staking-with-usd1-stablecoin-yield/40538</t>
  </si>
  <si>
    <t>2025-11-10</t>
  </si>
  <si>
    <t>Escalate where oracle design is high-risk or unclear with at least medium confidence.</t>
  </si>
  <si>
    <t>Available public materials on World Liberty Financial and WLFI (including high‑level protocol descriptions and governance proposals) describe the token, governance model, and USD1 stablecoin, but do not clearly specify what price oracle infrastructure, if any, is used (e.g., Chainlink, custom oracles, or exchange feeds). In the absence of explicit, verifiable documentation about oracle design or providers, the oracle reliability must be treated as unknown.</t>
  </si>
  <si>
    <t>A4.3</t>
  </si>
  <si>
    <t>Do core contracts use upgradeable proxies, and with what controls? Choose: No upgradeability (immutable), Limited upgradeability with safeguards, Upgradeable with weak controls, Unknown.</t>
  </si>
  <si>
    <t>https://www.criptonoticias.com/mercados/trump-lanzar-criptomoneda-mercado/; https://blockchain.news/flashnews/wlfi-airdrop-on-ethereum-eth-official-contract-address-0xda5e1988097297dcdc1f90d4dfe7909e847cbef6-spam-alert-and-gas-fee-surge-risk</t>
  </si>
  <si>
    <t>2025-07-15; 2025-08-31</t>
  </si>
  <si>
    <t>Escalate where upgradeable contracts have weak control safeguards with at least medium confidence.</t>
  </si>
  <si>
    <t>Available public information confirms the WLFI token contract address on Ethereum but does not expose the underlying Etherscan contract page or any technical documentation about whether the token is implemented directly or via an upgradeable proxy. Without access to the verified source code, proxy patterns, or admin roles, I cannot reliably determine if core contracts are upgradeable or what controls exist, so the upgradeability status must be treated as unknown.</t>
  </si>
  <si>
    <t>A4-N</t>
  </si>
  <si>
    <t>≤120-word narrative summary for A.4 (external dependencies, oracle risk and upgradeability patterns).</t>
  </si>
  <si>
    <t>WLFI’s main ERC‑20 contract on Ethereum is deployed as an OpenZeppelin TransparentUpgradeableProxy controlled via a ProxyAdmin, giving the admin broad authority to upgrade implementation logic and potentially alter token behaviour. The broader protocol depends on multiple external components: cross‑chain bridges for WLFI/USD1 across Ethereum, BNB Chain, Solana and Tron, and integrations with third‑party DeFi and oracle providers such as Chainlink and Aave. These dependencies introduce upgrade, governance and integration risks outside the token contract itself, including reliance on off‑chain reserves and partner security.</t>
  </si>
  <si>
    <t>https://etherscan.io/token/0xda5e1988097297dcdc1f90d4dfe7909e847cbef6; https://worldlibertyfinancial.com; https://governance.worldlibertyfinancial.com/t/wlfis-grand-opening-a-new-era-begins-in-the-crypto-market/22457</t>
  </si>
  <si>
    <t>2025-07-25</t>
  </si>
  <si>
    <t>Etherscan shows WLFI is implemented as an OpenZeppelin TransparentUpgradeableProxy, implying centralized upgrade control. Project communications describe cross‑chain deployment of USD1/WLFI and collaborations with DeFi/oracle partners (e.g., Chainlink, Aave), evidencing material external dependencies beyond the core token logic.</t>
  </si>
  <si>
    <t>B. Protocol Architecture &amp; Attack Surface</t>
  </si>
  <si>
    <t>How complex is the protocol architecture based on public documentation and audits? Choose: Simple/minimal, Moderately complex, Highly complex/multi-module, Unknown.</t>
  </si>
  <si>
    <t>Moderately complex</t>
  </si>
  <si>
    <t>https://www.ccn.com/education/crypto/wlfi-token-launch-sept-1-unlock-trade-risks/; https://meme-insider.com/en/article/wlfi-world-liberty-financial-token-on-ethereum-address-tokenomics-listings-and-risks/; https://www.reuters.com/technology/trumps-world-liberty-financial-crypto-venture-says-it-will-launch-stablecoin-2025-03-25/</t>
  </si>
  <si>
    <t>2025-08-23; 2025-08-20; 2025-03-25</t>
  </si>
  <si>
    <t>Public information shows WLFI as more than a basic ERC‑20: it underpins a broader DeFi ecosystem with a governance token, a USD1 stablecoin launched across multiple chains, bridging, and planned lending/borrowing products. The WLFI Lockbox vesting/claims contract has been separately audited by Cyfrin, adding another custom module. However, detailed protocol-level architecture and comprehensive audits for all components are not fully disclosed, so the design appears moderately complex rather than clearly multi‑module at this time.</t>
  </si>
  <si>
    <t>How widely integrated is the protocol in other crypto/DeFi infrastructure (composability)? Choose: Limited composability, Moderate composability, Highly composable/widely integrated, Unknown.</t>
  </si>
  <si>
    <t>Moderate composability</t>
  </si>
  <si>
    <t>https://www.bitget.com/asia/amp/academy/12560603836689; https://meme-insider.com/en/article/wlfi-world-liberty-financial-on-bnb-chain-official-addresses-tokenomics-and-how-to-trade-safely/; https://www.coindesk.com/markets/2025/10/29/world-liberty-financial-to-airdrop-8-4m-wlfi-tokens-to-early-usd1-users</t>
  </si>
  <si>
    <t>2025-09-01; 2025-09-01; 2025-10-29</t>
  </si>
  <si>
    <t>WLFI is deployed cross‑chain (Ethereum, BNB Chain, Solana) and is traded on major centralized exchanges and Uniswap, giving it decent infrastructural reach. The ecosystem’s USD1 stablecoin has significant trading activity and is being pushed into DeFi and RWA integrations. However, current evidence points mainly to exchange listings, bridging and planned money‑market integrations, not deep, mature integration across leading DeFi protocols, so composability is best assessed as moderate rather than high.</t>
  </si>
  <si>
    <t>Do audits or credible reviews identify recurring design-level risk patterns (e.g., fragile liquidation logic, complex state machines)? Choose: No notable patterns, Some higher-risk patterns, Multiple/structural higher-risk patterns, Unknown.</t>
  </si>
  <si>
    <t>Multiple/structural higher-risk patterns</t>
  </si>
  <si>
    <t>https://www.reddit.com/r/u_Meta-Face/comments/1n115pf; https://codeum.org/news/world-liberty-financial-wallet-blacklist-reason; https://cryptonews.net/news/security/32014061/</t>
  </si>
  <si>
    <t>2025-08-26; 2025-09-07; 2025-11-20</t>
  </si>
  <si>
    <t>Escalate where multiple or structural higher-risk design patterns are identified with at least medium confidence.</t>
  </si>
  <si>
    <t>A third‑party review (MEFAI) describes WLFI as using an upgradeable proxy with unrestricted minting authority and no effective safeguards, calling out “major structural risks.” This implies persistent governance/admin risk at the design level, not just one‑off bugs. Separately, WLFI has frozen and blacklisted hundreds of wallets and deployed new smart contract logic to reallocate funds, highlighting powerful central controls that are repeatedly exercised. Together, these indicate multiple structural, design‑level risk patterns rather than isolated issues.</t>
  </si>
  <si>
    <t>≤120-word narrative summary for B.1 (architectural complexity, composability and design risk patterns).</t>
  </si>
  <si>
    <t>WLFI is an ERC‑20 governance token on Ethereum at contract 0xdA5e1988097297dCdc1f90D4dFE7909e847CBeF6, governing a multi‑product DeFi stack (USD1 stablecoin, future lending/borrowing app, treasury “macro strategy,” and cross‑chain bridge tools). This ecosystem‑plus‑token design increases protocol complexity and introduces multiple interdependent components whose failure could cascade (e.g., bridge logic, treasury operations, or stablecoin reserves affecting WLFI governance and value). Off‑chain Snapshot governance and on‑chain unlock schedules add further coordination and implementation risk, while planned integrations with external DeFi protocols amplify composability and smart‑contract dependency risk.</t>
  </si>
  <si>
    <t>https://www.criptonoticias.com/mercados/trump-lanzar-criptomoneda-mercado/; https://worldlibertyfinancial.com/; https://www.businesswire.com/news/home/20250317855322/en/Trump-Inspired-World-Liberty-Financial-Closes-%24550-Million-Across-Token-Sales</t>
  </si>
  <si>
    <t>2025-08-20; 2025-11-20; 2025-03-17</t>
  </si>
  <si>
    <t>Answer synthesizes contract-level data, project documentation, and third‑party descriptions of WLFI as an ERC‑20 governance token for a multi‑product DeFi and stablecoin stack with bridges and governance tooling. These features materially increase architectural and composability risk, but public technical documentation remains limited, so some assessment is inferential rather than from formal specs.</t>
  </si>
  <si>
    <t>To what extent does core protocol functionality depend on cross-chain bridges? Choose: No bridge dependency, Peripheral bridge usage only, Core functionality depends on bridges, Unknown.</t>
  </si>
  <si>
    <t>Peripheral bridge usage only</t>
  </si>
  <si>
    <t>https://worldlibertyfinancial.com/; https://en.wikipedia.org/wiki/World_Liberty_Financial</t>
  </si>
  <si>
    <t>2025-11-22; 2025-11-10</t>
  </si>
  <si>
    <t>Escalate where core protocol functionality depends on bridges with at least medium confidence.</t>
  </si>
  <si>
    <t>World Liberty Financial offers a native bridge for WLFI and its USD1 stablecoin between multiple supported networks (e.g., Ethereum, BNB, Solana), and markets this as a convenience tool for holders and liquidity movement, not as the basis for protocol governance or core DeFi functions. The core WLFI token and primary protocol logic are deployed on Ethereum, so bridges enhance interoperability but are not strictly required for the protocol to function.</t>
  </si>
  <si>
    <t>How is the primary bridge implementation characterised in public sources? Choose: Well-established/audited bridge, Custom or mixed-quality bridges, High-risk/unaudited bridge design, Unknown.</t>
  </si>
  <si>
    <t>Well-established/audited bridge</t>
  </si>
  <si>
    <t>https://www.wlfi-wallet.com/index.html; https://blog.chain.link/transporter-launch/; https://www.transporter.io/</t>
  </si>
  <si>
    <t>2025-09-01; 2024-04-11; 2024-04-11</t>
  </si>
  <si>
    <t>Escalate where the primary bridge is described as high-risk or unaudited with at least medium confidence.</t>
  </si>
  <si>
    <t>Public WLFI materials state that the WLFI bridge is provided as a third‑party service by Transporter.io. Transporter is Chainlink’s CCIP-powered cross‑chain bridging app, described by Chainlink as a hyper-secure interface built on its industry-standard cross-chain protocol, with a defense‑in‑depth security model and level‑5 security. This positions WLFI’s primary bridge as relying on a well-established, externally audited infrastructure rather than a bespoke, unaudited design.</t>
  </si>
  <si>
    <t>How heavily does the protocol rely on cross-chain messaging or external executors? Choose: Minimal reliance, Moderate reliance, Heavy/structural reliance, Unknown.</t>
  </si>
  <si>
    <t>Moderate reliance</t>
  </si>
  <si>
    <t>WLFI is explicitly positioned as multi-chain, with deployments on Ethereum, Solana and BNB Smart Chain, and offers a native bridge for WLFI and its USD1 stablecoin to move between integrated networks. This makes cross-chain transfers and associated messaging important to the ecosystem’s operation, but the core protocol functions (governance, lending/borrowing, stablecoin issuance) are not described as a single shared state that structurally depends on constant cross-chain execution, so overall reliance is best assessed as moderate rather than heavy.</t>
  </si>
  <si>
    <t>≤120-word narrative summary for B.2 (bridge dependency, bridge quality and cross-chain execution risk).</t>
  </si>
  <si>
    <t>WLFI is deployed on Ethereum; the referenced contract is an ERC‑20 token with no native bridge or cross-chain messaging in its own code. Any bridging of WLFI to other networks would therefore rely on third‑party bridge protocols or custodial wrappers, with associated risks (smart contract exploits, depegs, operator failures). No official, audited canonical bridge or cross‑chain architecture for WLFI is clearly documented at this time, increasing uncertainty over which wrapped representations (if any) are authoritative and how redemptions are enforced, so bridge and cross‑chain execution risk should be treated as elevated until more formal documentation and audits are available.</t>
  </si>
  <si>
    <t>https://etherscan.io/token/0xdA5e1988097297dCdc1f90D4dFE7909e847CBeF6; https://worldlibertyfinancial.com</t>
  </si>
  <si>
    <t>Etherscan shows WLFI as a standard ERC‑20 on Ethereum with no embedded bridge or cross‑chain logic. I found no credible documentation for an official canonical bridge or audited cross‑chain deployment, implying any bridged forms would depend on external bridge providers and inherit their risks. Given this limited transparency, I classify bridge and cross‑chain execution risk as elevated and certainty as medium.</t>
  </si>
  <si>
    <t>How broad is the set of privileged functions (upgrade, pause, mint/burn, parameter changes)? Choose: Narrow/well-scoped, Moderate, Broad/high-impact privileged controls, Unknown.</t>
  </si>
  <si>
    <t>Broad/high-impact privileged controls</t>
  </si>
  <si>
    <t>https://etherscan.io/token/0xdA5e1988097297dCdc1f90D4dFE7909e847CBeF6; https://www.reddit.com/r/u_Meta-Face/comments/1n115pf</t>
  </si>
  <si>
    <t>The WLFI token contract is a TransparentUpgradeableProxy, meaning an admin can upgrade the implementation to arbitrary logic, which is a broad, high‑impact privileged control surface. External analysis further notes the proxy implementation includes minting capability with no strong on-chain safeguards, implying centralized ability to alter supply and behavior. This combination of upgrade admin plus mint authority indicates broad/high‑impact privileged functions rather than narrow, well‑scoped controls.</t>
  </si>
  <si>
    <t>How is any emergency pause or kill-switch implemented? Choose: No pause/kill-switch, Controlled pause with multisig/timelock, Centralised pause/kill with minimal checks, Unknown.</t>
  </si>
  <si>
    <t>Centralised pause/kill with minimal checks</t>
  </si>
  <si>
    <t>https://etherscan.io/token/0xdA5e1988097297dCdc1f90D4dFE7909e847CBeF6#code; https://etherscan.io/address/0xdA5e1988097297dCdc1f90D4dFE7909e847CBeF6; https://www.reddit.com/r/u_Meta-Face/comments/1n115pf</t>
  </si>
  <si>
    <t>Escalate where centralised pause/kill can be invoked with minimal checks and at least medium confidence.</t>
  </si>
  <si>
    <t>The WLFI token contract at 0xdA5e…CBeF6 is an OpenZeppelin TransparentUpgradeableProxy. Control of the proxy’s ProxyAdmin can upgrade the implementation at any time via upgradeToAndCall, allowing the admin to deploy and switch to an implementation that freezes or blocks transfers, effectively serving as a centralised kill‑switch. There is no on‑chain timelock or enforced multi‑sig visible at the proxy level, so safeguards beyond this admin are unclear.</t>
  </si>
  <si>
    <t>B3-N</t>
  </si>
  <si>
    <t>≤120-word narrative summary for B.3 (privileged control surface and emergency mechanisms).</t>
  </si>
  <si>
    <t>The WLFI ERC-20 on Ethereum is deployed behind an OpenZeppelin TransparentUpgradeableProxy, meaning a designated proxy admin can upgrade the implementation contract and thereby change token logic, supply mechanics, or introduce new controls without redeploying the address. Etherscan identifies the contract as TransparentUpgradeableProxy, but the specific admin address, role structure, and any pause/blacklist/emergency functions are not clearly documented in public technical materials. World Liberty describes WLFI as “community governed” via proposals and Snapshot-style voting, yet upgrade and emergency authority appears to remain concentrated in the proxy admin and core team, implying significant privileged control and upgrade risk for holders.</t>
  </si>
  <si>
    <t>https://etherscan.io/token/0xdA5e1988097297dCdc1f90D4dFE7909e847CBeF6; https://worldlibertyfinancial.com; https://www.worldlibertyclaims.com</t>
  </si>
  <si>
    <t>2025-11-22; 2025-11-20</t>
  </si>
  <si>
    <t>Summary is based primarily on Etherscan’s verified proxy pattern and WLFI’s own governance messaging; detailed role mappings and concrete emergency opcodes could not be fully derived from public artifacts within time, so some risk characterization remains inferential.</t>
  </si>
  <si>
    <t>C. Operational Security &amp; Key Management</t>
  </si>
  <si>
    <t>Are privileged roles (upgrade keys, governance keys, treasury keys) clearly disclosed in public sources? Choose: Fully disclosed, Partially disclosed, Poorly disclosed/unclear, Unknown.</t>
  </si>
  <si>
    <t>Partially disclosed</t>
  </si>
  <si>
    <t>https://www.panewslab.com/en/articles/002c488f-478c-4085-8c69-fa1660982c4e; https://www.odaily.news/en/post/5206009; https://worldlibertyfinancial.com/wlfi/risk-disclosures</t>
  </si>
  <si>
    <t>2025-08-30; 2025-08-30; 2025-09-24</t>
  </si>
  <si>
    <t>Escalate where privileged-role disclosure is unclear with at least medium confidence.</t>
  </si>
  <si>
    <t>Public materials state that World Liberty Financial governance and protocol control sit with one or more multisig wallets and a designated “Security Multisig” that can take full control during security risks or material adverse events, and that the Delaware corporation ultimately manages the protocol. However, these sources do not clearly disclose specific privileged key addresses, signer identities, thresholds, or detailed treasury key arrangements, so disclosure is structural but incomplete.</t>
  </si>
  <si>
    <t>How centralised is control of privileged keys? Choose: Decentralised (multisig/DAO), Moderately centralised, Highly centralised (1–2 individuals), Unknown.</t>
  </si>
  <si>
    <t>Moderately centralised</t>
  </si>
  <si>
    <t>https://etherscan.io/token/0xdA5e1988097297dCdc1f90D4dFE7909e847CBeF6; https://www.reddit.com/r/u_Meta-Face/comments/1n115pf; https://www.worldlibertyclaims.com/</t>
  </si>
  <si>
    <t>2025-11-01; 2025-08-26; 2025-11-01</t>
  </si>
  <si>
    <t>The WLFI ERC‑20 contract is implemented as a TransparentUpgradeableProxy with a ProxyAdmin, meaning upgrade and minting privileges are concentrated in an admin contract rather than being fully immutable. On-chain analysis by third parties notes a proxy with mint capability and movements of tokens into a team-controlled multisig, indicating control by a relatively small group rather than a broad DAO. Governance for holders is primarily via off‑chain Snapshot, not direct control of privileged keys.</t>
  </si>
  <si>
    <t>What is the scope of privileged functions? Choose: Narrow, Moderate, Broad/high-impact, Unknown.</t>
  </si>
  <si>
    <t>Broad/high-impact</t>
  </si>
  <si>
    <t>https://etherscan.io/token/0xdA5e1988097297dCdc1f90D4dFE7909e847CBeF6; https://governance.worldlibertyfinancial.com/t/proposal-make-wlfi-token-tradable/17772</t>
  </si>
  <si>
    <t>2025-07-04</t>
  </si>
  <si>
    <t>Escalate where privileged function scope is broad/high-impact with at least medium confidence.</t>
  </si>
  <si>
    <t>The WLFI ERC‑20 contract on Ethereum is a TransparentUpgradeableProxy using OpenZeppelin’s proxy pattern, with control via a ProxyAdmin. This design allows the admin to change the implementation contract using upgradeTo/upgradeToAndCall, which can fundamentally alter token logic (e.g., transfers, balances, pausing, minting/burning) and therefore user rights. Such upgrade authority is considered a high‑impact privileged function scope, even if specific current implementation details are not fully surfaced.</t>
  </si>
  <si>
    <t>≤120-word narrative summary for C.1 (privileged roles, centralisation and scope).</t>
  </si>
  <si>
    <t>WLFI’s Ethereum token is deployed as an OpenZeppelin TransparentUpgradeableProxy, with upgrades controlled via a ProxyAdmin-style admin, implying at least one privileged address can change token logic and parameters on-chain.citeturn2view0 Governance is formally community-facing through a proposal and voting portal, but key milestones such as making WLFI tradable and enabling staking are initiated and structured by the core team.citeturn0search7turn0search8 Governance materials indicate founders, team and advisors collectively control a very large share of supply, with unlocks and vesting subject to governance votes, reinforcing significant centralisation of both technical control and token economics in early phases.</t>
  </si>
  <si>
    <t>https://etherscan.io/token/0xdA5e1988097297dCdc1f90D4dFE7909e847CBeF6; https://governance.worldlibertyfinancial.com/t/governance-proposal-enable-wlfi-token-staking-for-enhanced-governance-and-ecosystem-incentives/33917; https://governance.worldlibertyfinancial.com/t/proposal-make-wlfi-token-tradable/17772</t>
  </si>
  <si>
    <t>2025-07-14; 2025-07-04</t>
  </si>
  <si>
    <t>On-chain data confirms an upgradable proxy with admin-controlled upgrades. Official governance forum posts show team-driven proposals and large locked founder/team allocations whose unlocks depend on governance, indicating concentrated influence. I infer centralisation is material but cannot fully verify admin structure (e.g., multisig vs EOA), so confidence is Medium.</t>
  </si>
  <si>
    <t>Is a multisig used for privileged actions? Choose: Yes – main control path, Yes – partial control, No multisig, Unknown.</t>
  </si>
  <si>
    <t>https://etherscan.io/token/0xdA5e1988097297dCdc1f90D4dFE7909e847CBeF6; https://governance.worldlibertyfinancial.com/t/development-of-the-wlfi-concept/50485</t>
  </si>
  <si>
    <t>2025-10-14</t>
  </si>
  <si>
    <t>The WLFI ERC‑20 contract at 0xdA5e…CBeF6 is a TransparentUpgradeableProxy controlled via a ProxyAdmin, meaning upgrades and other privileged actions are gated by an admin contract. However, Etherscan’s public view does not clearly show whether that admin/owner address is a multisig or a single EOA, and official governance materials do not specify the admin structure. Without clear evidence of a multisig owner, the presence or absence of multisig control remains unknown.</t>
  </si>
  <si>
    <t>What is the multisig threshold relative to number of signers? Choose: Strong threshold (≥⅔), Moderate threshold (~50%), Weak threshold (&lt;50%), Unknown.</t>
  </si>
  <si>
    <t>https://www.chaincatcher.com/en/article/2202055; https://www.btcc.com/en-US/square/Blockchainreporter/71924</t>
  </si>
  <si>
    <t>2025-08-30; 2025-01-29</t>
  </si>
  <si>
    <t>Public information confirms that WLFI governance and key holdings are controlled via one or more multisig wallets, but no reliable source discloses the specific multisig configuration (number of signers or signatures required). Without clear documentation of the signer set or threshold, the strength of the multisig cannot be determined, so it must be classified as Unknown for this control.</t>
  </si>
  <si>
    <t>Are multisig signers publicly known or institutionally verifiable? Choose: Fully transparent, Partial transparency, Opaque/unknown signers, Unknown.</t>
  </si>
  <si>
    <t>Opaque/unknown signers</t>
  </si>
  <si>
    <t>https://www.coindesk.com/price/world-liberty-financial; https://info.arkm.com/research/world-liberty-fi-buys-100k-sei; https://www.cryptopolitan.com/world-liberty-financial-ether-coinbase-prime/</t>
  </si>
  <si>
    <t>2025-09-15; 2025-03-13; 2025-02-03</t>
  </si>
  <si>
    <t>Available public sources state that WLFI governance and treasury actions are executed via a Gnosis Safe multisig, but they do not disclose who the specific multisig signers are or whether they are independent institutional custodians. Articles and dashboards refer generally to a “World Liberty Financial multisig” or institutional wallet without naming owners or providing verifiable identity data, so signer transparency is effectively opaque.</t>
  </si>
  <si>
    <t>≤120-word narrative summary for C.2 (multisig strength and signer transparency).</t>
  </si>
  <si>
    <t>On-chain data for 0xdA5e…BeF6 shows it as a standard ERC‑20 without embedded multisig or proxy admin logic; ownership / control is not clearly documented in neutral sources. There is no transparent, well-documented multisig setup (e.g., named signers, threshold, governance process) publicly verifiable from explorers or independent documentation. As a result, key control structure, signer identities, and operational procedures remain opaque, and resilience against single‑point compromise or insider abuse cannot be reliably assessed from available information.</t>
  </si>
  <si>
    <t>I cannot locate reliable documentation or explorer-verified evidence of a multisig or clearly disclosed signer set for this contract; conclusion is based mainly on absence of evidence, so confidence is low.</t>
  </si>
  <si>
    <t>C3.1</t>
  </si>
  <si>
    <t>Is a timelock used for upgrade or parameter-change operations? Choose: Yes – all critical actions, Yes – some actions, No timelock, Unknown.</t>
  </si>
  <si>
    <t>https://etherscan.io/address/0xda5e1988097297dcdc1f90d4dfe7909e847cbef6#code; https://etherscan.io/token/0xda5e1988097297dcdc1f90d4dfe7909e847cbef6; https://governance.worldlibertyfinancial.com/t/urgent-request-for-transparency-on-official-wlfi-token-addresses-and-governance/33759</t>
  </si>
  <si>
    <t>2025-11-24; 2025-11-11; 2025-07-13</t>
  </si>
  <si>
    <t>Escalate where no timelock is used for critical privileged actions with at least medium confidence.</t>
  </si>
  <si>
    <t>The main WLFI Ethereum contract 0xdA5e…CBeF6 is a TransparentUpgradeableProxy using OpenZeppelin’s ProxyAdmin pattern, so upgrades are controlled by the proxy admin. However, Etherscan and public governance/forum materials do not clearly document whether the proxy admin itself is a timelock contract or any timelock parameters. Without confirmed identification of the admin contract type or explicit documentation, the presence or absence of a timelock on upgrade/parameter operations cannot be determined confidently.</t>
  </si>
  <si>
    <t>C3.2</t>
  </si>
  <si>
    <t>If timelocks exist, how long are they? Choose: Adequate duration (≥24h), Short duration (&lt;24h), No timelock or irrelevant, Unknown.</t>
  </si>
  <si>
    <t>https://etherscan.io/token/0xda5e1988097297dcdc1f90d4dfe7909e847cbef6; https://www.criptonoticias.com/mercados/trump-lanzar-criptomoneda-mercado/</t>
  </si>
  <si>
    <t>2025-08-31</t>
  </si>
  <si>
    <t>The main WLFI contract at 0xdA5e…CBeF6 is a TransparentUpgradeableProxy with no explicit timelock parameters visible in the proxy source, and public documentation and tokenomics articles describe supply allocations but do not disclose concrete timelock or vesting durations. Without clear, verifiable data on any lockup schedule, the presence and length of timelocks cannot be determined confidently.</t>
  </si>
  <si>
    <t>C3-N</t>
  </si>
  <si>
    <t>≤120-word narrative summary for C.3 (timelock design and change-control protections).</t>
  </si>
  <si>
    <t>The main WLFI ERC‑20 on Ethereum is deployed as an OpenZeppelin TransparentUpgradeableProxy, meaning token logic can be upgraded via a ProxyAdmin contract rather than being immutable. Etherscan does not disclose any embedded on‑chain timelock or multi‑sig controls on the proxy admin itself, so upgrade timing and permissions appear to be centrally controlled. WLFI’s published governance model relies on off‑chain Snapshot voting and a forum, with the team responsible for implementing approved proposals, which further indicates upgrades and parameter changes remain operationally centralized. Token “Lockbox” and unlocking mechanics are implemented in separate audited contracts focused on vesting and claim schedules, not on constraining contract upgrades or admin powers.</t>
  </si>
  <si>
    <t>https://etherscan.io/token/0xdA5e1988097297dCdc1f90D4dFE7909e847CBeF6; https://worldlibertyfinancial.com/governance; https://blockchainmagazine.net/wlfi-token-sets-unlock-and-trading-timeline/</t>
  </si>
  <si>
    <t>2025-11-20; 2025-11-20; 2025-08-22</t>
  </si>
  <si>
    <t>Summary is based on the verified Etherscan proxy pattern, governance docs showing off‑chain voting with team implementation, and third‑party description of the Lockbox vesting system. Lack of visible admin timelock lowers certainty about change‑control strength, so confidence is Medium rather than High.</t>
  </si>
  <si>
    <t>C4.1</t>
  </si>
  <si>
    <t>How are privileged keys custodied according to public sources? Choose: Institutional or HSM custody, Mixed model, Personal custody (individuals), Unknown.</t>
  </si>
  <si>
    <t>https://skynet.certik.com/projects/world-liberty-financial; https://worldlibertyfinancial.com/wlfi/terms</t>
  </si>
  <si>
    <t>2024-09-17</t>
  </si>
  <si>
    <t>Escalate where privileged keys are held in personal custody with at least medium confidence.</t>
  </si>
  <si>
    <t>Public materials for WLFI, including CertiK’s centralization scan and project page, identify an owner address and owner percentage but provide no detail on how that controlling key or any admin/upgrade keys are actually custodied (e.g., institutional MPC, HSM, or individuals). The project’s own terms focus only on users’ wallet security. In the absence of explicit disclosures, the custody model for privileged keys must be treated as Unknown.</t>
  </si>
  <si>
    <t>C4.2</t>
  </si>
  <si>
    <t>Are there credible historical reports of key compromise relating to the project? Choose: No incidents, Minor incident fully resolved, Significant compromise, Unknown.</t>
  </si>
  <si>
    <t>Significant compromise</t>
  </si>
  <si>
    <t>https://crypto.news/world-liberty-financial-wlfi-wallet-breach-2025/; https://cointelegraph.com/news/wlfi-hack-attempts-blacklisting-token-launch; https://www.gate.com/crypto-wiki/article/what-are-the-security-risks-and-vulnerabilities-of-wlfi-s-smart-contracts</t>
  </si>
  <si>
    <t>2025-11-19; 2025-09-03; 2025-10-01</t>
  </si>
  <si>
    <t>Escalate where significant key compromise has occurred with at least medium confidence.</t>
  </si>
  <si>
    <t>There have been large-scale security incidents affecting WLFI holders. Multiple reports describe phishing and EIP-7702–based exploits that compromised user wallets and drained substantial WLFI holdings. In response, WLFI froze 272 compromised wallets and later executed an emergency burn-and-reallocation of about 166.7M WLFI (~$22M) from hacked addresses to recovery wallets. These user key and wallet compromises are material and ongoing, not minor or fully resolved.</t>
  </si>
  <si>
    <t>C4.3</t>
  </si>
  <si>
    <t>How mature is the project’s incident response process? Choose: Mature documented process, Partial process, Minimal or ad-hoc, Unknown.</t>
  </si>
  <si>
    <t>Partial process</t>
  </si>
  <si>
    <t>https://codeum.org/news/world-liberty-financial-wallet-blacklist-reason; https://www.thecoinrepublic.com/2025/11/20/users-clash-over-world-liberty-financial-decision-to-freeze-funds/; https://worldlibertyfinancial.com/wlfi/risk-disclosures</t>
  </si>
  <si>
    <t>2025-09-07; 2025-11-20</t>
  </si>
  <si>
    <t>There is evidence of a structured but not fully formalized incident response. Following a pre-launch phishing-driven wallet compromise, WLFI froze 272 addresses, later burned and reallocated ~166.7M WLFI, and required KYC plus new secure wallets, indicating coordinated investigation and remediation. The team publicly explained blacklist actions and wallet categories. However, there is no clearly published, comprehensive incident response policy or repeatable playbook, so maturity appears partial rather than fully mature and documented.</t>
  </si>
  <si>
    <t>C4-N</t>
  </si>
  <si>
    <t>≤120-word narrative summary for C.4 (key custody, compromise history and incident response).</t>
  </si>
  <si>
    <t>WLFI uses externally controlled Ethereum wallets for custody; users hold their own keys, but the protocol retains powerful admin controls (e.g., blacklisting and emergency recovery functions). In 2025, WLFI disclosed that 272 user wallets were compromised, largely via phishing and exposed seed phrases rather than smart‑contract bugs. The team froze affected wallets, required renewed KYC, collected new addresses, and on 2025‑11‑19 executed an emergency contract function that burned ~166.667M WLFI from compromised wallets and reallocated tokens to verified recovery wallets. WLFI has since issued multiple scam and phishing warnings and emphasizes use of official channels for incident handling and token recovery.</t>
  </si>
  <si>
    <t>https://crypto.news/world-liberty-financial-wlfi-wallet-breach-2025/; https://parameter.io/world-liberty-financial-executes-emergency-token-recovery-for-wlfi/; https://coincentral.com/wlfi-responds-to-security-breach-freezes-272-wallets-affected/</t>
  </si>
  <si>
    <t>2025-11-20; 2025-11-20; 2025-11-20</t>
  </si>
  <si>
    <t>Summary is based on multiple independent reports describing the 2025 wallet compromises, WLFI’s freeze/blacklist actions, and the November 19 emergency burn-and-reallocation, plus official governance/security communications. No evidence of core contract exploit was found; main risk vector appears to be user-side compromise under a highly centralized admin model.</t>
  </si>
  <si>
    <t>D. Network Security &amp; Consensus Integrity</t>
  </si>
  <si>
    <t>What type of network does the protocol rely on? Choose: Layer-1, Layer-2 (Rollup), App-chain/Subnet, Sidechain, Unknown.</t>
  </si>
  <si>
    <t>Layer-1</t>
  </si>
  <si>
    <t>https://www.criptonoticias.com/mercados/trump-lanzar-criptomoneda-mercado/; https://blockchain.news/flashnews/wlfi-airdrop-on-ethereum-eth-official-contract-address-0xda5e1988097297dcdc1f90d4dfe7909e847cbef6-spam-alert-and-gas-fee-surge-risk; https://etherscan.io/token/0xda5e1988097297dcdc1f90d4dfe7909e847cbef6</t>
  </si>
  <si>
    <t>2025-08-31; 2025-08-31</t>
  </si>
  <si>
    <t>WLFI’s official token contract at 0xdA5e1988097297dCdc1f90D4dFE7909e847CBeF6 is identified in multiple sources as an Ethereum-based token, and airdrop/claim activity is explicitly described as occurring on Ethereum. Ethereum is a base Layer-1 network, so the protocol relies on a Layer-1 chain rather than a rollup, sidechain, or app-chain.</t>
  </si>
  <si>
    <t>How is the underlying chain’s security reputation described in credible public sources? (Answer with one of: "High - robust history", "Moderate", "Low or repeated issues", or "Unknown".)</t>
  </si>
  <si>
    <t>High - robust history</t>
  </si>
  <si>
    <t>https://etherscan.io/address/0xdA5e1988097297dCdc1f90D4dFE7909e847CBeF6; https://ethereum.org/en/developers/docs/</t>
  </si>
  <si>
    <t>Escalate where the underlying chain has low security reputation or repeated issues with at least medium confidence.</t>
  </si>
  <si>
    <t>The WLFI contract provided is deployed on Ethereum mainnet, as shown by its Etherscan listing. Ethereum is widely regarded in credible public sources as a mature, highly secure smart-contract platform, with years of operation, large validator set, and resilience against major consensus failures, giving it a high security reputation despite occasional contract-level exploits by individual projects.</t>
  </si>
  <si>
    <t>Is there any credible chain-level audit, formal verification or security analysis? Choose: Yes – formal/high quality audit, Yes – limited audit, No audit, Unknown.</t>
  </si>
  <si>
    <t>Yes – limited audit</t>
  </si>
  <si>
    <t>https://blog.mexc.com/id/what-is-wlfi/; https://yellow.com/asset/wlfi; https://www.aicoin.com/en/article/424022</t>
  </si>
  <si>
    <t>2025-07-01; 2025-10-01; 2025-07-15</t>
  </si>
  <si>
    <t>Multiple third-party writeups (MEXC, Yellow.com, MarketsWiki/AiCoin) state that World Liberty Financial’s smart contracts, including the WLFI protocol, have undergone security audits by firms such as Blocksec, Zokyo, Fuzzland, and PeckShield. However, I could not locate public, detailed audit reports or formal verification artifacts for the WLFI token contract itself, and Etherscan flags no submitted audit, so I classify this as a limited rather than fully evidenced high-quality audit.</t>
  </si>
  <si>
    <t>≤120-word narrative summary for D.1 (base network security characteristics).</t>
  </si>
  <si>
    <t>WLFI’s primary contract is an ERC‑20 token on Ethereum mainnet, inheriting Ethereum’s proof‑of‑stake security model. Ethereum is secured by tens of thousands of validators who stake ETH and are subject to slashing for equivocation or other provable misbehavior, making large‑scale attacks economically costly. Finality requires ≥66% of staked ETH, and reverting finalized blocks would burn a substantial portion of attacker stake. However, Ethereum faces residual risks from staking centralization (large pools and liquid staking providers), MEV-driven reordering, and periodic congestion with high gas fees, which can affect WLFI holders’ execution costs and UX but not typically the integrity of on-chain balances.</t>
  </si>
  <si>
    <t>https://www.valuewalk.com/cryptocurrency/about-world-liberty-financial/; https://ethereum.org/developers/docs/consensus-mechanisms/pos/; https://ethereum.org/en/developers/docs/consensus-mechanisms/</t>
  </si>
  <si>
    <t>2025-11-20; 2025-10-21; 2025-10-15</t>
  </si>
  <si>
    <t>Etherscan and third‑party research identify WLFI as an ERC‑20 on Ethereum. Ethereum’s own documentation describes its proof‑of‑stake validator, slashing, and finality model, including high economic cost for attacks and some centralization risks via large staking providers. This supports describing strong base-layer security with known, bounded structural risks that mainly impact user costs and UX rather than transaction integrity.</t>
  </si>
  <si>
    <t>How concentrated is the validator or sequencer set? Choose: Low concentration (top 5 &lt;25%), Moderate (25–50%), High concentration (top 5 &gt;50%), Unknown.</t>
  </si>
  <si>
    <t>High concentration (top 5 &gt;50%)</t>
  </si>
  <si>
    <t>https://techcrunch.com/2022/09/14/lido-coinbase-kraken-and-binance-stake-majority-of-eth-does-that-matter/; https://www.datawallet.com/crypto/ethereum-staking-statistics-and-trends</t>
  </si>
  <si>
    <t>2022-09-14; 2025-08-01</t>
  </si>
  <si>
    <t>Escalate where validator/sequencer power is highly concentrated with at least medium confidence.</t>
  </si>
  <si>
    <t>WLFI is an ERC-20 token on Ethereum, so its validator decentralization depends on Ethereum’s proof‑of‑stake set. Ethereum staking is significantly concentrated: Lido, Coinbase, Kraken, and Binance together controlled over half of all staked ETH, and more recent data still shows Lido plus major CEXs holding very large aggregate shares. This implies the top 5 validator entities secure well over 50% of stake, so the validator set is highly concentrated.</t>
  </si>
  <si>
    <t>Have there been credible reports of validator or sequencer censorship (e.g., OFAC filtering)? Choose: No censorship reported, Minor/isolated incidents, Documented or sustained censorship, Unknown.</t>
  </si>
  <si>
    <t>No censorship reported</t>
  </si>
  <si>
    <t>https://coinmarketcap.com/currencies/world-liberty-financial-wlfi/; https://en.wikipedia.org/wiki/World_Liberty_Financial</t>
  </si>
  <si>
    <t>2025-11-25; 2025-11-11</t>
  </si>
  <si>
    <t>Escalate where censorship is documented and confidence is at least medium.</t>
  </si>
  <si>
    <t>WLFI is an ERC‑20 governance token on Ethereum and other chains, relying on those networks’ existing validator and sequencer sets. Public reporting on WLFI and its ecosystem focuses on fundraising, governance, and political/ethical concerns, with no credible evidence of WLFI‑specific validator or sequencer censorship such as OFAC-based filtering. General Ethereum censorship debates do not appear tied uniquely to WLFI at this time.</t>
  </si>
  <si>
    <t>How reliable is the validator/sequencer set based on public uptime data? Choose: High reliability, Moderate, Low reliability or repeated liveness failures, Unknown.</t>
  </si>
  <si>
    <t>World Liberty Financial (WLFI) appears to be an ERC-20 style token with no clear evidence of operating its own L1, L2, appchain, or proprietary sequencer/validator set. Public, third-party uptime dashboards or detailed reliability metrics for any dedicated WLFI validator or sequencer infrastructure could not be located, so the reliability of any such set cannot be assessed from available data.</t>
  </si>
  <si>
    <t>≤120-word narrative summary for D.2 (validator/sequencer decentralisation, censorship and reliability).</t>
  </si>
  <si>
    <t>WLFI is primarily an ERC‑20 governance token on Ethereum, with additional deployments on Solana and BNB Smart Chain, so validator/sequencer decentralisation and censorship resistance are inherited from those base networks rather than run by WLFI itself. Ethereum’s large, permissionless validator set offers comparatively strong censorship resistance and reliability, while Solana and BNB Chain use more concentrated, quasi‑permissioned validator sets, increasing governance and regulatory capture risk. WLFI transfers and governance are also exposed to centralisation and outage risks in cross‑chain bridges, off‑chain voting (e.g. Snapshot), and centralised exchanges or custodians. Censorship of WLFI/ USD1 would most likely arise from base‑chain or intermediary policies, not bespoke protocol controls.</t>
  </si>
  <si>
    <t>https://en.wikipedia.org/wiki/World_Liberty_Financial; https://www.criptonoticias.com/mercados/trump-lanzar-criptomoneda-mercado/</t>
  </si>
  <si>
    <t>2025-10-15; 2025-08-30</t>
  </si>
  <si>
    <t>Public sources indicate WLFI is issued on Ethereum with activity on Solana and BNB Chain, so its validator and censorship properties directly follow these L1s. WLFI does not appear to run its own validator set; governance uses standard DeFi tooling (Snapshot, bridges). Assessment therefore focuses on well‑known decentralisation profiles of Ethereum vs Solana/BNB and typical bridge/intermediary risk. Some architectural details may still be evolving, so confidence is medium.</t>
  </si>
  <si>
    <t>D3.1</t>
  </si>
  <si>
    <t>How significant is MEV exploitation risk on the underlying network? Choose: Low MEV exposure, Moderate exposure, High MEV exposure, Unknown.</t>
  </si>
  <si>
    <t>High MEV exposure</t>
  </si>
  <si>
    <t>https://etherscan.io/token/0xda5e1988097297dcdc1f90d4dfe7909e847cbef6; https://docs.flashbots.net/; https://ethereum.org/en/developers/docs/mev/</t>
  </si>
  <si>
    <t>The primary WLFI contract provided is deployed on Ethereum, a mature DeFi/L1 ecosystem with intense arbitrage, liquid DEX activity, and well-developed MEV infrastructure (searchers, builders, relays). This results in significant ongoing risk of sandwiching, frontrunning, and other MEV behaviors for users interacting with WLFI on-chain, so MEV exposure is best classified as high.</t>
  </si>
  <si>
    <t>D3.2</t>
  </si>
  <si>
    <t>How strong are the chain’s finality guarantees? Choose: Strong finality, Moderate finality, Weak finality/rollback risk, Unknown.</t>
  </si>
  <si>
    <t>Strong finality</t>
  </si>
  <si>
    <t>https://www.ccn.com/news/crypto/world-liberty-financial-wlfi-token-launch-key-dates-and-full-details/; https://worldlibertyfinancial.com/; https://ethereum.org/en/developers/docs/consensus-mechanisms/pos/</t>
  </si>
  <si>
    <t>2025-08-25; 2025-09-15; 2024-06-01</t>
  </si>
  <si>
    <t>Escalate where weak finality creates material rollback/reorg risk with at least medium confidence.</t>
  </si>
  <si>
    <t>WLFI’s governance token is deployed on Ethereum mainnet, and bridging to other networks does not change the base chain where the core contract resides. Ethereum’s proof-of-stake consensus provides economic finality via justified/finalized checkpoints; reorgs beyond finalization are considered extremely unlikely without large-scale validator slashing. This is generally classified as strong finality for settlement risk purposes.</t>
  </si>
  <si>
    <t>D3.3</t>
  </si>
  <si>
    <t>Have there been credible historical chain reorg or rollback events? Choose: No reorgs, Minor reorgs, Major or repeated reorgs, Unknown.</t>
  </si>
  <si>
    <t>Escalate where major or repeated reorgs are documented with at least medium confidence.</t>
  </si>
  <si>
    <t>I could not locate any protocol-level or token-specific documentation indicating historical chain reorganizations or rollbacks related specifically to the WLFI token contract. WLFI is deployed on Ethereum mainnet, which has experienced only routine short-lived reorgs typical of large PoS chains, but I found no clear data isolating reorg risk or events specific to this token. Due to lack of direct evidence, the level of historical reorg or rollback impact on WLFI must be treated as Unknown.</t>
  </si>
  <si>
    <t>D3-N</t>
  </si>
  <si>
    <t>≤120-word narrative summary for D.3 (MEV exposure, finality guarantees and reorg history).</t>
  </si>
  <si>
    <t>WLFI’s primary contract is an ERC‑20 on Ethereum and therefore inherits Ethereum’s MEV, finality, and reorg profile. Ethereum PoS uses checkpoint-based finality, with blocks economically finalized after roughly two epochs (~13–15 minutes), making deep reorgs beyond a few slots extremely rare in normal conditions. No public evidence suggests WLFI-specific reorgs or consensus incidents to date. However, like all ERC‑20s, WLFI transactions and DEX trades are exposed to Ethereum MEV (e.g., sandwiching, arbitrage) via proposer‑builder separation and MEV‑Boost, so users and integrators should assume standard Ethereum-level MEV risk. WLFI deployments or bridged versions on other chains will separately inherit those networks’ MEV and finality properties.</t>
  </si>
  <si>
    <t>https://www.criptonoticias.com/mercados/trump-lanzar-criptomoneda-mercado/; https://ethereum.org/en/developers/docs/consensus-mechanisms/pos/; https://github.com/flashbots/mev-boost</t>
  </si>
  <si>
    <t>2025-09-01; 2023-10-01; 2024-06-01</t>
  </si>
  <si>
    <t>Public sources confirm WLFI as an ERC‑20 on Ethereum, so its consensus, MEV, and reorg characteristics are those of Ethereum PoS. Ethereum finality and MEV-Boost behavior are well-documented, and there are no reports of WLFI-specific reorgs, so standard Ethereum-level risk assumptions are appropriate.</t>
  </si>
  <si>
    <t>D4.1</t>
  </si>
  <si>
    <t>Have there been historical consensus failures (chain halts, partition events)? Choose: No failures, Minor/short-lived event, Major or repeated failures, Unknown.</t>
  </si>
  <si>
    <t>Minor/short-lived event</t>
  </si>
  <si>
    <t>https://etherscan.io/token/0xdA5e1988097297dCdc1f90D4dFE7909e847CBeF6; https://ethereum.org/en/history/#dao-fork; https://blog.ethereum.org/2023/05/18/finality-incident-analysis</t>
  </si>
  <si>
    <t>2016-07-20; 2023-05-18</t>
  </si>
  <si>
    <t>WLFI is an ERC-20 token on Ethereum, so relevant consensus history is that of Ethereum. Ethereum has generally been stable without prolonged chain halts, but it has experienced brief consensus/finality issues, such as the 2016 DAO-related chain split and short-lived beacon chain finality disruptions in May 2023. These were resolved quickly and did not result in long-term network failure, fitting a minor/short-lived classification.</t>
  </si>
  <si>
    <t>D4.2</t>
  </si>
  <si>
    <t>Have there been credible chain-level security breaches (e.g., exploited consensus bug, native token compromise)? Choose: No breaches, Minor issue fully resolved, Significant breach, Unknown.</t>
  </si>
  <si>
    <t>No breaches</t>
  </si>
  <si>
    <t>https://en.wikipedia.org/wiki/World_Liberty_Financial; https://coinmarketcap.com/currencies/world-liberty-financial-wlfi/</t>
  </si>
  <si>
    <t>WLFI is deployed on established L1 networks (primarily Ethereum) via standard token contracts, per public listings and protocol descriptions. A review of recent coverage and references to WLFI shows no evidence of an exploited consensus bug, native token compromise, or protocol-level hack affecting WLFI or its underlying chains. Reported issues relate instead to market performance and user-level risks (e.g., phishing), not chain-level security failures.</t>
  </si>
  <si>
    <t>D4.3</t>
  </si>
  <si>
    <t>Combined escalation for chain-level failures: Escalate where both (a) major consensus failures or major reorgs and (b) a significant chain-level breach are documented with medium/high confidence.</t>
  </si>
  <si>
    <t>Escalate only where major consensus/reorg failures and a significant chain-level breach are both documented with at least medium confidence.</t>
  </si>
  <si>
    <t>WLFI appears to be an ERC-20-style token on Ethereum. While Ethereum has experienced occasional chain reorganizations and client bugs historically, there is no evidence of a combined event where (a) major consensus failures or major reorgs and (b) a significant chain-level breach affecting consensus security are both documented with medium/high confidence. Therefore this combined escalation criterion is not met for the chain WLFI relies on.</t>
  </si>
  <si>
    <t>D4-N</t>
  </si>
  <si>
    <t>≤120-word narrative summary for D.4 (historical consensus failures and chain-level breaches).</t>
  </si>
  <si>
    <t>No significant historical consensus failures or chain-level breaches have been identified for WLFI’s primary deployment network (Ethereum mainnet) or for the WLFI token contract itself. Ethereum has experienced isolated consensus bugs and forks in the past, but none specifically impacting this contract address or causing project-specific chain reorgs, double-spends, or protocol-level exploits of WLFI. Current risk from historical L1 consensus failures therefore appears limited to general Ethereum systemic risk rather than WLFI-specific incidents.</t>
  </si>
  <si>
    <t>I found no evidence of WLFI-specific consensus failures or chain-level breaches, but absence of evidence is not proof. Limited public footprint for this token and reliance on general Ethereum security history justify a Low confidence rating rather than Medium or High.</t>
  </si>
  <si>
    <t>E. Protocol-Level Resilience &amp; Infrastructure Security</t>
  </si>
  <si>
    <t>How diversified are the RPC endpoints the protocol relies on? Choose: Highly diversified (multiple providers), Moderately diversified, Single provider dependency, Unknown.</t>
  </si>
  <si>
    <t>https://worldlibertyfinancial.com/; https://coinmarketcap.com/currencies/world-liberty-financial-wlfi/</t>
  </si>
  <si>
    <t>Public materials for World Liberty Financial and WLFI focus on tokenomics, governance, supported chains, and bridging, but do not disclose which RPC or node infrastructure providers are used, nor whether multiple providers are employed. Without explicit documentation or technical transparency on RPC configuration, the degree of RPC endpoint diversification cannot be determined from available sources.</t>
  </si>
  <si>
    <t>Based on credible public sources, how reliable have RPC endpoints been historically? Choose: High reliability, Moderate reliability, Repeated outages/instability, Unknown.</t>
  </si>
  <si>
    <t>Moderate reliability</t>
  </si>
  <si>
    <t>https://blog.infura.io/nov-11-2020-incident-post-mortem; https://status.alchemy.com</t>
  </si>
  <si>
    <t>2020-11-17</t>
  </si>
  <si>
    <t>Public blockchain RPC infrastructure has generally shown moderate reliability: major providers like Infura and Alchemy offer high uptime SLAs, but there have been notable outages that disrupted dApp and wallet access (e.g., Infura’s Ethereum mainnet outage in Nov 2020 and other sporadic RPC issues across ecosystems). This history suggests RPC endpoints are usually reliable but not consistently enough to be deemed “high reliability.”</t>
  </si>
  <si>
    <t>Is the protocol’s infrastructure decentralised (community nodes/public endpoints) or centralised (project-hosted)? Choose: Decentralised, Partially decentralised, Centralised infra, Unknown.</t>
  </si>
  <si>
    <t>Decentralised</t>
  </si>
  <si>
    <t>https://www.coindesk.com/price/world-liberty-financial/; https://www.coindesk.com/price/world-liberty-financial/platforms; https://www.coingecko.com/en/coins/world-liberty-financial</t>
  </si>
  <si>
    <t>2024-09-29; 2024-09-29</t>
  </si>
  <si>
    <t>Escalate where infrastructure is centralised with at least medium confidence.</t>
  </si>
  <si>
    <t>WLFI is issued as standard tokens on existing public blockchains (ERC‑20 on Ethereum, BEP‑20 on BNB Chain, SPL on Solana). These networks are secured by large, open validator/miner sets and community‑run nodes rather than project‑controlled infrastructure. There is no evidence of a proprietary or permissioned WLFI chain with project‑hosted consensus, so the protocol’s core infrastructure relies on decentralised public networks.</t>
  </si>
  <si>
    <t>≤120-word narrative summary for E.1 (RPC provider diversity, reliability and infra decentralisation).</t>
  </si>
  <si>
    <t>WLFI is an ERC‑20 governance token deployed on Ethereum and bridged to BNB Smart Chain and Solana, so its core settlement and RPC layer inherit those networks’ relatively decentralized validator sets and broad RPC provider ecosystems. This multi-chain design offers redundancy: if one chain’s RPC or infra is degraded, transfers and governance can still occur on others, subject to bridge availability. However, WLFI’s own infrastructure (official bridge, web app, governance frontend and APIs) appears centrally hosted by the project, creating potential single points of failure and upgrade risk even though the underlying L1/L2 infrastructure is diversified.</t>
  </si>
  <si>
    <t>https://worldlibertyfinancial.com/; https://www.youtocoin.com/exchange/announcement/6178; https://www.geckoterminal.com/solana/pools/DGZNiskGWYYUkpMVpPVt6rr1NXKVMjU6pNpp1bNSPiUm</t>
  </si>
  <si>
    <t>2025-11-25; 2025-08-29</t>
  </si>
  <si>
    <t>Assessment infers infra decentralisation from WLFI’s use of major public chains (Ethereum, BNB Smart Chain, Solana) that themselves have diverse RPC/node providers, but WLFI-specific tooling is centrally hosted, limiting end‑to‑end decentralisation. Direct data on their backend/RPC arrangements is not disclosed, so confidence is medium rather than high.</t>
  </si>
  <si>
    <t>How diversified is the node client ecosystem? Choose: High diversity (multiple clients), Moderate diversity, Single dominant client (&gt;90%), Unknown.</t>
  </si>
  <si>
    <t>WLFI is an ERC-20-style token on Ethereum, so its node client diversity depends on the broader Ethereum network (which uses several major clients like Geth, Nethermind, Besu, and Erigon). However, I cannot reliably determine the current distribution of those clients or the share of any single client from available data with sufficient precision for this specific due-diligence label. As a result, I classify the client ecosystem diversity for this token as Unknown.</t>
  </si>
  <si>
    <t>How actively maintained are the main node clients? Choose: Actively maintained, Moderately maintained, Poorly maintained/infrequent updates, Unknown.</t>
  </si>
  <si>
    <t>https://www.coindesk.com/price/world-liberty-financial; https://www.coindesk.com/price/world-liberty-financial/platforms; https://worldlibertyfinancial.com</t>
  </si>
  <si>
    <t>2025-11-24</t>
  </si>
  <si>
    <t>WLFI is an ERC‑20/BEP‑20/SPL token deployed on existing networks (Ethereum, BNB Chain, Solana), not a standalone L1/L2 with its own consensus or full-node client software. Public materials and linked repositories focus on the token, USD1 stablecoin metadata, governance, and exchange listings, and do not document any dedicated WLFI node client implementations or their release cadence. Therefore the maintenance status of any project-specific node software, if it exists, cannot be determined from available sources.</t>
  </si>
  <si>
    <t>Have audits or technical reviews identified major runtime-level vulnerabilities in node clients? Choose: No significant issues, Some minor issues, Major or recurring client bugs, Unknown.</t>
  </si>
  <si>
    <t>https://en.wikipedia.org/wiki/World_Liberty_Financial; https://www.ccn.com/news/crypto/world-liberty-financial-wlfi-token-launch-key-dates-and-full-details/; https://coincub.com/world-liberty-financial-wlfi/</t>
  </si>
  <si>
    <t>2025-11-10; 2025-08-29; 2025-04-01</t>
  </si>
  <si>
    <t>Escalate where major or recurring client bugs are documented with at least medium confidence.</t>
  </si>
  <si>
    <t>WLFI is primarily an Ethereum-based governance token; there is no evidence it ships its own independent node client software. Public materials and third‑party analyses focus on tokenomics, governance, and reserve audits, and explicitly note the absence of technical documentation or smart‑contract audits. I found no credible audits or reviews of any WLFI-specific node client, so runtime-level client vulnerabilities cannot be assessed.</t>
  </si>
  <si>
    <t>≤120-word narrative summary for E.2 (client diversity, maintenance and node software risk).</t>
  </si>
  <si>
    <t>WLFI is implemented primarily as an ERC‑20 smart contract on Ethereum, with bridging to other networks; it does not run its own consensus or custom node clients, so base client-diversity risk is largely inherited from Ethereum and other underlying L1s. These ecosystems generally have multiple mature client implementations, but WLFI-specific infrastructure (bridge, lockbox, governance front ends) appears to be maintained by a single corporate team, creating operational concentration risk. There is no public evidence of independent WLFI node or indexer operators beyond standard exchange and DeFi integrations, so maintenance, upgrade coordination, and incident response are likely centralized, increasing dependency on the core developer entity and its security practices.</t>
  </si>
  <si>
    <t>https://en.wikipedia.org/wiki/World_Liberty_Financial; https://www.valuewalk.com/cryptocurrency/about-world-liberty-financial/; https://worldlibertyfinancial.com/</t>
  </si>
  <si>
    <t>2025-11-10; 2025-09-15</t>
  </si>
  <si>
    <t>Public information shows WLFI as an ERC‑20 on Ethereum with multichain integrations, not a separate consensus network; node/client diversity therefore depends on underlying L1s. WLFI infrastructure and governance are described as centrally developed, with no sign of independent client software or distributed maintenance teams, implying operational centralization and correlated failure risk. Evidence is indirect but consistent across neutral sources.</t>
  </si>
  <si>
    <t>Are there credible sources describing DDoS resilience of the protocol/network? Choose: Strong resilience, Moderate resilience, Weak or unprotected, Unknown.</t>
  </si>
  <si>
    <t>No whitepaper, technical documentation, or independent security research could be found that discusses DDoS resilience, rate limiting, or anti-spam/anti-bot mechanisms for the World Liberty Financial protocol or its WLFI token beyond the standard protections of underlying chains like Ethereum, Solana, or BNB Smart Chain. Available sources focus on token sales, governance, and products, not network-level security, so DDoS resilience must be treated as Unknown.</t>
  </si>
  <si>
    <t>Does the project or chain operate any public monitoring, anomaly detection or incident alerting? Choose: Comprehensive monitoring, Partial monitoring, Limited or no monitoring, Unknown.</t>
  </si>
  <si>
    <t>Partial monitoring</t>
  </si>
  <si>
    <t>https://www.worldlibertyunlock.com/; https://www.worldliberty.vc/; https://crypto.news/world-liberty-financial-wlfi-wallet-breach-2025/</t>
  </si>
  <si>
    <t>2025-10-15; 2025-11-10; 2025-11-20</t>
  </si>
  <si>
    <t>World Liberty Financial states that wallet address monitoring runs in the background for WLFI unlock/claim flows as a standard security measure. It also markets an AI analytics product that provides real-time transaction monitoring and instant alerts on abnormal activity. Recent breach coverage shows the team detected compromised wallets and executed emergency contract actions. This indicates active but project‑specific monitoring, not a fully documented, comprehensive security/alerting framework.</t>
  </si>
  <si>
    <t>Is critical off-chain infrastructure hardened or dependent on a single cloud provider? Choose: Hardened/multi-cloud, Partially hardened, Single-cloud or poorly hardened, Unknown.</t>
  </si>
  <si>
    <t>https://scamminder.com/websites/worldlibertyfinancial.com/; https://worldlibertyfinancial.com/</t>
  </si>
  <si>
    <t>2024-10-28; 2025-11-25</t>
  </si>
  <si>
    <t>Escalate where critical infrastructure is single-cloud or poorly hardened with at least medium confidence.</t>
  </si>
  <si>
    <t>Public materials for World Liberty Financial and WLFI describe products, governance, and token mechanics but provide no architectural detail on hosting, redundancy, or cloud-provider strategy. A third‑party scan only reveals the main website fronted by Cloudflare, which is insufficient to infer the design or hardening of critical off‑chain infrastructure such as APIs, wallets, or governance backends. As a result, the level of hardening vs. single‑cloud dependence cannot be determined.</t>
  </si>
  <si>
    <t>≤120-word narrative summary for E.3 (DDoS resilience, monitoring and infra hardening).</t>
  </si>
  <si>
    <t>Public information on WLFI’s DDoS resilience, network monitoring, and infrastructure hardening is sparse. Available disclosures focus on generic protocol and infrastructure risks, acknowledging potential weaknesses in core software and heavy dependence on third‑party infrastructure such as RPC nodes, APIs, and wallet services, whose outages or attacks could disrupt access to the protocol. WLFI’s main demonstrated controls are reactive and governance-heavy (on‑chain blacklisting, emergency token freezes and reallocation following phishing‐related compromises), rather than detailed, transparent hardening of its own perimeter, redundancy, or observability stack. Overall, the project’s DDoS posture and operational monitoring practices remain unclear from public sources, representing a material information gap for technical‑risk assessment.</t>
  </si>
  <si>
    <t>https://worldlibertyfinancial.com/wlfi/risk-disclosures; https://www.coinglass.com/news/687823; https://www.coinglass.com/news/749665</t>
  </si>
  <si>
    <t>2025-09-03; 2025-11-19</t>
  </si>
  <si>
    <t>No technical documentation describing WLFI’s DDoS protection, observability, or infra hardening is available; only high-level risk warnings and incident responses are disclosed, so assessment relies on inference and identified gaps.</t>
  </si>
  <si>
    <t>Have there been major or repeated RPC outages affecting the protocol? Choose: No major outages, Minor/isolated outage, Major or repeated outages, Unknown.</t>
  </si>
  <si>
    <t>https://coincentral.com/wlfi-responds-to-security-breach-freezes-272-wallets-affected/; https://www.reuters.com/business/finance/trump-crypto-backer-justin-sun-says-his-world-liberty-tokens-frozen-2025-09-05/; https://en.wikipedia.org/wiki/World_Liberty_Financial</t>
  </si>
  <si>
    <t>2025-11-19; 2025-09-05; 2025-11-10</t>
  </si>
  <si>
    <t>Public reporting on WLFI focuses on governance, wallet freezes, token unlock controversies, and a recent security breach with emergency contract actions, but does not clearly describe RPC/node outages or sustained unavailability of core network access. Given the protocol’s multi-chain footprint and limited technical status transparency, it is not possible to reliably confirm whether major or repeated RPC outages have occurred.</t>
  </si>
  <si>
    <t>Have there been any credible infrastructure-level breaches (DNS hijack, cloud compromise, API capture)? Choose: No incidents, Minor issue fully resolved, Significant breach, Unknown.</t>
  </si>
  <si>
    <t>No incidents</t>
  </si>
  <si>
    <t>https://codeum.org/news/wlfi-token-launch-scam-warnings; https://meme-insider.com/en/article/wlfi-token-guide-world-liberty-financial-unlocks-listings-and-usd1/; https://www.reuters.com/business/finance/trump-backed-crypto-firm-is-planning-stablecoin-audit-new-app-2025-06-25/</t>
  </si>
  <si>
    <t>2025-09-01; 2025-09-10; 2025-06-25</t>
  </si>
  <si>
    <t>Public reporting around World Liberty Financial focuses on governance, token sales, treasury moves, wallet blacklisting and numerous scams/impersonations (fake WLFI tokens, phishing, social media account hacks). These are user- or ecosystem-level threats, not documented DNS, cloud, or core API compromises of WLFI’s own infrastructure. In the absence of credible reports of such infra‑level breaches, the status is assessed as no known incidents to date.</t>
  </si>
  <si>
    <t>Combined escalation for infrastructure risk: Escalate where both (a) major/repeated RPC outages and (b) a significant infrastructure-level breach are documented with medium/high confidence.</t>
  </si>
  <si>
    <t>https://www.mexc.co/news/177879; https://www.thecoinrepublic.com/2025/11/20/users-clash-over-world-liberty-financial-decision-to-freeze-funds/; https://www.cryptotimes.io/2024/10/16/world-liberty-financial-token-launch-hits-tech-issues/</t>
  </si>
  <si>
    <t>2025-11-19; 2025-11-20; 2024-10-16</t>
  </si>
  <si>
    <t>Escalate only where major/repeated RPC outages and a significant infra breach are both documented with at least medium confidence.</t>
  </si>
  <si>
    <t>There is credible evidence of a significant infrastructure‑level security incident: pre‑launch phishing and wallet compromise affecting 272 addresses, followed by an emergency burn and reallocation via smart‑contract controls. However, available reporting describes website crashes and UX issues rather than major or repeated blockchain/RPC infrastructure outages. Since both outage and breach conditions are not clearly met, a combined infrastructure‑risk escalation is not triggered.</t>
  </si>
  <si>
    <t>≤120-word narrative summary for E.4 (historical RPC outages and infra compromises).</t>
  </si>
  <si>
    <t>No publicly documented, protocol-level RPC outages or confirmed infrastructure compromises have been attributed directly to World Liberty Financial or the WLFI token contracts as of November 2025. Available incident reports instead involve phishing-based wallet drains and fake or impersonator WLFI tokens, which target end users rather than the project’s core node or backend infrastructure. The team has also used blacklist functionality to freeze certain wallets, and community members have raised concerns about contract transparency and multi-chain governance, but these relate to centralization and operational risk, not to past RPC downtime or core infra breaches.</t>
  </si>
  <si>
    <t>https://www.reddit.com/r/u_ksalab/comments/1n6kezs; https://codeum.org/news/fake-150m-wlfi-liquidity-claim-debunked; https://governance.worldlibertyfinancial.com/t/urgent-request-for-transparency-on-official-wlfi-token-addresses-and-governance/33759</t>
  </si>
  <si>
    <t>2025-09-02; 2025-07-07; 2025-07-13</t>
  </si>
  <si>
    <t>Searches show no evidence of WLFI RPC outages or core infra hacks; reported issues are phishing exploits, fake-token scams, wallet blacklisting, and transparency concerns rather than backend compromise. Absence of evidence is not proof, so confidence is Medium.</t>
  </si>
  <si>
    <t>A. Liquidity Depth &amp; Execution Quality</t>
  </si>
  <si>
    <t>How deep is the order-book on primary venues relative to typical trade sizes? Choose: Deep (low market impact), Moderate, Thin (high market impact), Unknown.</t>
  </si>
  <si>
    <t>Deep (low market impact)</t>
  </si>
  <si>
    <t>https://coinmarketcap.com/currencies/world-liberty-financial-wlfi/; https://www.coindesk.com/markets/2025/09/12/world-liberty-financial-token-holds-steady-as-community-backs-buyback-and-burn-plan; https://www.thecoinrepublic.com/2025/09/01/wlfi-token-surpasses-7-5-billion-derivatives-volume-in-secondary-market-debut/</t>
  </si>
  <si>
    <t>2025-11-25; 2025-09-12; 2025-09-01</t>
  </si>
  <si>
    <t>WLFI is listed on multiple major centralized exchanges (e.g., Binance, Kraken, KuCoin, MEXC) and trades across spot and derivatives markets. Reported daily spot volume is in the hundreds of millions of USD, and derivatives volume exceeded $7.5B at launch, indicating substantial liquidity and active market-making. Relative to typical retail and even institutional clip sizes, this implies deep order books with generally low price impact for standard trades, though intraday volatility remains a risk.</t>
  </si>
  <si>
    <t>What is the estimated price slippage on a standard benchmark trade size on primary venues? Choose: Low slippage (≤0.5%), Moderate slippage (0.5–2%), High slippage (&gt;2%), Unknown.</t>
  </si>
  <si>
    <t>Low slippage (≤0.5%)</t>
  </si>
  <si>
    <t>https://coinmarketcap.com/currencies/world-liberty-financial-wlfi/; https://www.gemini.com/prices/world-liberty-financial; https://nypost.com/business/how-to-buy-wlfi-token/</t>
  </si>
  <si>
    <t>2025-11-25; 2025-09-10</t>
  </si>
  <si>
    <t>Escalate where high slippage (&gt;2% on benchmark size) is observed with at least medium confidence, indicating difficulty in exiting positions.</t>
  </si>
  <si>
    <t>WLFI is listed on major centralized exchanges (e.g., Binance, Bybit, Gemini) and shows substantial reported daily trading volume (~$200–250M) and multibillion‑dollar market cap, implying relatively deep order books on primary venues. Under a standard benchmark trade size typically used for liquid large‑cap tokens, this liquidity profile suggests price impact is likely within a ≤0.5% range rather than in the moderate or high slippage bands.</t>
  </si>
  <si>
    <t>What is the typical bid-ask spread on main trading pairs during normal market conditions? Choose: Tight (≤0.10%), Moderate (0.10–0.50%), Wide (&gt;0.50%), Unknown.</t>
  </si>
  <si>
    <t>Wide (&gt;0.50%)</t>
  </si>
  <si>
    <t>https://blockchain.news/flashnews/wlfi-price-alert-hyperliquid-pre-market-spikes-to-0-3903-usd-vs-binance-0-2673-usd-46-cross-venue-spread-flags-high-slippage-risk; https://www.ainvest.com/news/strategic-implications-wlfi-token-movements-binance-deposit-2509/</t>
  </si>
  <si>
    <t>2025-08-27; 2025-09-02</t>
  </si>
  <si>
    <t>Available data show highly unstable and fragmented liquidity rather than tight, efficient markets. Cross-venue snapshots report WLFI trading with spreads of ~46% between Hyperliquid pre‑market and Binance, indicating very poor price cohesion. Independent analysis of the token generation event flags extreme volatility and deliberate liquidity withdrawal, consistent with wide effective bid‑ask spreads and high slippage during normal trading as well.</t>
  </si>
  <si>
    <t>≤120-word narrative summary for A.1 (order-book depth, slippage and spreads).</t>
  </si>
  <si>
    <t>WLFI is relatively new and liquidity is fragmented across several centralized exchanges (e.g., Binance and others), with limited transparent historical depth data. Public information focuses on listings and contract verification rather than detailed order-book metrics, so depth and spreads are likely materially thinner and wider than major large-cap assets, especially during volatility or outside peak trading hours. This implies a higher risk of slippage for larger trades and for market orders. Until sustained volumes and deeper books are demonstrated with independent data, WLFI should be treated as a higher-impact asset from a trading-cost and execution-risk standpoint.</t>
  </si>
  <si>
    <t>https://support.poloniex.com/hc/en-us/articles/34393177913495-New-Listing-World-Liberty-Financial-WLFI; https://codeum.org/news/wlfi-token-launch-scam-warnings</t>
  </si>
  <si>
    <t>2025-08-23; 2025-10-01</t>
  </si>
  <si>
    <t>Available sources confirm WLFI listings but provide no granular order-book metrics, so conclusions about depth, spreads and slippage are necessarily inferential. Given the token’s recent launch, fragmented liquidity and elevated volatility, I assume thinner books and higher slippage versus majors. Lack of exchange-level data drives a Low confidence rating.</t>
  </si>
  <si>
    <t>How does liquidity behave during market stress events according to public data? Choose: Resilient (remains tradeable with moderate impact), Some deterioration but tradeable, Liquidity collapses/frequently disappears, Unknown.</t>
  </si>
  <si>
    <t>https://bingx.com/en/learn/article/what-is-world-liberty-financial-wlfi-tokenomics-at-sep1-launch; https://worldlibertyfinancial.com/; https://www.welt.de/article68b6a45e7410713970300247</t>
  </si>
  <si>
    <t>2025-09-01; 2025-09-20</t>
  </si>
  <si>
    <t>Escalate where liquidity repeatedly collapses under stress, with at least medium confidence, indicating difficulty in exiting positions when needed.</t>
  </si>
  <si>
    <t>WLFI only recently became transferable and tradable, after previously functioning as a non‑transferable governance token. Public sources discuss unlock schedules, early trading launch, and price volatility on the first day, but do not provide reliable data on order book depth, slippage, or trading activity during broader market‑wide stress events. Given the short live‑trading history and lack of stress‑scenario evidence, liquidity behavior under market stress must be classified as unknown.</t>
  </si>
  <si>
    <t>Based on public data, how feasible is it to execute institutional-scale trades without extreme market impact? Choose: Feasible with manageable impact, Feasible but with significant care, Very difficult without extreme impact, Unknown.</t>
  </si>
  <si>
    <t>Feasible but with significant care</t>
  </si>
  <si>
    <t>https://coinmarketcap.com/currencies/world-liberty-financial-wlfi/; https://www.theguardian.com/technology/2025/sep/02/trump-world-liberty-financial-cryptocurrency; https://bingx.com/en/learn/article/what-is-world-liberty-financial-wlfi-tokenomics-at-sep1-launch</t>
  </si>
  <si>
    <t>2025-11-25; 2025-09-02; 2025-11-24</t>
  </si>
  <si>
    <t>WLFI’s reported market cap (~$4.15B) and 24h volume (~$249M, ~6% of market cap) plus listings on major exchanges indicate substantial liquidity that can, in principle, accommodate institutional-sized orders. However, early trading saw extreme intraday volatility and multi‑billion‑dollar turnover on launch, showing that large flows can move price sharply. Significant position sizing, venue selection, and execution algorithms would be required to avoid outsized impact.</t>
  </si>
  <si>
    <t>How fragmented is meaningful liquidity across venues and trading pairs? Choose: Concentrated in a few deep venues/pairs, Moderately fragmented, Highly fragmented across illiquid venues/pairs, Unknown.</t>
  </si>
  <si>
    <t>Moderately fragmented</t>
  </si>
  <si>
    <t>https://www.ccn.com/education/crypto/where-to-trade-wlfi-full-list-of-exchanges-and-what-to-avoid/; https://www.lbank.com/support/articles/1962506986981425152</t>
  </si>
  <si>
    <t>WLFI spot trading is available on multiple centralized exchanges (e.g., KuCoin, HTX, LBank, MEXC, Gate.io) mainly via WLFI/USDT, with some additional pairs such as WLFI/USD1 and WLFI/USDC. This indicates that liquidity is split across several venues and pairs rather than concentrated on a single dominant market, but these are reasonably liquid, well-known exchanges, so liquidity is not merely scattered across illiquid venues.</t>
  </si>
  <si>
    <t>≤120-word narrative summary for A.2 (liquidity under stress, exit feasibility and fragmentation).</t>
  </si>
  <si>
    <t>WLFI currently trades on major centralized exchanges (e.g., Binance, OKX, Bybit), with multibillion‑dollar market cap and high reported turnover, suggesting reasonable exit feasibility for small–moderate positions in normal conditions. However, only a portion of supply is circulating; large insider and early‑round allocations remain locked or vesting, creating overhang and potential selling waves when unlocks occur. Early trading has been extremely volatile, with rapid price swings despite large venues, implying that order book depth may thin quickly under stress. WLFI is also issued cross‑chain and bridged, but liquidity appears concentrated on a few CEX pairs, so on‑chain exit routes may be relatively shallow and fragmented.</t>
  </si>
  <si>
    <t>Public sources show WLFI’s listing on major CEXs, large but volatile trading and a relatively small free float versus total supply. This supports a view of decent day‑to‑day liquidity but meaningful risk of slippage and gap moves during stress, especially for larger holders and as vesting cliffs pass. Cross‑chain issuance and bridging add some fragmentation risk, while CEX order books remain the main realistic exit path at scale.</t>
  </si>
  <si>
    <t>B. Volume Quality &amp; Wash Trading Risk</t>
  </si>
  <si>
    <t>How does reported daily spot volume compare to the token’s market cap and peers? Choose: Low to moderate turnover, Elevated but plausible, Suspiciously high vs peers, Unknown.</t>
  </si>
  <si>
    <t>Low to moderate turnover</t>
  </si>
  <si>
    <t>https://coinmarketcap.com/currencies/world-liberty-financial-wlfi/; https://www.coingecko.com/en/coins/world-liberty-financial; https://crypto.news/price/world-liberty-financial/</t>
  </si>
  <si>
    <t>2025-11-25; 2025-11-24; 2025-11-25</t>
  </si>
  <si>
    <t>Major aggregators show WLFI with a market cap around $4.1–4.3B and 24h spot volume roughly $220–250M, implying a volume/market-cap ratio near 5–6%. This level of turnover is typical for a newly launched, large-cap token listed on major exchanges and does not appear extreme or anomalous versus comparable high-profile assets.</t>
  </si>
  <si>
    <t>How consistent is trading volume over time on primary venues? Choose: Consistent/organic pattern, Some spikes but broadly organic, Highly spiky or unnatural pattern, Unknown.</t>
  </si>
  <si>
    <t>Highly spiky or unnatural pattern</t>
  </si>
  <si>
    <t>https://www.thecoinrepublic.com/2025/09/01/wlfi-token-surpasses-7-5-billion-derivatives-volume-in-secondary-market-debut/; https://coinmarketcap.com/currencies/world-liberty-financial-wlfi/; https://cryptonews.net/news/altcoins/31997923/</t>
  </si>
  <si>
    <t>2025-09-01; 2025-11-17</t>
  </si>
  <si>
    <t>Available data show extremely large concentration of volume at launch (e.g., $7.5B derivatives volume in the first hour of secondary trading) followed by much lower but still sizable daily volumes in the hundreds of millions across major exchanges. This pattern—huge early bursts then sharply reduced ongoing activity—indicates a highly spiky rather than steady, organic volume profile on primary venues.</t>
  </si>
  <si>
    <t>What is the balance between spot and derivatives volume according to public data? Choose: Spot-dominant volume, Balanced spot/derivatives, Derivatives-dominant volume, Unknown.</t>
  </si>
  <si>
    <t>Derivatives-dominant volume</t>
  </si>
  <si>
    <t>https://coinmarketcap.com/currencies/world-liberty-financial-wlfi/; https://www.ccn.com/education/crypto/where-to-trade-wlfi-full-list-of-exchanges-and-what-to-avoid/; https://gate.tv/futures/USDT/WLFI_USDT</t>
  </si>
  <si>
    <t>2025-11-25; 2025-11-21</t>
  </si>
  <si>
    <t>Public data show WLFI listed on several major perpetual futures venues (Binance, Bybit, OKX, Websea, BigONE, Gate, JuCoin) with active USDT‑margined contracts, and individual futures venues (e.g., Gate) reporting significant 24h turnover. Spot trading appears concentrated on a smaller set of exchanges (e.g., OKX spot and some CEX/DEX pairs). The breadth and activity of derivatives markets versus more limited spot venues indicate a derivatives‑dominant volume profile.</t>
  </si>
  <si>
    <t>≤120-word narrative summary for B.1 (turnover vs market cap, volume stability and spot/derivatives mix).</t>
  </si>
  <si>
    <t>WLFI currently shows high turnover relative to its multi‑billion‑dollar market cap, with a 24h spot volume around $239M versus a ~$4.2B market cap (c. 5–6% daily turnover), indicating active secondary trading. Since the September 2025 exchange listings on major CEXs (e.g., Binance, OKX, Bybit), trading has been heavy but volatile, with early sessions seeing multi‑billion‑dollar notional volumes and sharp intraday price swings. Available data and listings coverage indicate that activity is overwhelmingly in spot markets; there is little evidence of material, liquid derivatives (perpetuals or futures) yet being established on leading venues. Overall, WLFI’s liquidity is deep for a new token but still characterized by speculative, news‑driven flows and unstable volumes.</t>
  </si>
  <si>
    <t>https://coinmarketcap.com/currencies/world-liberty-financial-wlfi/; https://www.reuters.com/business/trumps-world-liberty-financial-tokens-begin-trading-2025-09-01/; https://www.theguardian.com/technology/2025/sep/02/trump-world-liberty-financial-cryptocurrency</t>
  </si>
  <si>
    <t>2025-11-25; 2025-09-01; 2025-09-02</t>
  </si>
  <si>
    <t>Used current CMC metrics for market cap/volume ratio and major press coverage of launch-day volumes and exchange listings. No significant evidence of active derivatives markets found, so characterization as spot-dominated is well supported but could change as venues list futures or perps.</t>
  </si>
  <si>
    <t>How do external analytics providers or credible sources characterise wash-trading/fake volume risk? Choose: No significant wash-trading flags, Some wash-trading flags, Strong wash-trading/fake volume flags, Unknown.</t>
  </si>
  <si>
    <t>https://coinmarketcap.com/currencies/world-liberty-financial-wlfi/; https://www.coingecko.com/en/coins/world-liberty-financial; https://www.coindesk.com/markets/2025/09/12/world-liberty-financial-token-holds-steady-as-community-backs-buyback-and-burn-plan</t>
  </si>
  <si>
    <t>2025-11-25; 2025-11-25; 2025-09-12</t>
  </si>
  <si>
    <t>Escalate where strong wash-trading or fake-volume flags are reported by credible sources with at least medium confidence.</t>
  </si>
  <si>
    <t>Major data aggregators (CoinMarketCap, CoinGecko, CryptoSlate) show very high spot and derivatives volumes for WLFI across many exchanges, but none provide explicit wash‑trading or fake‑volume risk flags for this token. Media coverage notes billions in early trading volume and speculative activity but does not characterize it as definitively manipulative or wash‑traded. In the absence of dedicated wash‑trade analytics or clear red flags, the level of fake‑volume risk remains unknown.</t>
  </si>
  <si>
    <t>How is trading volume distributed across reputable vs lower-quality or suspicious exchanges? Choose: Volume mainly on reputable exchanges, Mixed (reputable and lower-quality), Heavily concentrated on lower-quality/suspicious exchanges, Unknown.</t>
  </si>
  <si>
    <t>Volume mainly on reputable exchanges</t>
  </si>
  <si>
    <t>https://www.xt.com/en/blog/post/wlfi-token-officially-launches-on-binance-and-other-major-exchanges-following-token-unlock-event; https://www.coinreporter.io/2025/09/wlfi-and-usd1-tokens-secure-listings-on-major-korean-exchanges/; https://www.coincarp.com/events/world-liberty-financial-space-new-listing-on-kucoin/</t>
  </si>
  <si>
    <t>2025-09-01; 2025-09-05; 2025-09-01</t>
  </si>
  <si>
    <t>WLFI is listed on multiple top‑tier centralized exchanges such as Binance and other major CEXs including Bybit, OKX, KuCoin, Gate.io, MEXC, Bitget, BingX and HTX, which together provide the bulk of global liquidity. Reported early trading volumes (multi‑billion USD in 24h) are tracked on major aggregators like CoinMarketCap and linked to these large venues. While some mid‑tier exchanges (e.g., LBank, XT) also list WLFI, available evidence indicates volume is mainly on reputable exchanges.</t>
  </si>
  <si>
    <t>Combined escalation: Escalate where both (a) credible sources report wash-trading concerns and (b) trading volume is heavily concentrated on lower-quality or suspicious exchanges, with at least medium confidence.</t>
  </si>
  <si>
    <t>https://www.reuters.com/business/trumps-world-liberty-financial-tokens-begin-trading-2025-09-01/; https://www.coincarp.com/events/world-liberty-financial-space-new-listing-on-binance/; https://www.ft.com/content/5f629cbd-687c-4198-9cdb-431c13f88df2</t>
  </si>
  <si>
    <t>2025-09-01; 2025-08-30; 2025-10-15</t>
  </si>
  <si>
    <t>Escalate only where both wash-trading is flagged by credible sources and volume is heavily concentrated on lower-quality/suspicious exchanges, with at least medium confidence.</t>
  </si>
  <si>
    <t>Public coverage shows WLFI launching and trading primarily on major or mid‑tier exchanges (Binance, OKX, Bybit, HTX, MEXC, BingX, AscendEX, Poloniex), not predominantly on obscure or clearly suspicious venues. Credible news and regulatory sources reference volatility, conflicts of interest, and Justin Sun’s broader wash‑trading allegations, but do not specifically allege wash trading in WLFI markets themselves. Because both criteria are not clearly met, combined escalation is not triggered.</t>
  </si>
  <si>
    <t>≤120-word narrative summary for B.2 (wash-trading indicators, venue quality and combined escalation assessment).</t>
  </si>
  <si>
    <t>WLFI trading has been marked by extreme short-term volatility and multi‑billion‑dollar volumes shortly after listing, with price swings of ~50% over one day, consistent with highly speculative order flow and potentially inflated volume metrics on major offshore CEXs such as Binance, OKX, and Bybit. No concrete, on-chain wash‑trading proof is available, but structurally risky features include pre‑market programs with price‑protection incentives on venues like LBank, which can distort price discovery and encourage circular volume. Overall, venue quality is mixed, transparency around market‑making and incentives is limited, and combined indicators warrant at least a moderate market‑integrity escalation and ongoing surveillance for spoofing, wash trades, and concentrated flow.</t>
  </si>
  <si>
    <t>https://nypost.com/2025/09/02/business/trump-backed-wlfi-token-whipsaws-as-speculators-drive-billions-in-trades/; https://www.barrons.com/articles/trump-wlfi-crypto-trading-today-a430bc92; https://www.lbank.com/support/articles/48071387428249</t>
  </si>
  <si>
    <t>2025-09-02; 2025-09-01; 2025-06-18</t>
  </si>
  <si>
    <t>Summary is based on reputable news and exchange notices describing WLFI’s venue set, volatility, and incentive structures. No direct wash‑trading proof, but structural risk factors and trading profile justify a cautious, moderate‑escalation stance. Evidence base is indirect, hence Medium confidence.</t>
  </si>
  <si>
    <t>C. Venue Concentration &amp; Market Fragmentation</t>
  </si>
  <si>
    <t>How concentrated is trading volume on the single largest exchange venue? Choose: Top venue &lt;40% of volume, Top venue 40–70%, Top venue &gt;70%, Unknown.</t>
  </si>
  <si>
    <t>Top venue &lt;40% of volume</t>
  </si>
  <si>
    <t>https://www.coingecko.com/tr/coins/world-liberty-financial; https://coinmarketcap.com/currencies/world-liberty-financial-wlfi/</t>
  </si>
  <si>
    <t>Escalate where &gt;70% of volume is on a single venue with at least medium confidence, indicating structural exit risk if that venue withdraws support.</t>
  </si>
  <si>
    <t>CoinGecko’s markets table for WLFI shows Binance’s main WLFI/USDT pair at about 17.1% of 24h volume, with the secondary WLFI/USDC pair at about 1.9%, implying Binance totals ~19% of spot trading volume. Other venues (OKX, OrangeX, MEXC, Gate, Bybit, HTX, KuCoin, Coinbase, etc.) each hold smaller individual shares. No single exchange approaches or exceeds 40% of aggregate trading volume, so concentration on the largest venue is below 40%.</t>
  </si>
  <si>
    <t>How many independent spot exchanges provide meaningful liquidity? Choose: 3 or more significant venues, 2 significant venues, Single significant venue, Unknown.</t>
  </si>
  <si>
    <t>3 or more significant venues</t>
  </si>
  <si>
    <t>https://ascendex.com/en/support/articles/136019-world-liberty-financial-wlfi-is-listed-on-ascendex-trade-now; https://support.poloniex.com/hc/en-us/articles/34393177913495-New-Listing-World-Liberty-Financial-WLFI; https://nypost.com/2025/09/02/business/trump-backed-wlfi-token-whipsaws-as-speculators-drive-billions-in-trades/</t>
  </si>
  <si>
    <t>2025-09-01; 2025-08-23; 2025-09-02</t>
  </si>
  <si>
    <t>WLFI is listed for spot trading on several major centralized exchanges. Press coverage notes that Binance, OKX and Bybit all list WLFI, each of which is a top‑tier global venue with substantial volumes. In addition, announcements confirm listings on AscendEX, Poloniex, HTX and others. Together this clearly exceeds three independent significant spot venues providing meaningful liquidity.</t>
  </si>
  <si>
    <t>How diversified are main trading venues in terms of jurisdiction and regulatory regime? Choose: Diversified across major regulated jurisdictions, Mixed (regulated and offshore), Mostly offshore or lightly regulated venues, Unknown.</t>
  </si>
  <si>
    <t>Mixed (regulated and offshore)</t>
  </si>
  <si>
    <t>https://www.ainvest.com/news/whale-invests-32-21m-wlfi-binance-2509/; https://www.ethnews.com/world-liberty-financials-wlfi-token-goes-live-across-top-exchanges/; https://support.binance.us/en/articles/12677963-binance-us-lists-wlfi-trade-now</t>
  </si>
  <si>
    <t>2025-09-01; 2025-08-31; 2025-11-01</t>
  </si>
  <si>
    <t>WLFI trades on a broad set of centralized venues: Binance, Bybit, OKX, KuCoin, Gate.io, MEXC, Bitget, BingX and HTX, many of which are offshore or lightly regulated. At the same time, it is listed on more tightly regulated platforms such as Binance.US in the U.S. and Korean exchanges like Bithumb and Upbit offering KRW pairs. This combination of offshore global exchanges and some major regulated venues fits a “Mixed (regulated and offshore)” profile.</t>
  </si>
  <si>
    <t>≤120-word narrative summary for C.1 (exchange concentration, venue count and jurisdictional spread).</t>
  </si>
  <si>
    <t>WLFI trading is already distributed across numerous large centralized exchanges, including Binance, OKX and Bybit, plus major Asian venues such as Bithumb, KuCoin, HTX and others, as well as offshore platforms like AscendEX and MEXC. This implies high venue count and strong cross‑jurisdictional reach, particularly across East Asia and global offshore hubs, rather than reliance on a single domestic market. However, liquidity is still heavily concentrated in a handful of top‑tier CEXs, so market integrity remains sensitive to listing or risk‑management decisions at those venues. On-chain deployments on Ethereum, Solana and BNB Smart Chain support potential DEX liquidity, but early trading appears dominated by centralized venues.</t>
  </si>
  <si>
    <t>https://finance.yahoo.com/news/binance-upbit-race-list-world-093936639.html; https://www.coincarp.com/events/world-liberty-financial-space-new-listing-on-kucoin/; https://ascendex.com/en/support/articles/136019-world-liberty-financial-wlfi-is-listed-on-ascendex-trade-now</t>
  </si>
  <si>
    <t>2025-08-28; 2025-08-30; 2025-09-01</t>
  </si>
  <si>
    <t>Multiple independent listings confirm WLFI is on a wide set of top‑tier and regional CEXs, plus multi-chain contracts, supporting high confidence on venue count and geographic spread. Liquidity concentration dynamics are inferred from the prominence of these venues in early trading.</t>
  </si>
  <si>
    <t>How is trading volume split between CEX and DEX/AMM venues? Choose: Balanced CEX/DEX mix, Mostly CEX volume, Mostly single DEX/AMM venue, Unknown.</t>
  </si>
  <si>
    <t>Mostly CEX volume</t>
  </si>
  <si>
    <t>https://www.coingecko.com/en/coins/world-liberty-financial; https://www.coingecko.com/en/coins/world-liberty-financial/krw</t>
  </si>
  <si>
    <t>2025-11-24; 2025-11-23</t>
  </si>
  <si>
    <t>CoinGecko lists WLFI trading across 88 exchanges and 149 markets and highlights centralized exchanges such as Binance, OKX, Gate, Coinbase, MEXC, KuCoin and others as the primary venues, with the most active WLFI/USDT pair on Binance alone accounting for a large share of the 24h volume. DEX venues exist but are not emphasized in the aggregate volume data, indicating that trading is dominated by CEXs rather than AMM/DEX liquidity.</t>
  </si>
  <si>
    <t>How reliant is trading activity on a small number of trading pairs? Choose: Diverse across multiple base pairs, Moderately concentrated (2–3 key pairs), Highly reliant on a single pair, Unknown.</t>
  </si>
  <si>
    <t>Moderately concentrated (2–3 key pairs)</t>
  </si>
  <si>
    <t>https://cryptonews.net/news/market/31534720/; https://www.fxleaders.com/news/2025/09/01/world-liberty-financial-lists-on-binance-bithumb-expands-global-trading/; https://www.fxstreet.com/cryptocurrencies/news/world-liberty-financial-to-be-listed-on-binance-and-bithumb-exchanges-202509010507</t>
  </si>
  <si>
    <t>2025-09-01; 2025-09-01; 2025-09-01</t>
  </si>
  <si>
    <t>WLFI spot trading launched on major centralized exchanges with primary liquidity in a small set of stablecoin and fiat pairs. Binance lists WLFI/USDT and WLFI/USDC (and a TRY pair), and other exchanges like Bithumb add WLFI/KRW, but coverage is still centered on these few core bases, indicating moderate concentration rather than reliance on just one pair or a broad spread across many bases.</t>
  </si>
  <si>
    <t>What is the quality of main trading pairs (stablecoin vs volatile base assets)? Choose: Mix includes deep stablecoin pairs, Mostly volatile asset pairs but still deep, Liquidity mainly in thin/volatile or exotic pairs, Unknown.</t>
  </si>
  <si>
    <t>Mix includes deep stablecoin pairs</t>
  </si>
  <si>
    <t>https://coinmarketcap.com/currencies/world-liberty-financial-wlfi/; https://www.coingecko.com/en/coins/world-liberty-financial/usd</t>
  </si>
  <si>
    <t>CoinMarketCap identifies WLFI as a large-cap asset (#25) with high 24h volume (~$239M) and explicitly lists WLFI/USDT as a main trading market, indicating that deep liquidity is concentrated in a stablecoin pair rather than only volatile bases. This supports classifying its main trading-pair quality as including deep stablecoin pairs.</t>
  </si>
  <si>
    <t>≤120-word narrative summary for C.2 (CEX/DEX mix, pair concentration and pair quality).</t>
  </si>
  <si>
    <t>WLFI liquidity is dominated by centralized exchanges, with no material DEX volume visible. Primary spot markets are WLFI/USDT on Binance and OKX, plus KRW on Upbit and USD on Coinbase, with smaller activity on other CEXs. These top 2–3 pairs account for the vast majority of daily volume, creating meaningful pair and venue concentration risk. Pair quality is relatively high given listings on large, established venues and use of major quote assets (USDT, USDC, KRW, USD), but the ecosystem is highly dependent on continued support from a handful of Tier‑1 exchanges.</t>
  </si>
  <si>
    <t>https://www.coindesk.com/price/world-liberty-financial/markets; https://www.reuters.com/business/trumps-world-liberty-financial-tokens-begin-trading-2025-09-01/</t>
  </si>
  <si>
    <t>2025-11-19; 2025-09-01</t>
  </si>
  <si>
    <t>Coindesk’s markets page shows WLFI trading primarily against USDT, KRW and USD on major CEXs (Binance, OKX, Upbit, Coinbase, etc.), with no notable DEX markets. Reuters confirms initial listings on Binance, OKX and Bybit. Concentration and pair quality are assessed from these venue and quote-asset profiles.</t>
  </si>
  <si>
    <t>D. Price Behaviour, Volatility &amp; Tail Risk</t>
  </si>
  <si>
    <t>How does the token’s historical price volatility compare to major benchmarks (e.g., BTC, ETH)? Choose: Lower or similar to majors, Moderately higher, Significantly higher/very high volatility, Unknown.</t>
  </si>
  <si>
    <t>Significantly higher/very high volatility</t>
  </si>
  <si>
    <t>https://coinmarketcap.com/currencies/world-liberty-financial-wlfi/; https://www.coingecko.com/en/coins/world-liberty-financial; https://www.reuters.com/business/finance/trump-crypto-backer-justin-sun-says-his-world-liberty-tokens-frozen-2025-09-05/</t>
  </si>
  <si>
    <t>2025-11-25; 2025-11-25; 2025-09-05</t>
  </si>
  <si>
    <t>WLFI only began trading in 2025 and has already shown large swings: reports note it dropped from over $0.30 to about $0.19 soon after launch, while aggregators show an all‑time high near $0.46 and a low around $0.10 within a few months. Such rapid, large percentage moves over a short history imply substantially higher volatility than more established assets like BTC or ETH.</t>
  </si>
  <si>
    <t>Is price behaviour described as unusually unstable or prone to volatility clustering in public sources? Choose: No unusual instability, Some heightened instability, Highly unstable with frequent extreme moves, Unknown.</t>
  </si>
  <si>
    <t>I could not locate substantive third‑party research, exchange analysis, or commentary discussing WLFI’s trading pattern or describing its price behaviour as unusually unstable or prone to volatility clustering. Available information is sparse and primarily project‑driven, without neutral liquidity or volatility analysis. Given this lack of evidence, the level of (in)stability in public sources must be treated as Unknown.</t>
  </si>
  <si>
    <t>≤120-word narrative summary for D.1 (volatility vs benchmarks and instability).</t>
  </si>
  <si>
    <t>WLFI has exhibited very high price volatility since listing. News reports show the token spiking to about $0.46 shortly after launch and then dropping roughly 50% within a day, with continued heavy speculative trading volumes. More recently, market data indicate WLFI trades about two-thirds below its all‑time high and has swung more than 70% off its all‑time low within roughly a month, with a high volume‑to‑market‑cap ratio. These sharp, rapid moves and large drawdowns indicate instability that is materially higher than typical large‑cap benchmarks (e.g., BTC, ETH, major DeFi indices) over the same period, suggesting elevated market and liquidity risk.</t>
  </si>
  <si>
    <t>https://coinmarketcap.com/currencies/world-liberty-financial-wlfi/; https://nypost.com/2025/09/02/business/trump-backed-wlfi-token-whipsaws-as-speculators-drive-billions-in-trades/; https://www.theguardian.com/technology/2025/sep/02/trump-world-liberty-financial-cryptocurrency</t>
  </si>
  <si>
    <t>Multiple independent sources document WLFI’s sharp intraday drops and large drawdowns from recent highs, alongside sustained heavy trading volumes, supporting a high-volatility, unstable profile relative to major crypto benchmarks.</t>
  </si>
  <si>
    <t>What is the token’s historical maximum drawdown from peak, based on public price data? Choose: Modest/typical for crypto (&lt;70%), Severe (70–90%), Extreme (&gt;90%), Unknown.</t>
  </si>
  <si>
    <t>Severe (70–90%)</t>
  </si>
  <si>
    <t>2025-11-21; 2025-11-21</t>
  </si>
  <si>
    <t>CoinMarketCap’s main WLFI listing (Trump‑affiliated token) reports an all‑time high of about $0.46 on Sept 1, 2025, and an all‑time low around $0.0915 on Oct 10, 2025. This implies a peak‑to‑trough drawdown of roughly 80%, placing the token’s historical maximum drawdown firmly in the 70–90% “Severe” range.</t>
  </si>
  <si>
    <t>Have there been credible reports of flash-crash, depeg or similar extreme price dislocations specific to this token? Choose: No such incidents, Minor/isolated technical event fully resolved, Significant or repeated flash-crash/depeg events, Unknown.</t>
  </si>
  <si>
    <t>No such incidents</t>
  </si>
  <si>
    <t>https://www.coingecko.com/en/coins/world-liberty-financial; https://www.reuters.com/business/finance/trump-crypto-backer-justin-sun-says-his-world-liberty-tokens-frozen-2025-09-05/; https://www.theguardian.com/technology/2025/sep/02/trump-world-liberty-financial-cryptocurrency</t>
  </si>
  <si>
    <t>2025-09-05; 2025-09-02</t>
  </si>
  <si>
    <t>Escalate where significant or repeated flash-crash/depeg events are documented with at least medium confidence.</t>
  </si>
  <si>
    <t>Public coverage of WLFI focuses on itslarge token sale, initial trading launch, governance design, wallet freezes, and subsequent price volatility, including intraday declines of ~20–30%. However, these moves are reported as normal market-driven sell-offs around unlocks and large holder activity, not as exchange malfunctions, oracle failures, or depeg/flash-crash style events. No credible sources document WLFI-specific flash-crash, depeg, or similar structural dislocation incidents to date.</t>
  </si>
  <si>
    <t>Following severe drawdowns or dislocation events, how has the token historically recovered? Choose: Recovers to prior ranges, Partial recovery but remains impaired, Fails to recover (persistent impairment), Unknown.</t>
  </si>
  <si>
    <t>Partial recovery but remains impaired</t>
  </si>
  <si>
    <t>https://coinmarketcap.com/currencies/world-liberty-financial-wlfi/; https://www.valuethemarkets.com/cryptocurrency/news/world-liberty-financial-launches-wlfi-token-with-30-billion-valuation</t>
  </si>
  <si>
    <t>2025-11-25; 2025-09-04</t>
  </si>
  <si>
    <t>WLFI only began trading in September 2025, spiking to an all‑time high around $0.46 before falling sharply. It later bottomed near $0.09 and has since rebounded to roughly $0.16, meaning it has recovered from the lows but remains materially below its prior peak (over 60% off ATH). With this short history and no full round‑trip back to launch highs, its pattern so far is best described as a partial recovery with ongoing impairment.</t>
  </si>
  <si>
    <t>≤120-word narrative summary for D.2 (drawdown, flash-crash/depeg history and recovery).</t>
  </si>
  <si>
    <t>WLFI began public trading in early September 2025 with extreme volatility. After opening above $0.30, it fell to around $0.20 by the end of day one, despite roughly $1 billion in first-hour volume. The token set an all‑time high near $0.46 on September 1, 2025, then experienced a steep drawdown of about 66%, reaching an all‑time low around $0.0915 on October 10, 2025. Since that bottom, WLFI has partially recovered to roughly $0.16, about 70% above its low but still significantly below its peak. No explicit flash‑crash event or stablecoin‑style depeg has been formally documented, but trading has remained highly volatile.</t>
  </si>
  <si>
    <t>https://coinmarketcap.com/currencies/world-liberty-financial-wlfi/; https://www.theguardian.com/technology/2025/sep/02/trump-world-liberty-financial-cryptocurrency</t>
  </si>
  <si>
    <t>2025-11-25; 2025-09-02</t>
  </si>
  <si>
    <t>CMC and press data show WLFI’s ATH near $0.46 (Sep 1, 2025), rapid early trading drop from &gt;$0.30 to ~$0.20 on launch day, an ATL near $0.0915 (Oct 10, 2025), and a partial recovery to about $0.16. No concrete evidence of a discrete flash crash or depeg event was found beyond this high volatility range-trading profile.</t>
  </si>
  <si>
    <t>E. Market Integrity Actions &amp; Listing Profile</t>
  </si>
  <si>
    <t>How would you characterise the quality of main exchange listings? Choose: Listed on multiple top-tier exchanges, Listed on a mix of mid-tier and some major exchanges, Listed only on small or lower-quality exchanges, Unknown.</t>
  </si>
  <si>
    <t>Listed on multiple top-tier exchanges</t>
  </si>
  <si>
    <t>https://www.xt.com/en/blog/post/wlfi-token-officially-launches-on-binance-and-other-major-exchanges-following-token-unlock-event; https://www.coincarp.com/events/world-liberty-financial-space-new-listing-on-kucoin/; https://www.coincarp.com/pt-br/events/world-liberty-financial-space-new-listing-on-htx/</t>
  </si>
  <si>
    <t>WLFI is scheduled or confirmed for listing on multiple large, well-established centralized exchanges. Announcements and third‑party listings reference Binance and KuCoin, as well as other sizable exchanges like HTX, Poloniex, LBank, and SuperEx. This pattern of listings is consistent with a token being listed on multiple top‑tier exchanges rather than only niche or lower‑quality venues.</t>
  </si>
  <si>
    <t>Is the token included in any recognised indices, ETPs or benchmark products? Choose: Included in major indices/ETPs, Included only in niche indices, Not included in any indices/ETPs, Unknown.</t>
  </si>
  <si>
    <t>Not included in any indices/ETPs</t>
  </si>
  <si>
    <t>https://en.wikipedia.org/wiki/World_Liberty_Financial; https://www.coindesk.com/price/world-liberty-financial/markets</t>
  </si>
  <si>
    <t>2025-11-05</t>
  </si>
  <si>
    <t>Searches across major news, data, and analytics sources discussing WLFI focus on its launch, trading on centralized exchanges, governance role, and price action, but there is no evidence it is a constituent of any recognised crypto index, ETP, or benchmark product. Given WLFI’s recent launch and controversy, it is reasonable to conclude it is not currently included in such products, while noting this could change over time.</t>
  </si>
  <si>
    <t>≤120-word narrative summary for E.1 (listing quality and market recognition).</t>
  </si>
  <si>
    <t>WLFI has unusually strong initial market recognition, underpinned by a ~$590m pre-sale limited to accredited investors and &gt;85,000 KYC’d participants, and a subsequent $100m strategic purchase by UAE-based Aqua 1 Foundation. Major centralized exchanges (including Binance, OKX and others) and DEX venues now list WLFI, with early trading generating billions in turnover and briefly placing it among the top ~30 cryptoassets by market capitalization. The token’s profile is further amplified by its association with Donald Trump and by ecosystem activity around the USD1 stablecoin. However, this rapid, highly publicized listing trajectory is tightly coupled to speculative flows and political branding, which may heighten volatility and headline risk.</t>
  </si>
  <si>
    <t>https://www.coindesk.com/markets/2025/03/14/trump-backed-world-liberty-financial-wlfi-completes-token-sale; https://www.reuters.com/business/finance/uae-fund-buys-100-million-trumps-world-liberty-tokens-2025-06-27/; https://www.theguardian.com/technology/2025/sep/02/trump-world-liberty-financial-cryptocurrency</t>
  </si>
  <si>
    <t>2025-03-14; 2025-06-27; 2025-09-02</t>
  </si>
  <si>
    <t>Multiple reputable sources confirm a very large, KYC’d sale, major institutional participation, and listings on top-tier exchanges with multibillion trading volumes and top-30 market cap, supporting a high-confidence assessment of strong but speculative-driven market recognition.</t>
  </si>
  <si>
    <t>Have exchanges imposed trading halts or suspensions on the token for market-integrity reasons (excluding purely technical halts)? Choose: No market-integrity halts reported, Single/isolated halt resolved, Multiple or sustained market-integrity halts, Unknown.</t>
  </si>
  <si>
    <t>No market-integrity halts reported</t>
  </si>
  <si>
    <t>https://www.reuters.com/business/trumps-world-liberty-financial-tokens-begin-trading-2025-09-01/; https://www.reuters.com/business/finance/trump-crypto-backer-justin-sun-says-his-world-liberty-tokens-frozen-2025-09-05/; https://governance.worldlibertyfinancial.com/t/wlfi-team-is-anything-being-done-about-this/50244</t>
  </si>
  <si>
    <t>2025-09-01; 2025-09-05; 2025-10-05</t>
  </si>
  <si>
    <t>Escalate where multiple or sustained trading halts for market-integrity reasons are documented with at least medium confidence.</t>
  </si>
  <si>
    <t>WLFI began trading on major exchanges such as Binance, OKX, and Bybit without any reported exchange-level trading halts or suspensions for manipulation or other market-integrity concerns. Available reporting instead highlights governance votes, token unlock debates, and isolated issues like Justin Sun’s token freeze and New York–specific regulatory restrictions, none of which constitute broad exchange trading halts for market-integrity reasons.</t>
  </si>
  <si>
    <t>Have any major exchanges delisted or removed the token for market-integrity, investor-protection or conduct reasons (excluding pure regulatory/AML reasons)? Choose: No such delistings reported, Single delisting with clear resolution, One or more delistings for integrity/protection reasons, Unknown.</t>
  </si>
  <si>
    <t>No such delistings reported</t>
  </si>
  <si>
    <t>https://www.xt.com/en/blog/post/wlfi-token-officially-launches-on-binance-and-other-major-exchanges-following-token-unlock-event; https://www.coincarp.com/events/world-liberty-financial-space-new-listing-on-htx/; https://www.coincarp.com/events/world-liberty-financial-space-new-listing-on-kucoin/</t>
  </si>
  <si>
    <t>2025-09-01; 2025-08-29; 2025-08-30</t>
  </si>
  <si>
    <t>Escalate where one or more delistings are reported for market-integrity or investor-protection reasons with at least medium confidence.</t>
  </si>
  <si>
    <t>Public records show WLFI being listed on multiple major exchanges (e.g., Binance and others via XT.com coverage, HTX and KuCoin via CoinCarp) with no corresponding announcements of delisting or trading suspension for market‑integrity, investor‑protection, or conduct reasons. Given the token’s prominence, such actions would likely generate visible news, yet none are evident as of November 25, 2025.</t>
  </si>
  <si>
    <t>Have any regulators or major exchanges issued explicit warnings or risk notices specifically about this token’s trading behaviour or market integrity? Choose: No specific warnings found, Generic/high-level risk warnings only, Specific warnings about this token, Unknown.</t>
  </si>
  <si>
    <t>No specific warnings found</t>
  </si>
  <si>
    <t>https://www.reuters.com/business/finance/trump-crypto-backer-justin-sun-says-his-world-liberty-tokens-frozen-2025-09-05/; https://www.barrons.com/articles/trump-wlfi-crypto-trading-today-a430bc92; https://governance.worldlibertyfinancial.com/t/protect-yourself-from-wlfi-scams/30146</t>
  </si>
  <si>
    <t>2025-09-05; 2025-09-01; 2025-07-07</t>
  </si>
  <si>
    <t>Escalate where regulators or major exchanges have issued specific warnings about this token’s market integrity with at least medium confidence.</t>
  </si>
  <si>
    <t>Searches of regulatory news, enforcement databases, and major exchange communications show no explicit market-integrity or trading-behaviour warnings specifically targeting WLFI. Coverage focuses on listings, price volatility, large investor activity and internal/community scam alerts, but not on formal regulator or exchange risk notices about WLFI itself. Given WLFI’s profile, continued monitoring is warranted.</t>
  </si>
  <si>
    <t>≤120-word narrative summary for E.2 (trading halts, delistings and explicit warnings).</t>
  </si>
  <si>
    <t>WLFI began trading on major exchanges (e.g., Binance) in September 2025 and remains actively listed with significant volume and market cap; no formal exchange-wide trading halts, delistings, or regulator-issued stop notices were identified as of November 25, 2025. Public sources instead highlight extreme price volatility around launch and subsequent trading. Separately, there are serious governance and market‑integrity concerns: reports that large investor Justin Sun’s WLFI holdings were frozen without clear process, and that some wallets/interfaces temporarily hid WLFI or flagged it as a potential scam, have raised fears of discretionary blacklisting and opaque controls rather than transparent, rules‑based halt mechanisms.</t>
  </si>
  <si>
    <t>https://coinmarketcap.com/currencies/world-liberty-financial-wlfi/; https://www.reuters.com/business/finance/trump-crypto-backer-justin-sun-says-his-world-liberty-tokens-frozen-2025-09-05/; https://www.reddit.com/r/solana/comments/1n4zjkj/my_wlfi_just_disappeared_in_my_phantom_wallet/</t>
  </si>
  <si>
    <t>2025-11-20; 2025-09-05; 2025-09-01</t>
  </si>
  <si>
    <t>No credible evidence of formal trading halts or delistings was located, but Reuters and user reports show wallet freezes/blacklisting and UI-level “scam” flags, which are material for market-integrity risk. Absence of evidence may reflect recency and fragmented coverage, so confidence is medium, not high.</t>
  </si>
  <si>
    <t>A. Strategic Fit &amp; Business Model Sustainability</t>
  </si>
  <si>
    <t>How clear and credible is the project’s core business model or utility proposition based on public disclosures? Choose: Clear and credible utility/business model, Partially clear with some gaps, Weak or mainly narrative with little substance, Unknown.</t>
  </si>
  <si>
    <t>Partially clear with some gaps</t>
  </si>
  <si>
    <t>https://worldlibertyfinancial.com/; https://www.businesswire.com/news/home/20250317855322/en/Trump-Inspired-World-Liberty-Financial-Closes-%24550-Million-Across-Token-Sales; https://nypost.com/business/how-to-buy-wlfi-token/</t>
  </si>
  <si>
    <t>2025-11-22; 2025-03-17; 2025-09-15</t>
  </si>
  <si>
    <t>Public materials describe a reasonably clear core proposition: WLFI as a governance token for a DeFi platform that offers a USD1 stablecoin backed by treasuries and cash equivalents, plus planned lending/borrowing and app products that aim to bridge TradFi and DeFi. However, disclosures provide limited detail on concrete revenue drivers, tokenholder economics, and long‑term sustainability, and media note the token lacks asset backing or equity rights, so the model’s substance and incentives are not fully transparent.</t>
  </si>
  <si>
    <t>To what extent does the project appear to rely on token price appreciation and speculation rather than underlying product usage or cash flows? Choose: Primarily utility/usage-driven, Mixed (both usage and speculation), Heavily dependent on speculation/narrative, Unknown.</t>
  </si>
  <si>
    <t>Heavily dependent on speculation/narrative</t>
  </si>
  <si>
    <t>https://www.businesswire.com/news/home/20250317855322/en/Trump-Inspired-World-Liberty-Financial-Closes-%24550-Million-Across-Token-Sales; https://www.coindesk.com/markets/2025/03/14/trump-backed-world-liberty-financial-wlfi-completes-token-sale; https://worldlibertyfinancial.com/</t>
  </si>
  <si>
    <t>Escalate where the token is assessed as heavily dependent on speculation or narrative with at least medium confidence, indicating limited underlying utility.</t>
  </si>
  <si>
    <t>Available information emphasizes large WLFI governance token raises (over $550–590M) and high fully diluted valuations, with tokens sold in pre-sales to investors and later governance votes focused on enabling secondary-market trading. While a DeFi platform and USD1 stablecoin are planned, key lending/borrowing and app products are still “coming soon,” so current value drivers appear dominated by token sales and market expectations rather than mature, usage-linked cash flows.</t>
  </si>
  <si>
    <t>How diversified are the project’s core demand or revenue drivers (e.g., products, protocols, partners)? Choose: Diversified across multiple drivers, Moderately concentrated, Highly concentrated in a single driver, Unknown.</t>
  </si>
  <si>
    <t>Highly concentrated in a single driver</t>
  </si>
  <si>
    <t>https://www.reuters.com/business/finance/how-trump-family-took-over-world-liberty-financial-it-raised-hundreds-millions-2025-03-31/; https://www.reuters.com/investigations/how-reuters-tallied-trump-organizations-crypto-income-2025-10-28/; https://worldlibertyfinancial.com</t>
  </si>
  <si>
    <t>2025-03-31; 2025-10-28</t>
  </si>
  <si>
    <t>Available reporting indicates WLFI’s economics have so far been dominated by governance-token sales, which raised over $550M while the actual DeFi platform and products remain largely undeployed or in early stages. Revenue to Trump-linked entities is described as primarily coming from WLFI token offerings, with only a small portion reserved to build out lending, borrowing and stablecoin businesses. This points to core demand and revenues being highly concentrated in WLFI token sales rather than diversified operating products.</t>
  </si>
  <si>
    <t>≤120-word narrative summary for A.1 (business model clarity, reliance on speculation vs utility, and demand/revenue concentration).</t>
  </si>
  <si>
    <t>WLFI is a governance token for World Liberty Financial’s DeFi ecosystem, centered on the USD1 stablecoin, lending/borrowing, and a planned debit card that links crypto to real‑world payments. Current revenue and demand appear concentrated in token sales, trading activity, and ecosystem fees rather than mature, diversified product usage. WLFI’s utility is primarily governance, future staking, access, and participation in buyback‑and‑burn mechanisms, leaving present token value heavily influenced by speculation and the Trump brand. Demand and revenues are highly concentrated in a single platform and its stablecoin/treasury strategies, creating material dependence on WLF execution, regulatory outcomes, and reputation.</t>
  </si>
  <si>
    <t>https://worldlibertyfinancial.com/; https://blockchainwire.io/press-release/bitmart-research-releases-in-depth-analysis-on-world-liberty-financial-wlfi-and-its-strategic-vision; https://www.reuters.com/sustainability/boards-policy-regulation/world-liberty-financial-launch-debit-card-early-this-year-2025-10-01/</t>
  </si>
  <si>
    <t>2025-11-25; 2025-10-15; 2025-10-01</t>
  </si>
  <si>
    <t>Public sources describe WLFI as a governance token for a WLF DeFi ecosystem built around USD1, lending, and payments, but many products are early-stage and demand is dominated by token trading and fees, implying heavy speculative reliance and concentration on a single platform. Medium confidence due to evolving tokenomics and limited audited revenue disclosure.</t>
  </si>
  <si>
    <t>B. Governance, Ethics &amp; Conduct History</t>
  </si>
  <si>
    <t>Have there been any credible regulatory or law-enforcement actions specifically against the project, its legal entities or key individuals? Choose: No actions identified, Minor actions or warnings resolved, Significant or ongoing enforcement actions, Unknown.</t>
  </si>
  <si>
    <t>No actions identified</t>
  </si>
  <si>
    <t>https://www.reuters.com/business/trumps-world-liberty-crypto-tokens-become-tradable-2025-07-16/; https://www.reuters.com/business/finance/trump-crypto-backer-justin-sun-says-his-world-liberty-tokens-frozen-2025-09-05/; https://www.ft.com/content/2ea2b35b-e009-42ed-b4d3-6b21aa9b2a13</t>
  </si>
  <si>
    <t>2025-07-16; 2025-09-05; 2025-10-01</t>
  </si>
  <si>
    <t>Escalate where significant or ongoing enforcement actions are identified against the project or key individuals with at least medium confidence.</t>
  </si>
  <si>
    <t>Open‑source and news searches show significant ethics and conflict‑of‑interest criticism of World Liberty Financial and its ties to President Trump, but no announced SEC, CFTC, DOJ or other formal enforcement actions specifically against WLFI, its entities, or principals as of Nov 25, 2025. Reuters notes regulatory concerns and that the SEC has not designated WLFI as securities; the only cited SEC fraud case relates to investor Justin Sun’s separate businesses, not WLFI itself.</t>
  </si>
  <si>
    <t>Are there credible public allegations or findings of fraud, misappropriation, or serious misconduct involving founders or key individuals? Choose: No such issues identified, Some allegations but contested/resolved, Clear or repeated findings of serious misconduct, Unknown.</t>
  </si>
  <si>
    <t>Some allegations but contested/resolved</t>
  </si>
  <si>
    <t>https://en.wikipedia.org/wiki/World_Liberty_Financial; https://www.nytimes.com/2025/04/29/us/politics/trump-world-liberty-crypto-uae.html; https://www.reuters.com/world/middle-east/trumps-stablecoin-chosen-2-billion-abu-dhabi-investment-binance-2025-05-01/</t>
  </si>
  <si>
    <t>2025-09-15; 2025-04-29; 2025-05-01</t>
  </si>
  <si>
    <t>Escalate where there are clear or repeated findings of serious misconduct by founders or key individuals with at least medium confidence.</t>
  </si>
  <si>
    <t>Major media and investigative reports describe significant controversies around World Liberty Financial and its Trump-family leadership, including alleged secret deals, conflicts of interest, and ethics concerns related to foreign investors and policy decisions. However, as of now there are no clear, adjudicated fraud or misappropriation findings specifically against WLFI’s founders or key managers in relation to this project, so this is best categorized as contested/alleged misconduct rather than established fraud.</t>
  </si>
  <si>
    <t>Based on public disclosures and credible commentary, how significant are conflicts of interest or extractive economic structures (e.g., opaque insider allocations, excessive fees, preferential treatment)? Choose: No material conflicts identified, Some concerns but mitigated or disclosed, Significant or opaque conflicts/extractive structures, Unknown.</t>
  </si>
  <si>
    <t>Significant or opaque conflicts/extractive structures</t>
  </si>
  <si>
    <t>https://crypto-economy.com/world-liberty-financial-confirms-24-6b-wlfi-circulating-supply-at-token-generation-event/; https://blog.bingx.com/bingx-insights/what-is-wlfi-a-deep-dive-into-world-liberty-financials-governance-token/; https://governance.worldlibertyfinancial.com/t/demand-for-transparency-on-wlfi-s-32-5b-token-allocation-and-circulating-supply/40065</t>
  </si>
  <si>
    <t>2025-09-01; 2025-08-24</t>
  </si>
  <si>
    <t>Public information indicates large, concentrated allocations to insiders and affiliated entities (e.g., 10B WLFI to World Liberty itself and 7.7B to partner ALT5 Sigma at launch), alongside estimates that Trump‑affiliated DT Marks DeFi LLC may control 22.5–40% of total supply. Community members have publicly demanded clearer disclosure on a 32.5B “community growth” allocation. These sizable insider stakes, political ties, and transparency gaps point to significant and potentially extractive conflicts of interest.</t>
  </si>
  <si>
    <t>≤120-word narrative summary for B.1 (regulatory actions, misconduct history and conflicts of interest).</t>
  </si>
  <si>
    <t>No direct regulatory enforcement actions against WLFI or World Liberty Financial have been reported to date. However, the project is entangled in significant conflict‑of‑interest and ethics concerns. Media and watchdogs highlight that Donald Trump and his family hold large economic stakes while Trump is president, and that WLFI-linked USD1 stablecoin was used in a $2 billion Abu Dhabi investment into Binance, raising questions about foreign influence and policy impartiality. A separate controversy involves Justin Sun’s large WLFI exposure while the SEC reportedly eased pressure on his firms, further intensifying perceived governance and integrity risks.</t>
  </si>
  <si>
    <t>https://en.wikipedia.org/wiki/World_Liberty_Financial; https://www.reuters.com/world/middle-east/trumps-stablecoin-chosen-2-billion-abu-dhabi-investment-binance-co-founder-says-2025-05-01/; https://www.reuters.com/technology/us-sec-tron-founder-justin-sun-explore-resolution-civil-fraud-case-2025-02-20/</t>
  </si>
  <si>
    <t>2025-05-01; 2025-05-01; 2025-02-20</t>
  </si>
  <si>
    <t>Open sources show no formal enforcement actions naming WLFI, but document sustained scrutiny over presidential conflicts of interest, foreign state and Binance-linked dealings using WLFI’s USD1 stablecoin, and Justin Sun’s role while under SEC investigation. These create material perceived misconduct/conflict risks even absent direct sanctions. Evidence comes from major press and reference coverage; lack of public orders leaves some residual uncertainty.</t>
  </si>
  <si>
    <t>C. Reputational Risk &amp; Public Narrative</t>
  </si>
  <si>
    <t>How would you characterise mainstream and specialist media coverage of the project over time? Choose: Generally positive or balanced, Mixed with some critical pieces, Predominantly negative or scandal-focused, Unknown.</t>
  </si>
  <si>
    <t>Predominantly negative or scandal-focused</t>
  </si>
  <si>
    <t>https://en.wikipedia.org/wiki/World_Liberty_Financial; https://www.reuters.com/business/finance/uae-fund-buys-100-million-trumps-world-liberty-tokens-2025-06-27/; https://www.politico.com/news/2025/03/25/trump-family-crypto-venture-to-launch-a-stablecoin-00247455</t>
  </si>
  <si>
    <t>2025-09-15; 2025-06-27; 2025-03-25</t>
  </si>
  <si>
    <t>Most mainstream and specialist coverage emphasizes conflicts of interest, ethics concerns, and geopolitical or regulatory risks tied to World Liberty Financial’s links to Donald Trump and foreign investors, rather than technology or user benefits. Investigations by major outlets highlight alleged pay‑to‑play dynamics, foreign influence, and controversial large token purchases, while only a minority of press (e.g., deal announcements) is neutral or promotional, making overall media framing predominantly scandal‑focused.</t>
  </si>
  <si>
    <t>Have there been major public scandals or controversies (non-technical) associated with the project (e.g., investor losses, misleading marketing, governance blow-ups)? Choose: No major controversies identified, Some controversy but limited in scope, Major or repeated controversies affecting many users, Unknown.</t>
  </si>
  <si>
    <t>Major or repeated controversies affecting many users</t>
  </si>
  <si>
    <t>https://en.wikipedia.org/wiki/World_Liberty_Financial; https://coinmarketcap.com/academy/article/world-liberty-financial-denies-allegations-of-token-sales-and-preferential-deals-amid-controversy-and-market-scrutiny; https://www.reuters.com/business/finance/uae-fund-buys-100-million-trumps-world-liberty-tokens-2025-06-27/</t>
  </si>
  <si>
    <t>2025-11-10; 2025-02-15; 2025-06-27</t>
  </si>
  <si>
    <t>Escalate where major or repeated controversies affecting many users are documented with at least medium confidence.</t>
  </si>
  <si>
    <t>There is significant, ongoing controversy around World Liberty Financial: major media have highlighted unprecedented conflicts of interest between the Trump family’s control of WLFI/its USD1 stablecoin and U.S. government policy; large politically connected and offshore investors (e.g., Abu Dhabi entities, Justin Sun) have raised ethics and governance concerns; and token freezes, swap-deal allegations, and critical public commentary have sparked sustained scrutiny across the crypto sector and mainstream press.</t>
  </si>
  <si>
    <t>How would you characterise user and community feedback based on credible public sources (forums, reviews, social media, complaint sites)? Choose: Generally positive or neutral, Mixed with some pattern of complaints, Predominantly negative or repeated serious complaints, Unknown.</t>
  </si>
  <si>
    <t>Mixed with some pattern of complaints</t>
  </si>
  <si>
    <t>https://www.reddit.com/r/CoinBase/comments/1i52ggu; https://www.reddit.com/r/CoinBase/comments/1i5ks90</t>
  </si>
  <si>
    <t>2025-01-25; 2025-01-20</t>
  </si>
  <si>
    <t>Escalate where user/community feedback is predominantly negative with repeated serious complaints, with at least medium confidence.</t>
  </si>
  <si>
    <t>Public user feedback on WLFI is mixed. Reddit threads show interest and some positive reports of successful purchases, but also multiple users reporting confusion over which WLFI is legitimate, inability to transfer tokens, missing balances, very high or opaque fees, and at least one commenter describing the experience as a “giant scam.” These recurring technical and transactional complaints indicate a notable pattern, though not uniformly negative sentiment.</t>
  </si>
  <si>
    <t>≤120-word narrative summary for C.1 (media tone, scandals and user/community feedback).</t>
  </si>
  <si>
    <t>Media coverage of WLFI is highly politicized and polarized. Major outlets emphasize its close ties to the Trump family, large personal gains, and foreign investments, raising conflict-of-interest and governance concerns, especially around the USD1 stablecoin and Abu Dhabi- and Pakistan-linked deals. Investigative pieces and ethics experts question transparency and the blurring of public office and private profit. At the same time, crypto media highlights strong fundraising, major exchange listings and speculative trading. Community feedback online is mixed: some investors are enthusiastic, while others complain about extreme volatility, wallet display issues and reports of phishing-related wallet drains affecting WLFI holders.</t>
  </si>
  <si>
    <t>https://en.wikipedia.org/wiki/World_Liberty_Financial; https://www.reuters.com/business/finance/uae-fund-buys-100-million-trumps-world-liberty-tokens-2025-06-27/; https://www.reddit.com/r/u_ksalab/comments/1n6kezs</t>
  </si>
  <si>
    <t>2025-09-01; 2025-06-27; 2025-09-02</t>
  </si>
  <si>
    <t>Multiple mainstream and crypto outlets document both enthusiasm over WLFI’s fundraising and listings, and sustained criticism over Trump-linked conflicts of interest and foreign deals. User forums show practical concerns (wallet UX, phishing drains). Evidence is broad and consistent, so overall confidence is high.</t>
  </si>
  <si>
    <t>D. ESG Alignment &amp; Real-World Impact</t>
  </si>
  <si>
    <t>Based on the underlying consensus mechanism and credible sources, how would you classify the token’s environmental impact profile? Choose: Low impact (e.g., PoS or similar), Moderate impact, High impact (e.g., PoW with high energy use), Unknown.</t>
  </si>
  <si>
    <t>Low impact (e.g., PoS or similar)</t>
  </si>
  <si>
    <t>https://en.wikipedia.org/wiki/World_Liberty_Financial; https://ethereum.org/developers/docs/consensus-mechanisms/pos/pos-vs-pow/; https://coinlaw.io/ethereum-energy-consumption-statistics/</t>
  </si>
  <si>
    <t>2025-11-10; 2025-10-28; 2025-09-15</t>
  </si>
  <si>
    <t>WLFI is issued on Ethereum, Solana and BNB Smart Chain, all of which use proof-of-stake or closely related validator-based consensus rather than energy-intensive proof-of-work mining.
Ethereum’s switch to PoS reduced its energy use by ~99.9%, making it a low-carbon platform; PoS/DPoS-style systems are generally far less energy-intensive than PoW. Therefore WLFI’s environmental impact profile is best classified as low impact.</t>
  </si>
  <si>
    <t>Are there credible ESG-related controversies or criticisms specifically linked to this project (environmental, social or governance)? Choose: No material ESG controversies identified, Some ESG criticisms but limited, Significant or repeated ESG controversies, Unknown.</t>
  </si>
  <si>
    <t>Significant or repeated ESG controversies</t>
  </si>
  <si>
    <t>https://www.reuters.com/world/middle-east/abu-dhabis-mgx-use-trump-linked-stablecoin-2-billion-binance-deal-2025-05-01/; https://www.politico.com/news/2025/03/25/trump-family-crypto-venture-to-launch-a-stablecoin-00247455; https://info.arkm.com/research/world-liberty-financial-wlfi-trump-tokenomics-stablecoin-products</t>
  </si>
  <si>
    <t>2025-05-01; 2025-03-25</t>
  </si>
  <si>
    <t>Escalate where significant or repeated ESG-related controversies are documented with at least medium confidence.</t>
  </si>
  <si>
    <t>There are multiple, sustained ESG-related controversies tied to WLFI. Major press and ethics experts have raised conflict-of-interest concerns over Trump family enrichment and government-policy overlap around WLFI and its USD1 stablecoin, including a $2B Abu Dhabi-related deal and chip export decisions benefiting associated parties. The protocol has also drawn governance criticism for its ability to blacklist wallets and freeze a large holder’s assets, challenging decentralization claims. These issues indicate significant and ongoing ESG controversy, not isolated criticism.</t>
  </si>
  <si>
    <t>≤120-word narrative summary for D.1 (environmental profile and ESG controversies).</t>
  </si>
  <si>
    <t>WLFI has no clear, project-specific environmental disclosures, net‑zero targets, or public reporting on its own operational or chain‑selection climate impacts. The token and its USD1 stablecoin run across multiple networks (e.g., Ethereum, Solana, BNB Smart Chain), so environmental footprint is largely inherited from those chains, with Ethereum and Solana now using proof‑of‑stake and relatively lower energy intensity. However, WLFI faces significant ESG‑related scrutiny on governance and ethics: media and watchdogs highlight close Trump family ownership, large personal token allocations, foreign and sovereign‑linked investments, and potential conflicts of interest between U.S. public policy and the project’s commercial success, all of which create elevated reputational risk.</t>
  </si>
  <si>
    <t>https://en.wikipedia.org/wiki/World_Liberty_Financial; https://wordlibertyfinancial.us/; https://www.nytimes.com</t>
  </si>
  <si>
    <t>2025-11-10; 2025-11-25; 2025-04-29</t>
  </si>
  <si>
    <t>No evidence of dedicated environmental strategy; ESG risk instead dominated by governance/ethics controversies and political conflicts-of-interest. Relying on secondary reporting; disclosures may evolve.</t>
  </si>
  <si>
    <t>E. Ecosystem, Partners &amp; Alignment with Regulated Finance</t>
  </si>
  <si>
    <t>How would you characterise the quality of institutional partners, backers or major integrations (if any)? Choose: Backed/partnered with reputable institutions, Mix of reputable and lesser-known partners, Mainly low-quality or opaque partners, Unknown.</t>
  </si>
  <si>
    <t>Backed/partnered with reputable institutions</t>
  </si>
  <si>
    <t>https://www.f6s.com/company/world-liberty-financial-wlfi; https://markets.financialcontent.com/stocks/article/bizwire-2025-8-12-alt5-sigma-corporation-announces-closing-of-15-billion-registered-direct-offering-and-concurrent-private-placement-to-initiate-world-liberty-financial-wlfi-treasury-strategy; https://www.theguardian.com/technology/2025/sep/02/trump-world-liberty-financial-cryptocurrency</t>
  </si>
  <si>
    <t>2025-08-12; 2025-09-02</t>
  </si>
  <si>
    <t>World Liberty Financial lists backing from recognized crypto venture and ecosystem players such as YZi Labs (Binance Labs), DWF Labs, Tron DAO, and HTX Ventures. A NASDAQ‑listed firm, ALT5 Sigma, is implementing a WLFI treasury strategy holding ~7.5% of supply, with Kraken acting as asset manager. Major exchanges like Binance and OKX list WLFI for trading. Overall, partner and integration quality appears institutionally significant rather than opaque.</t>
  </si>
  <si>
    <t>Have any major partners, backers or platforms publicly exited or distanced themselves from the project citing risk or conduct concerns? Choose: No such exits identified, Some exits for neutral/commercial reasons, Exits explicitly citing risk or conduct concerns, Unknown.</t>
  </si>
  <si>
    <t>No such exits identified</t>
  </si>
  <si>
    <t>https://en.wikipedia.org/wiki/World_Liberty_Financial; https://nypost.com/2025/09/02/business/trump-backed-wlfi-token-whipsaws-as-speculators-drive-billions-in-trades/; https://www.falconx.io/newsroom/falconx-and-world-liberty-financial-partner-to-expand-institutional-access-to-usd1</t>
  </si>
  <si>
    <t>2025-11-05; 2025-09-02; 2025-11-06</t>
  </si>
  <si>
    <t>Escalate where major partners have publicly exited or distanced themselves citing risk or conduct concerns with at least medium confidence.</t>
  </si>
  <si>
    <t>Open-source and media checks show major exchanges and institutions partnering with and listing WLFI and USD1 (e.g., Binance/OKX listings, FalconX and HTX partnerships), with coverage focused on volatility, political conflicts of interest, and technical concerns. I found no credible reports of these partners or platforms publicly exiting or terminating relationships specifically citing WLFI-related risk or misconduct, though such actions could occur without broad publicity.</t>
  </si>
  <si>
    <t>How do major regulated or “blue-chip” financial institutions (banks, asset managers, regulated exchanges) appear to position themselves in relation to this token, based on public information? Choose: Some positive or neutral inclusion/partnership, No material association identified, Public distancing or explicit exclusion, Unknown.</t>
  </si>
  <si>
    <t>No material association identified</t>
  </si>
  <si>
    <t>https://www.reuters.com/business/finance/uae-fund-buys-100-million-trumps-world-liberty-tokens-2025-06-27/; https://www.coindesk.com/markets/2025/03/14/trump-backed-world-liberty-financial-wlfi-completes-token-sale; https://coinmarketcap.com/currencies/world-liberty-financial-wlfi/</t>
  </si>
  <si>
    <t>2025-06-27; 2025-03-14</t>
  </si>
  <si>
    <t>Escalate where major regulated institutions have publicly distanced themselves from or explicitly excluded the token, with at least medium confidence.</t>
  </si>
  <si>
    <t>Public information shows WLFI is heavily associated with crypto-native platforms and politically exposed sponsors, with major trading on crypto exchanges like Binance and large positions held by specialized or regional funds (e.g., a UAE-based Aqua 1 fund). There is coverage of stablecoin USD1 being used in institutional-style deals and listed on Coinbase, but not of global blue‑chip banks, asset managers, or major regulated exchanges directly adopting or partnering on the WLFI governance token itself.</t>
  </si>
  <si>
    <t>≤120-word narrative summary for E.1 (partner quality, exits and positioning by major regulated institutions).</t>
  </si>
  <si>
    <t>WLFI’s partner profile is highly unconventional and politically exposed. Major “partners” and investors include Abu Dhabi- and UAE‑linked funds, Justin Sun, and public‑company ALT5 Sigma, rather than blue‑chip regulated banks or asset managers. Coinbase supports WLFI’s USD1 stablecoin, but this is product access, not a broad institutional endorsement of WLFI governance or token economics. The token remains closely tied to Trump family interests and controversial treasury arrangements, drawing significant political and ethical scrutiny from mainstream media and raising material reputational and ESG concerns for regulated institutions considering association.</t>
  </si>
  <si>
    <t>https://www.reuters.com/business/finance/uae-fund-buys-100-million-trumps-world-liberty-tokens-2025-06-27/; https://www.coindesk.com/markets/2025/03/14/trump-backed-world-liberty-financial-wlfi-completes-token-sale; https://www.businesswire.com/news/home/20250317855322/en/Trump-Inspired-World-Liberty-Financial-Closes-%24550-Million-Across-Token-Sales</t>
  </si>
  <si>
    <t>2025-06-27; 2025-03-14; 2025-03-17</t>
  </si>
  <si>
    <t>Public information shows notable but controversial investors (UAE fund, Justin Sun, ALT5 Sigma) and product access via Coinbase for USD1, but no evidence of broad, positive positioning by leading regulated banks or asset managers. Media highlight conflicts of interest and ethical concerns, suggesting elevated reputational/ESG risk. Some information may evolve, so confidence is medium.</t>
  </si>
  <si>
    <t>Domain</t>
  </si>
  <si>
    <t>Weight</t>
  </si>
  <si>
    <t>Domain_Avg_Final_Score</t>
  </si>
  <si>
    <t>Domain_Risk_Band</t>
  </si>
  <si>
    <t>Domain_Score_1to5</t>
  </si>
  <si>
    <t>Weighted_Contribution (AvgScore)</t>
  </si>
  <si>
    <t>Any_Board_Escalation?</t>
  </si>
  <si>
    <t>Weakest_Subsection</t>
  </si>
  <si>
    <t>Token Fundamentals &amp; Governance</t>
  </si>
  <si>
    <t>Regulatory &amp; Legal Risk</t>
  </si>
  <si>
    <t>AML &amp; Sanctions Risk</t>
  </si>
  <si>
    <t>Technical &amp; Protocol Security</t>
  </si>
  <si>
    <t>Market &amp; Liquidity Integrity</t>
  </si>
  <si>
    <t>Strategic, Reputational &amp; ESG</t>
  </si>
  <si>
    <t>Composite Avg Final_Score:</t>
  </si>
  <si>
    <t>Overall Composite Band (5-level)</t>
  </si>
  <si>
    <t>Composite Score (1–5)</t>
  </si>
  <si>
    <t>Section-Level Matrix</t>
  </si>
  <si>
    <t>Section A</t>
  </si>
  <si>
    <t>Section B</t>
  </si>
  <si>
    <t>Section C</t>
  </si>
  <si>
    <t>Section D</t>
  </si>
  <si>
    <t>Section E</t>
  </si>
  <si>
    <t>RED FLAGS &amp; ESCALATIONS (AUTO-GENERATED)</t>
  </si>
  <si>
    <t>Any Domain Board Escalation Present?</t>
  </si>
  <si>
    <t>Domains with Board Escalation:</t>
  </si>
  <si>
    <t>Domains Rated Medium-High or High: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</si>
</sst>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
  </numFmts>
  <fonts count="8" x14ac:knownFonts="1">
    <font>
      <sz val="11"/>
      <color theme="1"/>
      <name val="Calibri"/>
      <family val="2"/>
      <scheme val="minor"/>
    </font>
    <font>
      <b/>
      <sz val="11"/>
      <color theme="1"/>
      <name val="Calibri"/>
      <family val="2"/>
      <scheme val="minor"/>
    </font>
    <font>
      <b/>
      <sz val="11"/>
      <name val="Calibri"/>
      <family val="2"/>
    </font>
    <font>
      <b/>
      <sz val="11"/>
      <color theme="0" tint="-4.9989318521683403E-2"/>
      <name val="Calibri"/>
      <family val="2"/>
      <scheme val="minor"/>
    </font>
    <font>
      <u/>
      <sz val="11"/>
      <color theme="10"/>
      <name val="Calibri"/>
      <family val="2"/>
      <scheme val="minor"/>
    </font>
    <font>
      <b/>
      <sz val="11"/>
      <color theme="0"/>
      <name val="Calibri"/>
      <family val="2"/>
      <scheme val="minor"/>
    </font>
    <font>
      <b/>
      <sz val="11"/>
      <color rgb="FF000000"/>
      <name val="Calibri"/>
      <family val="2"/>
      <scheme val="minor"/>
    </font>
    <font>
      <sz val="11"/>
      <color rgb="FF000000"/>
      <name val="Calibri"/>
      <family val="2"/>
      <scheme val="minor"/>
    </font>
  </fonts>
  <fills count="12">
    <fill>
      <patternFill patternType="none"/>
    </fill>
    <fill>
      <patternFill patternType="gray125"/>
    </fill>
    <fill>
      <patternFill patternType="solid">
        <fgColor rgb="FFEEEAFB"/>
      </patternFill>
    </fill>
    <fill>
      <patternFill patternType="solid">
        <fgColor theme="8" tint="-0.249977111117893"/>
        <bgColor indexed="64"/>
      </patternFill>
    </fill>
    <fill>
      <patternFill patternType="solid">
        <fgColor theme="8" tint="0.59999389629810485"/>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6" tint="0.39997558519241921"/>
        <bgColor indexed="64"/>
      </patternFill>
    </fill>
    <fill>
      <patternFill patternType="solid">
        <fgColor rgb="FFC00000"/>
        <bgColor indexed="64"/>
      </patternFill>
    </fill>
    <fill>
      <patternFill patternType="solid">
        <fgColor theme="0" tint="-0.14999847407452621"/>
        <bgColor indexed="64"/>
      </patternFill>
    </fill>
    <fill>
      <patternFill patternType="solid">
        <fgColor rgb="FFD9D9D9"/>
        <bgColor rgb="FF000000"/>
      </patternFill>
    </fill>
    <fill>
      <patternFill patternType="solid">
        <fgColor theme="8" tint="0.79998168889431442"/>
        <bgColor indexed="64"/>
      </patternFill>
    </fill>
  </fills>
  <borders count="23">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auto="1"/>
      </top>
      <bottom style="thin">
        <color auto="1"/>
      </bottom>
      <diagonal/>
    </border>
    <border>
      <left/>
      <right style="thin">
        <color auto="1"/>
      </right>
      <top style="thin">
        <color auto="1"/>
      </top>
      <bottom style="thin">
        <color auto="1"/>
      </bottom>
      <diagonal/>
    </border>
    <border>
      <left/>
      <right/>
      <top style="thin">
        <color auto="1"/>
      </top>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thin">
        <color auto="1"/>
      </right>
      <top style="thin">
        <color auto="1"/>
      </top>
      <bottom/>
      <diagonal/>
    </border>
    <border>
      <left/>
      <right/>
      <top style="medium">
        <color indexed="64"/>
      </top>
      <bottom style="medium">
        <color indexed="64"/>
      </bottom>
      <diagonal/>
    </border>
    <border>
      <left style="thin">
        <color indexed="64"/>
      </left>
      <right style="thin">
        <color auto="1"/>
      </right>
      <top style="thin">
        <color indexed="64"/>
      </top>
      <bottom style="thin">
        <color indexed="64"/>
      </bottom>
      <diagonal/>
    </border>
    <border>
      <left/>
      <right/>
      <top style="thin">
        <color indexed="64"/>
      </top>
      <bottom style="thin">
        <color indexed="64"/>
      </bottom>
      <diagonal/>
    </border>
    <border>
      <left/>
      <right style="thin">
        <color auto="1"/>
      </right>
      <top style="thin">
        <color indexed="64"/>
      </top>
      <bottom style="thin">
        <color indexed="64"/>
      </bottom>
      <diagonal/>
    </border>
  </borders>
  <cellStyleXfs count="2">
    <xf numFmtId="0" fontId="0" fillId="0" borderId="0"/>
    <xf numFmtId="0" fontId="4" fillId="0" borderId="0"/>
  </cellStyleXfs>
  <cellXfs count="59">
    <xf numFmtId="0" fontId="0" fillId="0" borderId="0" xfId="0"/>
    <xf numFmtId="0" fontId="1" fillId="0" borderId="1" xfId="0" applyFont="1" applyBorder="1" applyAlignment="1">
      <alignment horizontal="center" vertical="top"/>
    </xf>
    <xf numFmtId="0" fontId="2" fillId="2" borderId="0" xfId="0" applyFont="1" applyFill="1"/>
    <xf numFmtId="0" fontId="2" fillId="2" borderId="0" xfId="0" applyFont="1" applyFill="1" applyAlignment="1">
      <alignment horizontal="left"/>
    </xf>
    <xf numFmtId="0" fontId="1" fillId="3" borderId="0" xfId="0" applyFont="1" applyFill="1" applyAlignment="1">
      <alignment horizontal="center" vertical="top"/>
    </xf>
    <xf numFmtId="0" fontId="3" fillId="3" borderId="0" xfId="0" applyFont="1" applyFill="1" applyAlignment="1">
      <alignment horizontal="center" vertical="top"/>
    </xf>
    <xf numFmtId="0" fontId="1" fillId="0" borderId="0" xfId="0" applyFont="1"/>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0" borderId="11" xfId="0" applyBorder="1"/>
    <xf numFmtId="0" fontId="0" fillId="0" borderId="12" xfId="0" applyBorder="1"/>
    <xf numFmtId="0" fontId="1" fillId="4" borderId="1" xfId="0" applyFont="1" applyFill="1" applyBorder="1" applyAlignment="1">
      <alignment horizontal="center" vertical="top"/>
    </xf>
    <xf numFmtId="0" fontId="0" fillId="0" borderId="0" xfId="0" applyAlignment="1">
      <alignment vertical="top" wrapText="1"/>
    </xf>
    <xf numFmtId="0" fontId="1" fillId="0" borderId="1" xfId="0" applyFont="1" applyBorder="1" applyAlignment="1">
      <alignment vertical="top" wrapText="1"/>
    </xf>
    <xf numFmtId="0" fontId="0" fillId="0" borderId="1" xfId="0" applyBorder="1" applyAlignment="1">
      <alignment vertical="top" wrapText="1"/>
    </xf>
    <xf numFmtId="164" fontId="1" fillId="0" borderId="1" xfId="0" applyNumberFormat="1" applyFont="1" applyBorder="1" applyAlignment="1">
      <alignment horizontal="center" vertical="top"/>
    </xf>
    <xf numFmtId="164" fontId="1" fillId="3" borderId="0" xfId="0" applyNumberFormat="1" applyFont="1" applyFill="1" applyAlignment="1">
      <alignment horizontal="center" vertical="top"/>
    </xf>
    <xf numFmtId="164" fontId="0" fillId="0" borderId="0" xfId="0" applyNumberFormat="1"/>
    <xf numFmtId="164" fontId="2" fillId="2" borderId="0" xfId="0" applyNumberFormat="1" applyFont="1" applyFill="1" applyAlignment="1">
      <alignment horizontal="left"/>
    </xf>
    <xf numFmtId="164" fontId="1" fillId="0" borderId="0" xfId="0" applyNumberFormat="1" applyFont="1"/>
    <xf numFmtId="0" fontId="0" fillId="0" borderId="15" xfId="0" applyBorder="1"/>
    <xf numFmtId="0" fontId="0" fillId="0" borderId="14" xfId="0" applyBorder="1"/>
    <xf numFmtId="0" fontId="0" fillId="0" borderId="18" xfId="0" applyBorder="1"/>
    <xf numFmtId="0" fontId="0" fillId="0" borderId="1" xfId="0" applyBorder="1"/>
    <xf numFmtId="0" fontId="7" fillId="0" borderId="4" xfId="0" applyFont="1" applyBorder="1"/>
    <xf numFmtId="0" fontId="7" fillId="0" borderId="12" xfId="0" applyFont="1" applyBorder="1"/>
    <xf numFmtId="0" fontId="7" fillId="0" borderId="2" xfId="0" applyFont="1" applyBorder="1"/>
    <xf numFmtId="0" fontId="7" fillId="0" borderId="0" xfId="0" applyFont="1"/>
    <xf numFmtId="0" fontId="7" fillId="0" borderId="9" xfId="0" applyFont="1" applyBorder="1"/>
    <xf numFmtId="0" fontId="7" fillId="0" borderId="3" xfId="0" applyFont="1" applyBorder="1"/>
    <xf numFmtId="0" fontId="7" fillId="0" borderId="11" xfId="0" applyFont="1" applyBorder="1"/>
    <xf numFmtId="0" fontId="4" fillId="6" borderId="1" xfId="1" applyFill="1" applyBorder="1" applyAlignment="1">
      <alignment horizontal="center"/>
    </xf>
    <xf numFmtId="0" fontId="0" fillId="0" borderId="13" xfId="0" applyBorder="1"/>
    <xf numFmtId="0" fontId="0" fillId="0" borderId="14" xfId="0" applyBorder="1"/>
    <xf numFmtId="0" fontId="4" fillId="7" borderId="1" xfId="1" applyFill="1" applyBorder="1" applyAlignment="1">
      <alignment horizontal="center"/>
    </xf>
    <xf numFmtId="0" fontId="2" fillId="2" borderId="0" xfId="0" applyFont="1" applyFill="1" applyAlignment="1">
      <alignment horizontal="left"/>
    </xf>
    <xf numFmtId="0" fontId="0" fillId="0" borderId="0" xfId="0"/>
    <xf numFmtId="164" fontId="0" fillId="0" borderId="0" xfId="0" applyNumberFormat="1"/>
    <xf numFmtId="0" fontId="0" fillId="11" borderId="3" xfId="0" applyFill="1" applyBorder="1" applyAlignment="1">
      <alignment horizontal="right"/>
    </xf>
    <xf numFmtId="0" fontId="0" fillId="0" borderId="9" xfId="0" applyBorder="1"/>
    <xf numFmtId="0" fontId="0" fillId="9" borderId="1" xfId="0" applyFill="1" applyBorder="1" applyAlignment="1">
      <alignment horizontal="center"/>
    </xf>
    <xf numFmtId="0" fontId="5" fillId="3" borderId="17" xfId="0" applyFont="1" applyFill="1" applyBorder="1" applyAlignment="1">
      <alignment horizontal="center"/>
    </xf>
    <xf numFmtId="0" fontId="0" fillId="0" borderId="19" xfId="0" applyBorder="1"/>
    <xf numFmtId="0" fontId="0" fillId="0" borderId="16" xfId="0" applyBorder="1"/>
    <xf numFmtId="0" fontId="0" fillId="11" borderId="4" xfId="0" applyFill="1" applyBorder="1" applyAlignment="1">
      <alignment horizontal="right"/>
    </xf>
    <xf numFmtId="0" fontId="0" fillId="0" borderId="12" xfId="0" applyBorder="1"/>
    <xf numFmtId="0" fontId="1" fillId="9" borderId="1" xfId="0" applyFont="1" applyFill="1" applyBorder="1" applyAlignment="1">
      <alignment horizontal="center"/>
    </xf>
    <xf numFmtId="0" fontId="6" fillId="10" borderId="20" xfId="0" applyFont="1" applyFill="1" applyBorder="1" applyAlignment="1">
      <alignment horizontal="center"/>
    </xf>
    <xf numFmtId="0" fontId="0" fillId="0" borderId="21" xfId="0" applyBorder="1"/>
    <xf numFmtId="0" fontId="0" fillId="0" borderId="22" xfId="0" applyBorder="1"/>
    <xf numFmtId="0" fontId="1" fillId="5" borderId="1" xfId="0" applyFont="1" applyFill="1" applyBorder="1" applyAlignment="1">
      <alignment horizontal="center" vertical="top"/>
    </xf>
    <xf numFmtId="0" fontId="5" fillId="8" borderId="17" xfId="0" applyFont="1" applyFill="1" applyBorder="1" applyAlignment="1">
      <alignment horizontal="center" vertical="top"/>
    </xf>
  </cellXfs>
  <cellStyles count="2">
    <cellStyle name="Hyperlink" xfId="1" builtinId="8"/>
    <cellStyle name="Normal" xfId="0" builtinId="0"/>
  </cellStyles>
  <dxfs count="24">
    <dxf>
      <fill>
        <patternFill patternType="solid">
          <fgColor rgb="FFEAF7EA"/>
          <bgColor rgb="FFEAF7EA"/>
        </patternFill>
      </fill>
    </dxf>
    <dxf>
      <fill>
        <patternFill patternType="solid">
          <fgColor rgb="FFFF0000"/>
          <bgColor rgb="FFC00000"/>
        </patternFill>
      </fill>
    </dxf>
    <dxf>
      <fill>
        <patternFill patternType="solid">
          <fgColor rgb="FFFF0000"/>
          <bgColor rgb="FFC00000"/>
        </patternFill>
      </fill>
    </dxf>
    <dxf>
      <fill>
        <patternFill patternType="solid">
          <fgColor rgb="FFF4B084"/>
          <bgColor theme="9" tint="0.39994506668294322"/>
        </patternFill>
      </fill>
    </dxf>
    <dxf>
      <fill>
        <patternFill patternType="solid">
          <fgColor rgb="FFFFF2CC"/>
          <bgColor rgb="FFFFFD78"/>
        </patternFill>
      </fill>
    </dxf>
    <dxf>
      <fill>
        <patternFill patternType="solid">
          <fgColor rgb="FFD9EAD3"/>
          <bgColor rgb="FFD5FC79"/>
        </patternFill>
      </fill>
    </dxf>
    <dxf>
      <fill>
        <patternFill patternType="solid">
          <fgColor rgb="FFC6EFCE"/>
          <bgColor rgb="FF73FB79"/>
        </patternFill>
      </fill>
    </dxf>
    <dxf>
      <fill>
        <patternFill patternType="solid">
          <fgColor rgb="FFFF0000"/>
          <bgColor rgb="FFC00000"/>
        </patternFill>
      </fill>
    </dxf>
    <dxf>
      <fill>
        <patternFill patternType="solid">
          <fgColor rgb="FFF4B084"/>
          <bgColor rgb="FFF4B084"/>
        </patternFill>
      </fill>
    </dxf>
    <dxf>
      <fill>
        <patternFill patternType="solid">
          <fgColor rgb="FFFFF2CC"/>
          <bgColor rgb="FFFFFD78"/>
        </patternFill>
      </fill>
    </dxf>
    <dxf>
      <fill>
        <patternFill patternType="solid">
          <fgColor rgb="FFD9EAD3"/>
          <bgColor rgb="FFD5FC79"/>
        </patternFill>
      </fill>
    </dxf>
    <dxf>
      <fill>
        <patternFill patternType="solid">
          <fgColor rgb="FFC6EFCE"/>
          <bgColor rgb="FF73FB79"/>
        </patternFill>
      </fill>
    </dxf>
    <dxf>
      <fill>
        <patternFill patternType="solid">
          <fgColor rgb="FFFF0000"/>
          <bgColor rgb="FFFF0000"/>
        </patternFill>
      </fill>
    </dxf>
    <dxf>
      <fill>
        <patternFill patternType="solid">
          <fgColor rgb="FFEAF7EA"/>
          <bgColor rgb="FFEAF7EA"/>
        </patternFill>
      </fill>
    </dxf>
    <dxf>
      <fill>
        <patternFill patternType="solid">
          <fgColor rgb="FFFF0000"/>
          <bgColor rgb="FFFF0000"/>
        </patternFill>
      </fill>
    </dxf>
    <dxf>
      <fill>
        <patternFill patternType="solid">
          <fgColor rgb="FFEAF7EA"/>
          <bgColor rgb="FFEAF7EA"/>
        </patternFill>
      </fill>
    </dxf>
    <dxf>
      <fill>
        <patternFill patternType="solid">
          <fgColor rgb="FFFF0000"/>
          <bgColor rgb="FFFF0000"/>
        </patternFill>
      </fill>
    </dxf>
    <dxf>
      <fill>
        <patternFill patternType="solid">
          <fgColor rgb="FFEAF7EA"/>
          <bgColor rgb="FFEAF7EA"/>
        </patternFill>
      </fill>
    </dxf>
    <dxf>
      <fill>
        <patternFill patternType="solid">
          <fgColor rgb="FFFF0000"/>
          <bgColor rgb="FFFF0000"/>
        </patternFill>
      </fill>
    </dxf>
    <dxf>
      <fill>
        <patternFill patternType="solid">
          <fgColor rgb="FFEAF7EA"/>
          <bgColor rgb="FFEAF7EA"/>
        </patternFill>
      </fill>
    </dxf>
    <dxf>
      <fill>
        <patternFill patternType="solid">
          <fgColor rgb="FFFF0000"/>
          <bgColor rgb="FFFF0000"/>
        </patternFill>
      </fill>
    </dxf>
    <dxf>
      <fill>
        <patternFill patternType="solid">
          <fgColor rgb="FFEAF7EA"/>
          <bgColor rgb="FFEAF7EA"/>
        </patternFill>
      </fill>
    </dxf>
    <dxf>
      <fill>
        <patternFill patternType="solid">
          <fgColor rgb="FFFF0000"/>
          <bgColor rgb="FFFF0000"/>
        </patternFill>
      </fill>
    </dxf>
    <dxf>
      <fill>
        <patternFill patternType="solid">
          <fgColor rgb="FFEAF7EA"/>
          <bgColor rgb="FFEAF7EA"/>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86:H390"/>
  <sheetViews>
    <sheetView topLeftCell="A79" workbookViewId="0">
      <selection activeCell="D9" sqref="D9"/>
    </sheetView>
  </sheetViews>
  <sheetFormatPr baseColWidth="10" defaultRowHeight="15" x14ac:dyDescent="0.2"/>
  <cols>
    <col min="5" max="8" width="32.6640625" style="19" customWidth="1"/>
    <col min="14" max="15" width="10.83203125" customWidth="1"/>
  </cols>
  <sheetData>
    <row r="86" spans="1:4" x14ac:dyDescent="0.2">
      <c r="A86" s="38" t="s">
        <v>0</v>
      </c>
      <c r="B86" s="39"/>
      <c r="C86" s="39"/>
      <c r="D86" s="40"/>
    </row>
    <row r="93" spans="1:4" x14ac:dyDescent="0.2">
      <c r="A93" s="38" t="s">
        <v>1</v>
      </c>
      <c r="B93" s="39"/>
      <c r="C93" s="39"/>
      <c r="D93" s="40"/>
    </row>
    <row r="99" spans="1:4" x14ac:dyDescent="0.2">
      <c r="A99" s="38" t="s">
        <v>2</v>
      </c>
      <c r="B99" s="39"/>
      <c r="C99" s="39"/>
      <c r="D99" s="40"/>
    </row>
    <row r="104" spans="1:4" x14ac:dyDescent="0.2">
      <c r="A104" s="38" t="s">
        <v>3</v>
      </c>
      <c r="B104" s="39"/>
      <c r="C104" s="39"/>
      <c r="D104" s="40"/>
    </row>
    <row r="110" spans="1:4" x14ac:dyDescent="0.2">
      <c r="A110" s="38" t="s">
        <v>4</v>
      </c>
      <c r="B110" s="39"/>
      <c r="C110" s="39"/>
      <c r="D110" s="40"/>
    </row>
    <row r="116" spans="1:4" x14ac:dyDescent="0.2">
      <c r="A116" s="38" t="s">
        <v>5</v>
      </c>
      <c r="B116" s="39"/>
      <c r="C116" s="39"/>
      <c r="D116" s="40"/>
    </row>
    <row r="231" spans="1:8" x14ac:dyDescent="0.2">
      <c r="A231" s="41" t="s">
        <v>6</v>
      </c>
      <c r="B231" s="39"/>
      <c r="C231" s="39"/>
      <c r="D231" s="40"/>
    </row>
    <row r="237" spans="1:8" ht="16" customHeight="1" x14ac:dyDescent="0.2">
      <c r="E237" s="20" t="s">
        <v>7</v>
      </c>
      <c r="F237" s="20" t="s">
        <v>8</v>
      </c>
      <c r="G237" s="20" t="s">
        <v>9</v>
      </c>
      <c r="H237" s="20" t="s">
        <v>10</v>
      </c>
    </row>
    <row r="238" spans="1:8" ht="272" customHeight="1" x14ac:dyDescent="0.2">
      <c r="E238" s="20" t="s">
        <v>11</v>
      </c>
      <c r="F238" s="20" t="s">
        <v>12</v>
      </c>
      <c r="G238" s="21" t="s">
        <v>13</v>
      </c>
      <c r="H238" s="21" t="s">
        <v>14</v>
      </c>
    </row>
    <row r="239" spans="1:8" ht="256" customHeight="1" x14ac:dyDescent="0.2">
      <c r="E239" s="20" t="s">
        <v>15</v>
      </c>
      <c r="F239" s="20" t="s">
        <v>16</v>
      </c>
      <c r="G239" s="19" t="s">
        <v>17</v>
      </c>
      <c r="H239" s="21" t="s">
        <v>18</v>
      </c>
    </row>
    <row r="240" spans="1:8" ht="272" customHeight="1" x14ac:dyDescent="0.2">
      <c r="E240" s="20" t="s">
        <v>19</v>
      </c>
      <c r="F240" s="20" t="s">
        <v>20</v>
      </c>
      <c r="G240" s="21" t="s">
        <v>21</v>
      </c>
      <c r="H240" s="21" t="s">
        <v>22</v>
      </c>
    </row>
    <row r="241" spans="5:8" ht="208" customHeight="1" x14ac:dyDescent="0.2">
      <c r="E241" s="20" t="s">
        <v>23</v>
      </c>
      <c r="F241" s="21" t="s">
        <v>24</v>
      </c>
      <c r="G241" s="21" t="s">
        <v>25</v>
      </c>
      <c r="H241" s="21" t="s">
        <v>26</v>
      </c>
    </row>
    <row r="258" spans="1:8" x14ac:dyDescent="0.2">
      <c r="A258" s="41" t="s">
        <v>6</v>
      </c>
      <c r="B258" s="39"/>
      <c r="C258" s="39"/>
      <c r="D258" s="40"/>
    </row>
    <row r="264" spans="1:8" ht="16" customHeight="1" x14ac:dyDescent="0.2">
      <c r="E264" s="20" t="s">
        <v>7</v>
      </c>
      <c r="F264" s="20" t="s">
        <v>8</v>
      </c>
      <c r="G264" s="20" t="s">
        <v>9</v>
      </c>
      <c r="H264" s="20" t="s">
        <v>27</v>
      </c>
    </row>
    <row r="265" spans="1:8" ht="395" customHeight="1" x14ac:dyDescent="0.2">
      <c r="E265" s="20" t="s">
        <v>28</v>
      </c>
      <c r="F265" s="20" t="s">
        <v>29</v>
      </c>
      <c r="G265" s="19" t="s">
        <v>30</v>
      </c>
      <c r="H265" s="21" t="s">
        <v>31</v>
      </c>
    </row>
    <row r="266" spans="1:8" ht="320" customHeight="1" x14ac:dyDescent="0.2">
      <c r="E266" s="20" t="s">
        <v>32</v>
      </c>
      <c r="F266" s="20" t="s">
        <v>33</v>
      </c>
      <c r="G266" s="21" t="s">
        <v>34</v>
      </c>
      <c r="H266" s="21" t="s">
        <v>35</v>
      </c>
    </row>
    <row r="267" spans="1:8" ht="320" customHeight="1" x14ac:dyDescent="0.2">
      <c r="E267" s="20" t="s">
        <v>36</v>
      </c>
      <c r="F267" s="20" t="s">
        <v>37</v>
      </c>
      <c r="G267" s="21" t="s">
        <v>38</v>
      </c>
      <c r="H267" s="21" t="s">
        <v>39</v>
      </c>
    </row>
    <row r="268" spans="1:8" ht="272" customHeight="1" x14ac:dyDescent="0.2">
      <c r="E268" s="20" t="s">
        <v>40</v>
      </c>
      <c r="F268" s="20" t="s">
        <v>41</v>
      </c>
      <c r="G268" s="21" t="s">
        <v>42</v>
      </c>
      <c r="H268" s="21" t="s">
        <v>43</v>
      </c>
    </row>
    <row r="269" spans="1:8" ht="208" customHeight="1" x14ac:dyDescent="0.2">
      <c r="E269" s="20" t="s">
        <v>44</v>
      </c>
      <c r="F269" s="21" t="s">
        <v>45</v>
      </c>
      <c r="G269" s="21" t="s">
        <v>46</v>
      </c>
      <c r="H269" s="21" t="s">
        <v>47</v>
      </c>
    </row>
    <row r="287" spans="1:4" x14ac:dyDescent="0.2">
      <c r="A287" s="41" t="s">
        <v>6</v>
      </c>
      <c r="B287" s="39"/>
      <c r="C287" s="39"/>
      <c r="D287" s="40"/>
    </row>
    <row r="294" spans="5:8" ht="16" customHeight="1" x14ac:dyDescent="0.2">
      <c r="E294" s="20" t="s">
        <v>7</v>
      </c>
      <c r="F294" s="20" t="s">
        <v>8</v>
      </c>
      <c r="G294" s="20" t="s">
        <v>9</v>
      </c>
      <c r="H294" s="20" t="s">
        <v>48</v>
      </c>
    </row>
    <row r="295" spans="5:8" ht="240" customHeight="1" x14ac:dyDescent="0.2">
      <c r="E295" s="20" t="s">
        <v>49</v>
      </c>
      <c r="F295" s="20" t="s">
        <v>50</v>
      </c>
      <c r="G295" s="21" t="s">
        <v>51</v>
      </c>
      <c r="H295" s="21" t="s">
        <v>52</v>
      </c>
    </row>
    <row r="296" spans="5:8" ht="240" customHeight="1" x14ac:dyDescent="0.2">
      <c r="E296" s="20" t="s">
        <v>53</v>
      </c>
      <c r="F296" s="20" t="s">
        <v>54</v>
      </c>
      <c r="G296" s="21" t="s">
        <v>55</v>
      </c>
      <c r="H296" s="21" t="s">
        <v>56</v>
      </c>
    </row>
    <row r="297" spans="5:8" ht="272" customHeight="1" x14ac:dyDescent="0.2">
      <c r="E297" s="20" t="s">
        <v>57</v>
      </c>
      <c r="F297" s="21" t="s">
        <v>58</v>
      </c>
      <c r="G297" s="21" t="s">
        <v>59</v>
      </c>
      <c r="H297" s="21" t="s">
        <v>60</v>
      </c>
    </row>
    <row r="298" spans="5:8" ht="304" customHeight="1" x14ac:dyDescent="0.2">
      <c r="E298" s="20" t="s">
        <v>61</v>
      </c>
      <c r="F298" s="20" t="s">
        <v>62</v>
      </c>
      <c r="G298" s="21" t="s">
        <v>63</v>
      </c>
      <c r="H298" s="21" t="s">
        <v>64</v>
      </c>
    </row>
    <row r="299" spans="5:8" ht="272" customHeight="1" x14ac:dyDescent="0.2">
      <c r="E299" s="20" t="s">
        <v>65</v>
      </c>
      <c r="F299" s="20" t="s">
        <v>66</v>
      </c>
      <c r="G299" s="21" t="s">
        <v>67</v>
      </c>
      <c r="H299" s="21" t="s">
        <v>68</v>
      </c>
    </row>
    <row r="300" spans="5:8" ht="192" customHeight="1" x14ac:dyDescent="0.2">
      <c r="E300" s="20" t="s">
        <v>69</v>
      </c>
      <c r="F300" s="21" t="s">
        <v>70</v>
      </c>
      <c r="G300" s="21" t="s">
        <v>71</v>
      </c>
      <c r="H300" s="21" t="s">
        <v>72</v>
      </c>
    </row>
    <row r="317" spans="1:4" x14ac:dyDescent="0.2">
      <c r="A317" s="41" t="s">
        <v>6</v>
      </c>
      <c r="B317" s="39"/>
      <c r="C317" s="39"/>
      <c r="D317" s="40"/>
    </row>
    <row r="325" spans="5:8" ht="16" customHeight="1" x14ac:dyDescent="0.2">
      <c r="E325" s="20" t="s">
        <v>7</v>
      </c>
      <c r="F325" s="20" t="s">
        <v>8</v>
      </c>
      <c r="G325" s="20" t="s">
        <v>9</v>
      </c>
      <c r="H325" s="20" t="s">
        <v>73</v>
      </c>
    </row>
    <row r="326" spans="5:8" ht="256" customHeight="1" x14ac:dyDescent="0.2">
      <c r="E326" s="20" t="s">
        <v>74</v>
      </c>
      <c r="F326" s="20" t="s">
        <v>75</v>
      </c>
      <c r="G326" s="21" t="s">
        <v>76</v>
      </c>
      <c r="H326" s="21" t="s">
        <v>77</v>
      </c>
    </row>
    <row r="327" spans="5:8" ht="240" customHeight="1" x14ac:dyDescent="0.2">
      <c r="E327" s="20" t="s">
        <v>78</v>
      </c>
      <c r="F327" s="21" t="s">
        <v>79</v>
      </c>
      <c r="G327" s="21" t="s">
        <v>80</v>
      </c>
      <c r="H327" s="21" t="s">
        <v>81</v>
      </c>
    </row>
    <row r="328" spans="5:8" ht="272" customHeight="1" x14ac:dyDescent="0.2">
      <c r="E328" s="20" t="s">
        <v>82</v>
      </c>
      <c r="F328" s="20" t="s">
        <v>83</v>
      </c>
      <c r="G328" s="21" t="s">
        <v>84</v>
      </c>
      <c r="H328" s="21" t="s">
        <v>85</v>
      </c>
    </row>
    <row r="329" spans="5:8" ht="272" customHeight="1" x14ac:dyDescent="0.2">
      <c r="E329" s="20" t="s">
        <v>86</v>
      </c>
      <c r="F329" s="21" t="s">
        <v>87</v>
      </c>
      <c r="G329" s="21" t="s">
        <v>88</v>
      </c>
      <c r="H329" s="21" t="s">
        <v>89</v>
      </c>
    </row>
    <row r="330" spans="5:8" ht="272" customHeight="1" x14ac:dyDescent="0.2">
      <c r="E330" s="20" t="s">
        <v>90</v>
      </c>
      <c r="F330" s="20" t="s">
        <v>91</v>
      </c>
      <c r="G330" s="21" t="s">
        <v>92</v>
      </c>
      <c r="H330" s="21" t="s">
        <v>93</v>
      </c>
    </row>
    <row r="331" spans="5:8" ht="240" customHeight="1" x14ac:dyDescent="0.2">
      <c r="E331" s="20" t="s">
        <v>94</v>
      </c>
      <c r="F331" s="20" t="s">
        <v>95</v>
      </c>
      <c r="G331" s="21" t="s">
        <v>96</v>
      </c>
      <c r="H331" s="21" t="s">
        <v>97</v>
      </c>
    </row>
    <row r="349" spans="1:4" x14ac:dyDescent="0.2">
      <c r="A349" s="41" t="s">
        <v>6</v>
      </c>
      <c r="B349" s="39"/>
      <c r="C349" s="39"/>
      <c r="D349" s="40"/>
    </row>
    <row r="356" spans="5:8" ht="16" customHeight="1" x14ac:dyDescent="0.2">
      <c r="E356" s="20" t="s">
        <v>7</v>
      </c>
      <c r="F356" s="20" t="s">
        <v>8</v>
      </c>
      <c r="G356" s="20" t="s">
        <v>9</v>
      </c>
      <c r="H356" s="20" t="s">
        <v>98</v>
      </c>
    </row>
    <row r="357" spans="5:8" ht="272" customHeight="1" x14ac:dyDescent="0.2">
      <c r="E357" s="20" t="s">
        <v>99</v>
      </c>
      <c r="F357" s="21" t="s">
        <v>100</v>
      </c>
      <c r="G357" s="19" t="s">
        <v>101</v>
      </c>
      <c r="H357" s="21" t="s">
        <v>102</v>
      </c>
    </row>
    <row r="358" spans="5:8" ht="288" customHeight="1" x14ac:dyDescent="0.2">
      <c r="E358" s="20" t="s">
        <v>103</v>
      </c>
      <c r="F358" s="19" t="s">
        <v>104</v>
      </c>
      <c r="G358" s="21" t="s">
        <v>105</v>
      </c>
      <c r="H358" s="21" t="s">
        <v>106</v>
      </c>
    </row>
    <row r="359" spans="5:8" ht="256" customHeight="1" x14ac:dyDescent="0.2">
      <c r="E359" s="20" t="s">
        <v>107</v>
      </c>
      <c r="F359" s="20" t="s">
        <v>108</v>
      </c>
      <c r="G359" s="21" t="s">
        <v>109</v>
      </c>
      <c r="H359" s="21" t="s">
        <v>110</v>
      </c>
    </row>
    <row r="360" spans="5:8" ht="288" customHeight="1" x14ac:dyDescent="0.2">
      <c r="E360" s="20" t="s">
        <v>111</v>
      </c>
      <c r="F360" s="20" t="s">
        <v>112</v>
      </c>
      <c r="G360" s="21" t="s">
        <v>113</v>
      </c>
      <c r="H360" s="21" t="s">
        <v>114</v>
      </c>
    </row>
    <row r="361" spans="5:8" ht="240" customHeight="1" x14ac:dyDescent="0.2">
      <c r="E361" s="20" t="s">
        <v>115</v>
      </c>
      <c r="F361" s="21" t="s">
        <v>116</v>
      </c>
      <c r="G361" s="21" t="s">
        <v>117</v>
      </c>
      <c r="H361" s="21" t="s">
        <v>118</v>
      </c>
    </row>
    <row r="378" spans="1:4" x14ac:dyDescent="0.2">
      <c r="A378" s="41" t="s">
        <v>6</v>
      </c>
      <c r="B378" s="39"/>
      <c r="C378" s="39"/>
      <c r="D378" s="40"/>
    </row>
    <row r="385" spans="5:8" ht="16" customHeight="1" x14ac:dyDescent="0.2">
      <c r="E385" s="20" t="s">
        <v>7</v>
      </c>
      <c r="F385" s="20" t="s">
        <v>8</v>
      </c>
      <c r="G385" s="20" t="s">
        <v>9</v>
      </c>
      <c r="H385" s="20" t="s">
        <v>119</v>
      </c>
    </row>
    <row r="386" spans="5:8" ht="240" customHeight="1" x14ac:dyDescent="0.2">
      <c r="E386" s="20" t="s">
        <v>120</v>
      </c>
      <c r="F386" s="20" t="s">
        <v>121</v>
      </c>
      <c r="G386" s="21" t="s">
        <v>122</v>
      </c>
      <c r="H386" s="21" t="s">
        <v>123</v>
      </c>
    </row>
    <row r="387" spans="5:8" ht="288" customHeight="1" x14ac:dyDescent="0.2">
      <c r="E387" s="20" t="s">
        <v>124</v>
      </c>
      <c r="F387" s="21" t="s">
        <v>125</v>
      </c>
      <c r="G387" s="21" t="s">
        <v>126</v>
      </c>
      <c r="H387" s="21" t="s">
        <v>127</v>
      </c>
    </row>
    <row r="388" spans="5:8" ht="272" customHeight="1" x14ac:dyDescent="0.2">
      <c r="E388" s="20" t="s">
        <v>128</v>
      </c>
      <c r="F388" s="21" t="s">
        <v>129</v>
      </c>
      <c r="G388" s="21" t="s">
        <v>130</v>
      </c>
      <c r="H388" s="21" t="s">
        <v>131</v>
      </c>
    </row>
    <row r="389" spans="5:8" ht="288" customHeight="1" x14ac:dyDescent="0.2">
      <c r="E389" s="20" t="s">
        <v>132</v>
      </c>
      <c r="F389" s="20" t="s">
        <v>133</v>
      </c>
      <c r="G389" s="21" t="s">
        <v>134</v>
      </c>
      <c r="H389" s="21" t="s">
        <v>135</v>
      </c>
    </row>
    <row r="390" spans="5:8" ht="335" customHeight="1" x14ac:dyDescent="0.2">
      <c r="E390" s="20" t="s">
        <v>136</v>
      </c>
      <c r="F390" s="19" t="s">
        <v>137</v>
      </c>
      <c r="G390" s="21" t="s">
        <v>138</v>
      </c>
      <c r="H390" s="21" t="s">
        <v>139</v>
      </c>
    </row>
  </sheetData>
  <mergeCells count="12">
    <mergeCell ref="A378:D378"/>
    <mergeCell ref="A258:D258"/>
    <mergeCell ref="A86:D86"/>
    <mergeCell ref="A104:D104"/>
    <mergeCell ref="A231:D231"/>
    <mergeCell ref="A99:D99"/>
    <mergeCell ref="A349:D349"/>
    <mergeCell ref="A93:D93"/>
    <mergeCell ref="A317:D317"/>
    <mergeCell ref="A116:D116"/>
    <mergeCell ref="A287:D287"/>
    <mergeCell ref="A110:D110"/>
  </mergeCells>
  <hyperlinks>
    <hyperlink ref="A86" location="Tab1_Map" display="View detailed regulatory mapping for Tab 1 &gt;" xr:uid="{00000000-0004-0000-0000-000000000000}"/>
    <hyperlink ref="A93" location="Tab2_Map" display="View detailed regulatory mapping for Tab 2 &gt;" xr:uid="{00000000-0004-0000-0000-000001000000}"/>
    <hyperlink ref="A99" location="Tab3_Map" display="View detailed regulatory mapping for Tab 3 &gt;" xr:uid="{00000000-0004-0000-0000-000002000000}"/>
    <hyperlink ref="A104" location="Tab4_Map" display="View detailed regulatory mapping for Tab 4 &gt;" xr:uid="{00000000-0004-0000-0000-000003000000}"/>
    <hyperlink ref="A110" location="Tab5_Map" display="View detailed regulatory mapping for Tab 5 &gt;" xr:uid="{00000000-0004-0000-0000-000004000000}"/>
    <hyperlink ref="A116" location="Tab6_Map" display="View detailed regulatory mapping for Tab 6 &gt;" xr:uid="{00000000-0004-0000-0000-000005000000}"/>
    <hyperlink ref="A231" location="Structure_Map" display="Return to: 3. Structure of the Workbook ^" xr:uid="{00000000-0004-0000-0000-000006000000}"/>
    <hyperlink ref="A258" location="Structure_Map" display="Return to: 3. Structure of the Workbook ^" xr:uid="{00000000-0004-0000-0000-000007000000}"/>
    <hyperlink ref="A287" location="Structure_Map" display="Return to: 3. Structure of the Workbook ^" xr:uid="{00000000-0004-0000-0000-000008000000}"/>
    <hyperlink ref="A317" location="Structure_Map" display="Return to: 3. Structure of the Workbook ^" xr:uid="{00000000-0004-0000-0000-000009000000}"/>
    <hyperlink ref="A349" location="Structure_Map" display="Return to: 3. Structure of the Workbook ^" xr:uid="{00000000-0004-0000-0000-00000A000000}"/>
    <hyperlink ref="A378" location="Structure_Map" display="Return to: 3. Structure of the Workbook ^" xr:uid="{00000000-0004-0000-0000-00000B000000}"/>
  </hyperlinks>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108"/>
  <sheetViews>
    <sheetView workbookViewId="0">
      <selection activeCell="R71" sqref="R71"/>
    </sheetView>
  </sheetViews>
  <sheetFormatPr baseColWidth="10" defaultColWidth="8.83203125" defaultRowHeight="15" x14ac:dyDescent="0.2"/>
  <cols>
    <col min="1" max="1" width="16.33203125" customWidth="1"/>
    <col min="2" max="2" width="154.5" customWidth="1"/>
    <col min="3" max="6" width="16.33203125" customWidth="1"/>
    <col min="7" max="7" width="23.5" customWidth="1"/>
    <col min="8" max="10" width="16.33203125" customWidth="1"/>
    <col min="11" max="11" width="24.5" style="24" customWidth="1"/>
    <col min="12" max="12" width="16.33203125" customWidth="1"/>
    <col min="13" max="13" width="21.1640625" customWidth="1"/>
    <col min="14" max="15" width="16.33203125" customWidth="1"/>
    <col min="16" max="16" width="22.6640625" customWidth="1"/>
    <col min="17" max="17" width="92.33203125" customWidth="1"/>
    <col min="18" max="18" width="52.33203125" customWidth="1"/>
    <col min="20" max="24" width="17" customWidth="1"/>
  </cols>
  <sheetData>
    <row r="1" spans="1:19" x14ac:dyDescent="0.2">
      <c r="A1" s="1" t="s">
        <v>140</v>
      </c>
      <c r="B1" s="1" t="s">
        <v>141</v>
      </c>
      <c r="C1" s="1" t="s">
        <v>142</v>
      </c>
      <c r="D1" s="1" t="s">
        <v>143</v>
      </c>
      <c r="E1" s="1" t="s">
        <v>144</v>
      </c>
      <c r="F1" s="1" t="s">
        <v>145</v>
      </c>
      <c r="G1" s="1" t="s">
        <v>146</v>
      </c>
      <c r="H1" s="1" t="s">
        <v>147</v>
      </c>
      <c r="I1" s="1" t="s">
        <v>148</v>
      </c>
      <c r="J1" s="1" t="s">
        <v>149</v>
      </c>
      <c r="K1" s="22" t="s">
        <v>150</v>
      </c>
      <c r="L1" s="1" t="s">
        <v>151</v>
      </c>
      <c r="M1" s="1" t="s">
        <v>152</v>
      </c>
      <c r="N1" s="1" t="s">
        <v>153</v>
      </c>
      <c r="O1" s="1" t="s">
        <v>154</v>
      </c>
      <c r="P1" s="1" t="s">
        <v>155</v>
      </c>
      <c r="Q1" s="1" t="s">
        <v>156</v>
      </c>
      <c r="R1" s="1" t="s">
        <v>157</v>
      </c>
      <c r="S1" t="s">
        <v>158</v>
      </c>
    </row>
    <row r="2" spans="1:19" x14ac:dyDescent="0.2">
      <c r="A2" s="4"/>
      <c r="B2" s="5" t="s">
        <v>159</v>
      </c>
      <c r="C2" s="4"/>
      <c r="D2" s="4"/>
      <c r="E2" s="4"/>
      <c r="F2" s="4"/>
      <c r="G2" s="4"/>
      <c r="H2" s="4"/>
      <c r="I2" s="4"/>
      <c r="J2" s="4"/>
      <c r="K2" s="23"/>
      <c r="L2" s="4"/>
      <c r="M2" s="4"/>
      <c r="N2" s="4"/>
      <c r="O2" s="4"/>
      <c r="P2" s="4"/>
      <c r="Q2" s="4"/>
      <c r="R2" s="4"/>
    </row>
    <row r="3" spans="1:19" x14ac:dyDescent="0.2">
      <c r="A3" s="3"/>
      <c r="B3" s="42"/>
      <c r="C3" s="43"/>
      <c r="D3" s="43"/>
      <c r="E3" s="43"/>
      <c r="F3" s="43"/>
      <c r="G3" s="43"/>
      <c r="H3" s="43"/>
      <c r="I3" s="43"/>
      <c r="J3" s="43"/>
      <c r="K3" s="44"/>
      <c r="L3" s="43"/>
      <c r="M3" s="43"/>
      <c r="N3" s="43"/>
      <c r="O3" s="43"/>
      <c r="P3" s="43"/>
      <c r="Q3" s="43"/>
      <c r="R3" s="43"/>
    </row>
    <row r="4" spans="1:19" x14ac:dyDescent="0.2">
      <c r="A4" t="s">
        <v>160</v>
      </c>
      <c r="B4" t="s">
        <v>161</v>
      </c>
      <c r="C4" t="s">
        <v>162</v>
      </c>
      <c r="D4" t="s">
        <v>163</v>
      </c>
      <c r="E4">
        <f>IF(ISNUMBER(SEARCH("Primary: Meme",C4)),22,IF(ISNUMBER(SEARCH("Primary: Asset",C4)),18,IF(ISNUMBER(SEARCH("Primary: Liquidity",C4)),15,IF(ISNUMBER(SEARCH("Primary: Governance",C4)),12,IF(ISNUMBER(SEARCH("Primary: Utility",C4)),7,IF(ISNUMBER(SEARCH("Primary: Gas",C4)),5,IF(ISNUMBER(SEARCH("Primary: Native",C4)),0,IF(ISNUMBER(SEARCH("Primary: Stablecoin",C4)),5,IF(ISNUMBER(SEARCH("Primary: LP/AMM",C4)),15,IF(C4="","",10))))))))))</f>
        <v>12</v>
      </c>
      <c r="F4">
        <f t="shared" ref="F4:F9" si="0">IF(D4="High",0,IF(D4="Medium",0.05,IF(D4="Low",0.1,IF(D4="Unknown",0.15,""))))</f>
        <v>0</v>
      </c>
      <c r="G4">
        <f t="shared" ref="G4:G9" si="1">E4*(1+F4)</f>
        <v>12</v>
      </c>
      <c r="H4" t="s">
        <v>164</v>
      </c>
      <c r="I4" t="s">
        <v>165</v>
      </c>
      <c r="J4" t="s">
        <v>166</v>
      </c>
      <c r="K4" s="24">
        <f t="shared" ref="K4:K9" si="2">IF(AND(I4="",J4=""),"",MAX(IF(I4&lt;&gt;"",DATEVALUE(TRIM(RIGHT(SUBSTITUTE(I4,";",REPT(" ",50)),50))),0),IF(J4&lt;&gt;"",DATEVALUE(TRIM(RIGHT(SUBSTITUTE(J4,";",REPT(" ",50)),50))),0)))</f>
        <v>45986</v>
      </c>
      <c r="L4">
        <f t="shared" ref="L4:L9" ca="1" si="3">IF(K4="","",TODAY()-K4)</f>
        <v>13</v>
      </c>
      <c r="M4" t="s">
        <v>167</v>
      </c>
      <c r="N4">
        <f t="shared" ref="N4:N9" ca="1" si="4">IF(M4="","",IF(L4="",INDEX($F$92:$F$95,MATCH(M4,$C$92:$C$95,0)),IF(L4&lt;=INDEX($D$92:$D$95,MATCH(M4,$C$92:$C$95,0)),0,IF(L4&lt;=INDEX($E$92:$E$95,MATCH(M4,$C$92:$C$95,0)),INDEX($F$92:$F$95,MATCH(M4,$C$92:$C$95,0)),INDEX($G$92:$G$95,MATCH(M4,$C$92:$C$95,0))))))</f>
        <v>0</v>
      </c>
      <c r="O4">
        <f t="shared" ref="O4:O9" ca="1" si="5">G4+N4</f>
        <v>12</v>
      </c>
      <c r="P4" t="s">
        <v>168</v>
      </c>
      <c r="Q4" t="s">
        <v>169</v>
      </c>
      <c r="R4" t="s">
        <v>170</v>
      </c>
    </row>
    <row r="5" spans="1:19" x14ac:dyDescent="0.2">
      <c r="A5" t="s">
        <v>171</v>
      </c>
      <c r="B5" t="s">
        <v>172</v>
      </c>
      <c r="C5" t="s">
        <v>173</v>
      </c>
      <c r="D5" t="s">
        <v>174</v>
      </c>
      <c r="E5">
        <v>0</v>
      </c>
      <c r="F5">
        <f t="shared" si="0"/>
        <v>0.05</v>
      </c>
      <c r="G5">
        <f t="shared" si="1"/>
        <v>0</v>
      </c>
      <c r="H5" t="s">
        <v>175</v>
      </c>
      <c r="I5" t="s">
        <v>176</v>
      </c>
      <c r="J5" t="s">
        <v>166</v>
      </c>
      <c r="K5" s="24">
        <f t="shared" si="2"/>
        <v>45986</v>
      </c>
      <c r="L5">
        <f t="shared" ca="1" si="3"/>
        <v>13</v>
      </c>
      <c r="M5" t="s">
        <v>167</v>
      </c>
      <c r="N5">
        <f t="shared" ca="1" si="4"/>
        <v>0</v>
      </c>
      <c r="O5">
        <f t="shared" ca="1" si="5"/>
        <v>0</v>
      </c>
      <c r="P5" t="s">
        <v>168</v>
      </c>
      <c r="Q5" t="s">
        <v>177</v>
      </c>
      <c r="R5" t="s">
        <v>178</v>
      </c>
    </row>
    <row r="6" spans="1:19" x14ac:dyDescent="0.2">
      <c r="A6" t="s">
        <v>179</v>
      </c>
      <c r="B6" t="s">
        <v>180</v>
      </c>
      <c r="C6" t="s">
        <v>181</v>
      </c>
      <c r="D6" t="s">
        <v>174</v>
      </c>
      <c r="E6">
        <f>IF(C6="Yes",0,IF(C6="Partial",10,IF(C6="No",20,"")))</f>
        <v>10</v>
      </c>
      <c r="F6">
        <f t="shared" si="0"/>
        <v>0.05</v>
      </c>
      <c r="G6">
        <f t="shared" si="1"/>
        <v>10.5</v>
      </c>
      <c r="H6" t="s">
        <v>182</v>
      </c>
      <c r="I6" t="s">
        <v>183</v>
      </c>
      <c r="J6" t="s">
        <v>166</v>
      </c>
      <c r="K6" s="24">
        <f t="shared" si="2"/>
        <v>45986</v>
      </c>
      <c r="L6">
        <f t="shared" ca="1" si="3"/>
        <v>13</v>
      </c>
      <c r="M6" t="s">
        <v>184</v>
      </c>
      <c r="N6">
        <f t="shared" ca="1" si="4"/>
        <v>0</v>
      </c>
      <c r="O6">
        <f t="shared" ca="1" si="5"/>
        <v>10.5</v>
      </c>
      <c r="P6" t="str">
        <f>IF(AND(C6="No",D6="Low"),"Review Required","No Review")</f>
        <v>No Review</v>
      </c>
      <c r="Q6" t="s">
        <v>185</v>
      </c>
      <c r="R6" t="s">
        <v>186</v>
      </c>
    </row>
    <row r="7" spans="1:19" x14ac:dyDescent="0.2">
      <c r="A7" t="s">
        <v>187</v>
      </c>
      <c r="B7" t="s">
        <v>188</v>
      </c>
      <c r="C7" t="s">
        <v>189</v>
      </c>
      <c r="D7" t="s">
        <v>174</v>
      </c>
      <c r="E7">
        <f>IF(C7="","",IF(((LEN(C7)-LEN(SUBSTITUTE(C7,",","")))+(LEN(C7)-LEN(SUBSTITUTE(C7,";","")))+(LEN(C7)-LEN(SUBSTITUTE(C7,CHAR(10),""))))&gt;=1,0,10))</f>
        <v>0</v>
      </c>
      <c r="F7">
        <f t="shared" si="0"/>
        <v>0.05</v>
      </c>
      <c r="G7">
        <f t="shared" si="1"/>
        <v>0</v>
      </c>
      <c r="H7" t="s">
        <v>190</v>
      </c>
      <c r="I7" t="s">
        <v>191</v>
      </c>
      <c r="J7" t="s">
        <v>166</v>
      </c>
      <c r="K7" s="24">
        <f t="shared" si="2"/>
        <v>45986</v>
      </c>
      <c r="L7">
        <f t="shared" ca="1" si="3"/>
        <v>13</v>
      </c>
      <c r="M7" t="s">
        <v>184</v>
      </c>
      <c r="N7">
        <f t="shared" ca="1" si="4"/>
        <v>0</v>
      </c>
      <c r="O7">
        <f t="shared" ca="1" si="5"/>
        <v>0</v>
      </c>
      <c r="P7" t="s">
        <v>168</v>
      </c>
      <c r="Q7" t="s">
        <v>192</v>
      </c>
      <c r="R7" t="s">
        <v>193</v>
      </c>
    </row>
    <row r="8" spans="1:19" x14ac:dyDescent="0.2">
      <c r="A8" t="s">
        <v>194</v>
      </c>
      <c r="B8" t="s">
        <v>195</v>
      </c>
      <c r="C8" t="s">
        <v>196</v>
      </c>
      <c r="D8" t="s">
        <v>174</v>
      </c>
      <c r="E8">
        <f>IF(C8="","",IF(ISNUMBER(SEARCH("Speculators (primary)",C8)),20,IF(ISNUMBER(SEARCH("Speculators (secondary)",C8)),15,IF(ISNUMBER(SEARCH("Speculators (minor)",C8)),10,IF(OR(ISNUMBER(SEARCH("Retail",C8)),ISNUMBER(SEARCH("Institutions",C8))),5,0)))))</f>
        <v>20</v>
      </c>
      <c r="F8">
        <f t="shared" si="0"/>
        <v>0.05</v>
      </c>
      <c r="G8">
        <f t="shared" si="1"/>
        <v>21</v>
      </c>
      <c r="H8" t="s">
        <v>197</v>
      </c>
      <c r="I8" t="s">
        <v>198</v>
      </c>
      <c r="J8" t="s">
        <v>166</v>
      </c>
      <c r="K8" s="24">
        <f t="shared" si="2"/>
        <v>45986</v>
      </c>
      <c r="L8">
        <f t="shared" ca="1" si="3"/>
        <v>13</v>
      </c>
      <c r="M8" t="s">
        <v>184</v>
      </c>
      <c r="N8">
        <f t="shared" ca="1" si="4"/>
        <v>0</v>
      </c>
      <c r="O8">
        <f t="shared" ca="1" si="5"/>
        <v>21</v>
      </c>
      <c r="P8" t="str">
        <f>IF(AND(ISNUMBER(SEARCH("Speculator",C8)),E7=20),"Review Required","No Review")</f>
        <v>No Review</v>
      </c>
      <c r="Q8" t="s">
        <v>199</v>
      </c>
      <c r="R8" t="s">
        <v>200</v>
      </c>
    </row>
    <row r="9" spans="1:19" x14ac:dyDescent="0.2">
      <c r="A9" t="s">
        <v>201</v>
      </c>
      <c r="B9" t="s">
        <v>202</v>
      </c>
      <c r="C9" t="s">
        <v>203</v>
      </c>
      <c r="D9" t="s">
        <v>163</v>
      </c>
      <c r="E9">
        <v>0</v>
      </c>
      <c r="F9">
        <f t="shared" si="0"/>
        <v>0</v>
      </c>
      <c r="G9">
        <f t="shared" si="1"/>
        <v>0</v>
      </c>
      <c r="H9" t="s">
        <v>204</v>
      </c>
      <c r="I9" t="s">
        <v>205</v>
      </c>
      <c r="J9" t="s">
        <v>166</v>
      </c>
      <c r="K9" s="24">
        <f t="shared" si="2"/>
        <v>45986</v>
      </c>
      <c r="L9">
        <f t="shared" ca="1" si="3"/>
        <v>13</v>
      </c>
      <c r="M9" t="s">
        <v>167</v>
      </c>
      <c r="N9">
        <f t="shared" ca="1" si="4"/>
        <v>0</v>
      </c>
      <c r="O9">
        <f t="shared" ca="1" si="5"/>
        <v>0</v>
      </c>
      <c r="P9" t="s">
        <v>168</v>
      </c>
      <c r="Q9" t="s">
        <v>206</v>
      </c>
      <c r="R9" t="s">
        <v>207</v>
      </c>
    </row>
    <row r="10" spans="1:19" x14ac:dyDescent="0.2">
      <c r="A10" s="3"/>
      <c r="B10" s="42"/>
      <c r="C10" s="43"/>
      <c r="D10" s="43"/>
      <c r="E10" s="43"/>
      <c r="F10" s="43"/>
      <c r="G10" s="43"/>
      <c r="H10" s="43"/>
      <c r="I10" s="43"/>
      <c r="J10" s="43"/>
      <c r="K10" s="44"/>
      <c r="L10" s="43"/>
      <c r="M10" s="43"/>
      <c r="N10" s="43"/>
      <c r="O10" s="43"/>
      <c r="P10" s="43"/>
      <c r="Q10" s="43"/>
      <c r="R10" s="43"/>
    </row>
    <row r="11" spans="1:19" x14ac:dyDescent="0.2">
      <c r="A11" t="s">
        <v>208</v>
      </c>
      <c r="B11" t="s">
        <v>209</v>
      </c>
      <c r="C11" t="s">
        <v>210</v>
      </c>
      <c r="D11" t="s">
        <v>174</v>
      </c>
      <c r="E11">
        <f>IF(C11="Yes",0,IF(C11="Partially",10,IF(C11="No",20,"")))</f>
        <v>20</v>
      </c>
      <c r="F11">
        <f>IF(D11="High",0,IF(D11="Medium",0.05,IF(D11="Low",0.1,IF(D11="Unknown",0.15,""))))</f>
        <v>0.05</v>
      </c>
      <c r="G11">
        <f>E11*(1+F11)</f>
        <v>21</v>
      </c>
      <c r="H11" t="s">
        <v>211</v>
      </c>
      <c r="I11" t="s">
        <v>212</v>
      </c>
      <c r="J11" t="s">
        <v>166</v>
      </c>
      <c r="K11" s="24">
        <f>IF(AND(I11="",J11=""),"",MAX(IF(I11&lt;&gt;"",DATEVALUE(TRIM(RIGHT(SUBSTITUTE(I11,";",REPT(" ",50)),50))),0),IF(J11&lt;&gt;"",DATEVALUE(TRIM(RIGHT(SUBSTITUTE(J11,";",REPT(" ",50)),50))),0)))</f>
        <v>45986</v>
      </c>
      <c r="L11">
        <f ca="1">IF(K11="","",TODAY()-K11)</f>
        <v>13</v>
      </c>
      <c r="M11" t="s">
        <v>167</v>
      </c>
      <c r="N11">
        <f ca="1">IF(M11="","",IF(L11="",INDEX($F$92:$F$95,MATCH(M11,$C$92:$C$95,0)),IF(L11&lt;=INDEX($D$92:$D$95,MATCH(M11,$C$92:$C$95,0)),0,IF(L11&lt;=INDEX($E$92:$E$95,MATCH(M11,$C$92:$C$95,0)),INDEX($F$92:$F$95,MATCH(M11,$C$92:$C$95,0)),INDEX($G$92:$G$95,MATCH(M11,$C$92:$C$95,0))))))</f>
        <v>0</v>
      </c>
      <c r="O11">
        <f ca="1">G11+N11</f>
        <v>21</v>
      </c>
      <c r="P11" t="s">
        <v>168</v>
      </c>
      <c r="R11" t="s">
        <v>213</v>
      </c>
    </row>
    <row r="12" spans="1:19" x14ac:dyDescent="0.2">
      <c r="A12" t="s">
        <v>214</v>
      </c>
      <c r="B12" t="s">
        <v>215</v>
      </c>
      <c r="C12" t="s">
        <v>216</v>
      </c>
      <c r="D12" t="s">
        <v>174</v>
      </c>
      <c r="E12">
        <f>IF(C12="Yes",0,IF(C12="Limited",10,IF(C12="No",20,"")))</f>
        <v>10</v>
      </c>
      <c r="F12">
        <f>IF(D12="High",0,IF(D12="Medium",0.05,IF(D12="Low",0.1,IF(D12="Unknown",0.15,""))))</f>
        <v>0.05</v>
      </c>
      <c r="G12">
        <f>E12*(1+F12)</f>
        <v>10.5</v>
      </c>
      <c r="H12" t="s">
        <v>217</v>
      </c>
      <c r="I12" t="s">
        <v>218</v>
      </c>
      <c r="J12" t="s">
        <v>166</v>
      </c>
      <c r="K12" s="24">
        <f>IF(AND(I12="",J12=""),"",MAX(IF(I12&lt;&gt;"",DATEVALUE(TRIM(RIGHT(SUBSTITUTE(I12,";",REPT(" ",50)),50))),0),IF(J12&lt;&gt;"",DATEVALUE(TRIM(RIGHT(SUBSTITUTE(J12,";",REPT(" ",50)),50))),0)))</f>
        <v>45986</v>
      </c>
      <c r="L12">
        <f ca="1">IF(K12="","",TODAY()-K12)</f>
        <v>13</v>
      </c>
      <c r="M12" t="s">
        <v>167</v>
      </c>
      <c r="N12">
        <f ca="1">IF(M12="","",IF(L12="",INDEX($F$92:$F$95,MATCH(M12,$C$92:$C$95,0)),IF(L12&lt;=INDEX($D$92:$D$95,MATCH(M12,$C$92:$C$95,0)),0,IF(L12&lt;=INDEX($E$92:$E$95,MATCH(M12,$C$92:$C$95,0)),INDEX($F$92:$F$95,MATCH(M12,$C$92:$C$95,0)),INDEX($G$92:$G$95,MATCH(M12,$C$92:$C$95,0))))))</f>
        <v>0</v>
      </c>
      <c r="O12">
        <f ca="1">G12+N12</f>
        <v>10.5</v>
      </c>
      <c r="P12" t="s">
        <v>168</v>
      </c>
      <c r="R12" t="s">
        <v>219</v>
      </c>
    </row>
    <row r="13" spans="1:19" x14ac:dyDescent="0.2">
      <c r="A13" t="s">
        <v>220</v>
      </c>
      <c r="B13" t="s">
        <v>221</v>
      </c>
      <c r="C13" t="s">
        <v>163</v>
      </c>
      <c r="D13" t="s">
        <v>174</v>
      </c>
      <c r="E13">
        <f>IF(C13="Low",0,IF(C13="Moderate",10,IF(C13="High",20,"")))</f>
        <v>20</v>
      </c>
      <c r="F13">
        <f>IF(D13="High",0,IF(D13="Medium",0.05,IF(D13="Low",0.1,IF(D13="Unknown",0.15,""))))</f>
        <v>0.05</v>
      </c>
      <c r="G13">
        <f>E13*(1+F13)</f>
        <v>21</v>
      </c>
      <c r="H13" t="s">
        <v>222</v>
      </c>
      <c r="I13" t="s">
        <v>223</v>
      </c>
      <c r="J13" t="s">
        <v>166</v>
      </c>
      <c r="K13" s="24">
        <f>IF(AND(I13="",J13=""),"",MAX(IF(I13&lt;&gt;"",DATEVALUE(TRIM(RIGHT(SUBSTITUTE(I13,";",REPT(" ",50)),50))),0),IF(J13&lt;&gt;"",DATEVALUE(TRIM(RIGHT(SUBSTITUTE(J13,";",REPT(" ",50)),50))),0)))</f>
        <v>45986</v>
      </c>
      <c r="L13">
        <f ca="1">IF(K13="","",TODAY()-K13)</f>
        <v>13</v>
      </c>
      <c r="M13" t="s">
        <v>167</v>
      </c>
      <c r="N13">
        <f ca="1">IF(M13="","",IF(L13="",INDEX($F$92:$F$95,MATCH(M13,$C$92:$C$95,0)),IF(L13&lt;=INDEX($D$92:$D$95,MATCH(M13,$C$92:$C$95,0)),0,IF(L13&lt;=INDEX($E$92:$E$95,MATCH(M13,$C$92:$C$95,0)),INDEX($F$92:$F$95,MATCH(M13,$C$92:$C$95,0)),INDEX($G$92:$G$95,MATCH(M13,$C$92:$C$95,0))))))</f>
        <v>0</v>
      </c>
      <c r="O13">
        <f ca="1">G13+N13</f>
        <v>21</v>
      </c>
      <c r="P13" t="s">
        <v>168</v>
      </c>
      <c r="R13" t="s">
        <v>224</v>
      </c>
    </row>
    <row r="14" spans="1:19" x14ac:dyDescent="0.2">
      <c r="A14" t="s">
        <v>225</v>
      </c>
      <c r="B14" t="s">
        <v>226</v>
      </c>
      <c r="C14" t="s">
        <v>227</v>
      </c>
      <c r="D14" t="s">
        <v>174</v>
      </c>
      <c r="E14">
        <v>0</v>
      </c>
      <c r="F14">
        <f>IF(D14="High",0,IF(D14="Medium",0.05,IF(D14="Low",0.1,IF(D14="Unknown",0.15,""))))</f>
        <v>0.05</v>
      </c>
      <c r="G14">
        <f>E14*(1+F14)</f>
        <v>0</v>
      </c>
      <c r="H14" t="s">
        <v>228</v>
      </c>
      <c r="I14" t="s">
        <v>229</v>
      </c>
      <c r="J14" t="s">
        <v>166</v>
      </c>
      <c r="K14" s="24">
        <f>IF(AND(I14="",J14=""),"",MAX(IF(I14&lt;&gt;"",DATEVALUE(TRIM(RIGHT(SUBSTITUTE(I14,";",REPT(" ",50)),50))),0),IF(J14&lt;&gt;"",DATEVALUE(TRIM(RIGHT(SUBSTITUTE(J14,";",REPT(" ",50)),50))),0)))</f>
        <v>45986</v>
      </c>
      <c r="L14">
        <f ca="1">IF(K14="","",TODAY()-K14)</f>
        <v>13</v>
      </c>
      <c r="M14" t="s">
        <v>167</v>
      </c>
      <c r="N14">
        <f ca="1">IF(M14="","",IF(L14="",INDEX($F$92:$F$95,MATCH(M14,$C$92:$C$95,0)),IF(L14&lt;=INDEX($D$92:$D$95,MATCH(M14,$C$92:$C$95,0)),0,IF(L14&lt;=INDEX($E$92:$E$95,MATCH(M14,$C$92:$C$95,0)),INDEX($F$92:$F$95,MATCH(M14,$C$92:$C$95,0)),INDEX($G$92:$G$95,MATCH(M14,$C$92:$C$95,0))))))</f>
        <v>0</v>
      </c>
      <c r="O14">
        <f ca="1">G14+N14</f>
        <v>0</v>
      </c>
      <c r="P14" t="s">
        <v>168</v>
      </c>
      <c r="Q14" t="s">
        <v>206</v>
      </c>
      <c r="R14" t="s">
        <v>230</v>
      </c>
    </row>
    <row r="15" spans="1:19" x14ac:dyDescent="0.2">
      <c r="A15" s="3"/>
      <c r="B15" s="42"/>
      <c r="C15" s="43"/>
      <c r="D15" s="43"/>
      <c r="E15" s="43"/>
      <c r="F15" s="43"/>
      <c r="G15" s="43"/>
      <c r="H15" s="43"/>
      <c r="I15" s="43"/>
      <c r="J15" s="43"/>
      <c r="K15" s="44"/>
      <c r="L15" s="43"/>
      <c r="M15" s="43"/>
      <c r="N15" s="43"/>
      <c r="O15" s="43"/>
      <c r="P15" s="43"/>
      <c r="Q15" s="43"/>
      <c r="R15" s="43"/>
    </row>
    <row r="16" spans="1:19" x14ac:dyDescent="0.2">
      <c r="A16" t="s">
        <v>231</v>
      </c>
      <c r="B16" t="s">
        <v>232</v>
      </c>
      <c r="C16" t="s">
        <v>233</v>
      </c>
      <c r="D16" t="s">
        <v>163</v>
      </c>
      <c r="E16">
        <f>IF(C16="Usage-driven",0,IF(C16="Mixed",10,IF(C16="Speculative",20,"")))</f>
        <v>20</v>
      </c>
      <c r="F16">
        <f>IF(D16="High",0,IF(D16="Medium",0.05,IF(D16="Low",0.1,IF(D16="Unknown",0.15,""))))</f>
        <v>0</v>
      </c>
      <c r="G16">
        <f>E16*(1+F16)</f>
        <v>20</v>
      </c>
      <c r="H16" t="s">
        <v>234</v>
      </c>
      <c r="I16" t="s">
        <v>235</v>
      </c>
      <c r="J16" t="s">
        <v>166</v>
      </c>
      <c r="K16" s="24">
        <f>IF(AND(I16="",J16=""),"",MAX(IF(I16&lt;&gt;"",DATEVALUE(TRIM(RIGHT(SUBSTITUTE(I16,";",REPT(" ",50)),50))),0),IF(J16&lt;&gt;"",DATEVALUE(TRIM(RIGHT(SUBSTITUTE(J16,";",REPT(" ",50)),50))),0)))</f>
        <v>45986</v>
      </c>
      <c r="L16">
        <f ca="1">IF(K16="","",TODAY()-K16)</f>
        <v>13</v>
      </c>
      <c r="M16" t="s">
        <v>184</v>
      </c>
      <c r="N16">
        <f ca="1">IF(M16="","",IF(L16="",INDEX($F$92:$F$95,MATCH(M16,$C$92:$C$95,0)),IF(L16&lt;=INDEX($D$92:$D$95,MATCH(M16,$C$92:$C$95,0)),0,IF(L16&lt;=INDEX($E$92:$E$95,MATCH(M16,$C$92:$C$95,0)),INDEX($F$92:$F$95,MATCH(M16,$C$92:$C$95,0)),INDEX($G$92:$G$95,MATCH(M16,$C$92:$C$95,0))))))</f>
        <v>0</v>
      </c>
      <c r="O16">
        <f ca="1">G16+N16</f>
        <v>20</v>
      </c>
      <c r="P16" t="str">
        <f>IF(AND(C16="Speculative",E7=20),"Review Required","No Review")</f>
        <v>No Review</v>
      </c>
      <c r="Q16" t="s">
        <v>236</v>
      </c>
      <c r="R16" t="s">
        <v>237</v>
      </c>
    </row>
    <row r="17" spans="1:19" x14ac:dyDescent="0.2">
      <c r="A17" t="s">
        <v>238</v>
      </c>
      <c r="B17" t="s">
        <v>239</v>
      </c>
      <c r="C17" t="s">
        <v>240</v>
      </c>
      <c r="D17" t="s">
        <v>163</v>
      </c>
      <c r="E17">
        <v>0</v>
      </c>
      <c r="F17">
        <f>IF(D17="High",0,IF(D17="Medium",0.05,IF(D17="Low",0.1,IF(D17="Unknown",0.15,""))))</f>
        <v>0</v>
      </c>
      <c r="G17">
        <f>E17*(1+F17)</f>
        <v>0</v>
      </c>
      <c r="H17" t="s">
        <v>241</v>
      </c>
      <c r="I17" t="s">
        <v>242</v>
      </c>
      <c r="J17" t="s">
        <v>166</v>
      </c>
      <c r="K17" s="24">
        <f>IF(AND(I17="",J17=""),"",MAX(IF(I17&lt;&gt;"",DATEVALUE(TRIM(RIGHT(SUBSTITUTE(I17,";",REPT(" ",50)),50))),0),IF(J17&lt;&gt;"",DATEVALUE(TRIM(RIGHT(SUBSTITUTE(J17,";",REPT(" ",50)),50))),0)))</f>
        <v>45986</v>
      </c>
      <c r="L17">
        <f ca="1">IF(K17="","",TODAY()-K17)</f>
        <v>13</v>
      </c>
      <c r="M17" t="s">
        <v>184</v>
      </c>
      <c r="N17">
        <f ca="1">IF(M17="","",IF(L17="",INDEX($F$92:$F$95,MATCH(M17,$C$92:$C$95,0)),IF(L17&lt;=INDEX($D$92:$D$95,MATCH(M17,$C$92:$C$95,0)),0,IF(L17&lt;=INDEX($E$92:$E$95,MATCH(M17,$C$92:$C$95,0)),INDEX($F$92:$F$95,MATCH(M17,$C$92:$C$95,0)),INDEX($G$92:$G$95,MATCH(M17,$C$92:$C$95,0))))))</f>
        <v>0</v>
      </c>
      <c r="O17">
        <f ca="1">G17+N17</f>
        <v>0</v>
      </c>
      <c r="P17" t="s">
        <v>168</v>
      </c>
      <c r="Q17" t="s">
        <v>206</v>
      </c>
      <c r="R17" t="s">
        <v>243</v>
      </c>
    </row>
    <row r="18" spans="1:19" x14ac:dyDescent="0.2">
      <c r="A18" s="4"/>
      <c r="B18" s="5" t="s">
        <v>244</v>
      </c>
      <c r="C18" s="4"/>
      <c r="D18" s="4"/>
      <c r="E18" s="4"/>
      <c r="F18" s="4"/>
      <c r="G18" s="4"/>
      <c r="H18" s="4"/>
      <c r="I18" s="4"/>
      <c r="J18" s="4"/>
      <c r="K18" s="23"/>
      <c r="L18" s="4"/>
      <c r="M18" s="4"/>
      <c r="N18" s="4" t="str">
        <f>IF(M18="","",IF(L18="",INDEX($F$92:$F$95,MATCH(M18,$C$92:$C$95,0)),IF(L18&lt;=INDEX($D$92:$D$95,MATCH(M18,$C$92:$C$95,0)),0,IF(L18&lt;=INDEX($E$92:$E$95,MATCH(M18,$C$92:$C$95,0)),INDEX($F$92:$F$95,MATCH(M18,$C$92:$C$95,0)),INDEX($G$92:$G$95,MATCH(M18,$C$92:$C$95,0))))))</f>
        <v/>
      </c>
      <c r="O18" s="4"/>
      <c r="P18" s="4"/>
      <c r="Q18" s="4"/>
      <c r="R18" s="4"/>
    </row>
    <row r="19" spans="1:19" x14ac:dyDescent="0.2">
      <c r="A19" s="2"/>
      <c r="B19" s="42"/>
      <c r="C19" s="43"/>
      <c r="D19" s="43"/>
      <c r="E19" s="43"/>
      <c r="F19" s="43"/>
      <c r="G19" s="43"/>
      <c r="H19" s="43"/>
      <c r="I19" s="43"/>
      <c r="J19" s="43"/>
      <c r="K19" s="44"/>
      <c r="L19" s="43"/>
      <c r="M19" s="43"/>
      <c r="N19" s="43"/>
      <c r="O19" s="43"/>
      <c r="P19" s="43"/>
      <c r="Q19" s="43"/>
      <c r="R19" s="43"/>
    </row>
    <row r="20" spans="1:19" x14ac:dyDescent="0.2">
      <c r="A20" t="s">
        <v>245</v>
      </c>
      <c r="B20" t="s">
        <v>246</v>
      </c>
      <c r="C20" t="s">
        <v>247</v>
      </c>
      <c r="D20" t="s">
        <v>163</v>
      </c>
      <c r="E20">
        <f>IF(C20="DAO",0,IF(C20="Hybrid (Foundation + DAO)",10,IF(C20="Foundation",10,IF(C20="Company",20,IF(C20="Unknown",20,"")))))</f>
        <v>20</v>
      </c>
      <c r="F20">
        <f>IF(D20="High",0,IF(D20="Medium",0.05,IF(D20="Low",0.1,IF(D20="Unknown",0.15,""))))</f>
        <v>0</v>
      </c>
      <c r="G20">
        <f>E20*(1+F20)</f>
        <v>20</v>
      </c>
      <c r="H20" t="s">
        <v>248</v>
      </c>
      <c r="I20" t="s">
        <v>249</v>
      </c>
      <c r="J20" t="s">
        <v>250</v>
      </c>
      <c r="K20" s="24">
        <f>IF(AND(I20="",J20=""),"",MAX(IF(I20&lt;&gt;"",DATEVALUE(TRIM(RIGHT(SUBSTITUTE(I20,";",REPT(" ",50)),50))),0),IF(J20&lt;&gt;"",DATEVALUE(TRIM(RIGHT(SUBSTITUTE(J20,";",REPT(" ",50)),50))),0)))</f>
        <v>45986</v>
      </c>
      <c r="L20">
        <f ca="1">IF(K20="","",TODAY()-K20)</f>
        <v>13</v>
      </c>
      <c r="M20" t="s">
        <v>167</v>
      </c>
      <c r="N20">
        <f ca="1">IF(M20="","",IF(L20="",INDEX($F$92:$F$95,MATCH(M20,$C$92:$C$95,0)),IF(L20&lt;=INDEX($D$92:$D$95,MATCH(M20,$C$92:$C$95,0)),0,IF(L20&lt;=INDEX($E$92:$E$95,MATCH(M20,$C$92:$C$95,0)),INDEX($F$92:$F$95,MATCH(M20,$C$92:$C$95,0)),INDEX($G$92:$G$95,MATCH(M20,$C$92:$C$95,0))))))</f>
        <v>0</v>
      </c>
      <c r="O20">
        <f ca="1">G20+N20</f>
        <v>20</v>
      </c>
      <c r="P20" t="s">
        <v>168</v>
      </c>
      <c r="R20" t="s">
        <v>251</v>
      </c>
    </row>
    <row r="21" spans="1:19" x14ac:dyDescent="0.2">
      <c r="A21" t="s">
        <v>252</v>
      </c>
      <c r="B21" t="s">
        <v>253</v>
      </c>
      <c r="C21" t="s">
        <v>181</v>
      </c>
      <c r="D21" t="s">
        <v>174</v>
      </c>
      <c r="E21">
        <f>IF(C21="Yes",0,IF(C21="Partial",10,IF(C21="No",20,"")))</f>
        <v>10</v>
      </c>
      <c r="F21">
        <f>IF(D21="High",0,IF(D21="Medium",0.05,IF(D21="Low",0.1,IF(D21="Unknown",0.15,""))))</f>
        <v>0.05</v>
      </c>
      <c r="G21">
        <f>E21*(1+F21)</f>
        <v>10.5</v>
      </c>
      <c r="H21" t="s">
        <v>254</v>
      </c>
      <c r="I21" t="s">
        <v>255</v>
      </c>
      <c r="J21" t="s">
        <v>250</v>
      </c>
      <c r="K21" s="24">
        <f>IF(AND(I21="",J21=""),"",MAX(IF(I21&lt;&gt;"",DATEVALUE(TRIM(RIGHT(SUBSTITUTE(I21,";",REPT(" ",50)),50))),0),IF(J21&lt;&gt;"",DATEVALUE(TRIM(RIGHT(SUBSTITUTE(J21,";",REPT(" ",50)),50))),0)))</f>
        <v>45986</v>
      </c>
      <c r="L21">
        <f ca="1">IF(K21="","",TODAY()-K21)</f>
        <v>13</v>
      </c>
      <c r="M21" t="s">
        <v>167</v>
      </c>
      <c r="N21">
        <f ca="1">IF(M21="","",IF(L21="",INDEX($F$92:$F$95,MATCH(M21,$C$92:$C$95,0)),IF(L21&lt;=INDEX($D$92:$D$95,MATCH(M21,$C$92:$C$95,0)),0,IF(L21&lt;=INDEX($E$92:$E$95,MATCH(M21,$C$92:$C$95,0)),INDEX($F$92:$F$95,MATCH(M21,$C$92:$C$95,0)),INDEX($G$92:$G$95,MATCH(M21,$C$92:$C$95,0))))))</f>
        <v>0</v>
      </c>
      <c r="O21">
        <f ca="1">G21+N21</f>
        <v>10.5</v>
      </c>
      <c r="P21" t="s">
        <v>168</v>
      </c>
      <c r="R21" t="s">
        <v>256</v>
      </c>
    </row>
    <row r="22" spans="1:19" x14ac:dyDescent="0.2">
      <c r="A22" t="s">
        <v>257</v>
      </c>
      <c r="B22" t="s">
        <v>258</v>
      </c>
      <c r="C22" t="s">
        <v>259</v>
      </c>
      <c r="D22" t="s">
        <v>163</v>
      </c>
      <c r="E22">
        <f>IF(C22="Yes",0,IF(C22="No",20,IF(C22="Unknown",10,"")))</f>
        <v>0</v>
      </c>
      <c r="F22">
        <f>IF(D22="High",0,IF(D22="Medium",0.05,IF(D22="Low",0.1,IF(D22="Unknown",0.15,""))))</f>
        <v>0</v>
      </c>
      <c r="G22">
        <f>E22*(1+F22)</f>
        <v>0</v>
      </c>
      <c r="H22" t="s">
        <v>260</v>
      </c>
      <c r="I22" t="s">
        <v>261</v>
      </c>
      <c r="J22" t="s">
        <v>166</v>
      </c>
      <c r="K22" s="24">
        <f>IF(AND(I22="",J22=""),"",MAX(IF(I22&lt;&gt;"",DATEVALUE(TRIM(RIGHT(SUBSTITUTE(I22,";",REPT(" ",50)),50))),0),IF(J22&lt;&gt;"",DATEVALUE(TRIM(RIGHT(SUBSTITUTE(J22,";",REPT(" ",50)),50))),0)))</f>
        <v>45986</v>
      </c>
      <c r="L22">
        <f ca="1">IF(K22="","",TODAY()-K22)</f>
        <v>13</v>
      </c>
      <c r="M22" t="s">
        <v>167</v>
      </c>
      <c r="N22">
        <f ca="1">IF(M22="","",IF(L22="",INDEX($F$92:$F$95,MATCH(M22,$C$92:$C$95,0)),IF(L22&lt;=INDEX($D$92:$D$95,MATCH(M22,$C$92:$C$95,0)),0,IF(L22&lt;=INDEX($E$92:$E$95,MATCH(M22,$C$92:$C$95,0)),INDEX($F$92:$F$95,MATCH(M22,$C$92:$C$95,0)),INDEX($G$92:$G$95,MATCH(M22,$C$92:$C$95,0))))))</f>
        <v>0</v>
      </c>
      <c r="O22">
        <f ca="1">G22+N22</f>
        <v>0</v>
      </c>
      <c r="P22" t="s">
        <v>168</v>
      </c>
      <c r="R22" t="s">
        <v>262</v>
      </c>
    </row>
    <row r="23" spans="1:19" x14ac:dyDescent="0.2">
      <c r="A23" t="s">
        <v>263</v>
      </c>
      <c r="B23" t="s">
        <v>264</v>
      </c>
      <c r="C23" t="s">
        <v>259</v>
      </c>
      <c r="D23" t="s">
        <v>163</v>
      </c>
      <c r="E23">
        <f>IF(C23="Yes",0,IF(C23="No",20,IF(C23="Unknown",10,"")))</f>
        <v>0</v>
      </c>
      <c r="F23">
        <f>IF(D23="High",0,IF(D23="Medium",0.05,IF(D23="Low",0.1,IF(D23="Unknown",0.15,""))))</f>
        <v>0</v>
      </c>
      <c r="G23">
        <f>E23*(1+F23)</f>
        <v>0</v>
      </c>
      <c r="H23" t="s">
        <v>265</v>
      </c>
      <c r="I23" t="s">
        <v>266</v>
      </c>
      <c r="J23" t="s">
        <v>250</v>
      </c>
      <c r="K23" s="24">
        <f>IF(AND(I23="",J23=""),"",MAX(IF(I23&lt;&gt;"",DATEVALUE(TRIM(RIGHT(SUBSTITUTE(I23,";",REPT(" ",50)),50))),0),IF(J23&lt;&gt;"",DATEVALUE(TRIM(RIGHT(SUBSTITUTE(J23,";",REPT(" ",50)),50))),0)))</f>
        <v>45986</v>
      </c>
      <c r="L23">
        <f ca="1">IF(K23="","",TODAY()-K23)</f>
        <v>13</v>
      </c>
      <c r="M23" t="s">
        <v>167</v>
      </c>
      <c r="N23">
        <f ca="1">IF(M23="","",IF(L23="",INDEX($F$92:$F$95,MATCH(M23,$C$92:$C$95,0)),IF(L23&lt;=INDEX($D$92:$D$95,MATCH(M23,$C$92:$C$95,0)),0,IF(L23&lt;=INDEX($E$92:$E$95,MATCH(M23,$C$92:$C$95,0)),INDEX($F$92:$F$95,MATCH(M23,$C$92:$C$95,0)),INDEX($G$92:$G$95,MATCH(M23,$C$92:$C$95,0))))))</f>
        <v>0</v>
      </c>
      <c r="O23">
        <f ca="1">G23+N23</f>
        <v>0</v>
      </c>
      <c r="P23" t="s">
        <v>168</v>
      </c>
      <c r="R23" t="s">
        <v>267</v>
      </c>
    </row>
    <row r="24" spans="1:19" x14ac:dyDescent="0.2">
      <c r="A24" t="s">
        <v>268</v>
      </c>
      <c r="B24" t="s">
        <v>269</v>
      </c>
      <c r="C24" t="s">
        <v>259</v>
      </c>
      <c r="D24" t="s">
        <v>174</v>
      </c>
      <c r="E24">
        <f>IF(C24="Yes",0,IF(C24="Partial",10,IF(C24="No",20,"")))</f>
        <v>0</v>
      </c>
      <c r="F24">
        <f>IF(D24="High",0,IF(D24="Medium",0.05,IF(D24="Low",0.1,IF(D24="Unknown",0.15,""))))</f>
        <v>0.05</v>
      </c>
      <c r="G24">
        <f>E24*(1+F24)</f>
        <v>0</v>
      </c>
      <c r="H24" t="s">
        <v>270</v>
      </c>
      <c r="I24" t="s">
        <v>271</v>
      </c>
      <c r="J24" t="s">
        <v>166</v>
      </c>
      <c r="K24" s="24">
        <f>IF(AND(I24="",J24=""),"",MAX(IF(I24&lt;&gt;"",DATEVALUE(TRIM(RIGHT(SUBSTITUTE(I24,";",REPT(" ",50)),50))),0),IF(J24&lt;&gt;"",DATEVALUE(TRIM(RIGHT(SUBSTITUTE(J24,";",REPT(" ",50)),50))),0)))</f>
        <v>45986</v>
      </c>
      <c r="L24">
        <f ca="1">IF(K24="","",TODAY()-K24)</f>
        <v>13</v>
      </c>
      <c r="M24" t="s">
        <v>167</v>
      </c>
      <c r="N24">
        <f ca="1">IF(M24="","",IF(L24="",INDEX($F$92:$F$95,MATCH(M24,$C$92:$C$95,0)),IF(L24&lt;=INDEX($D$92:$D$95,MATCH(M24,$C$92:$C$95,0)),0,IF(L24&lt;=INDEX($E$92:$E$95,MATCH(M24,$C$92:$C$95,0)),INDEX($F$92:$F$95,MATCH(M24,$C$92:$C$95,0)),INDEX($G$92:$G$95,MATCH(M24,$C$92:$C$95,0))))))</f>
        <v>0</v>
      </c>
      <c r="O24">
        <f ca="1">G24+N24</f>
        <v>0</v>
      </c>
      <c r="P24" t="s">
        <v>168</v>
      </c>
      <c r="R24" t="s">
        <v>272</v>
      </c>
    </row>
    <row r="25" spans="1:19" x14ac:dyDescent="0.2">
      <c r="A25" s="2"/>
      <c r="B25" s="42"/>
      <c r="C25" s="43"/>
      <c r="D25" s="43"/>
      <c r="E25" s="43"/>
      <c r="F25" s="43"/>
      <c r="G25" s="43"/>
      <c r="H25" s="43"/>
      <c r="I25" s="43"/>
      <c r="J25" s="43"/>
      <c r="K25" s="44"/>
      <c r="L25" s="43"/>
      <c r="M25" s="43"/>
      <c r="N25" s="43"/>
      <c r="O25" s="43"/>
      <c r="P25" s="43"/>
      <c r="Q25" s="43"/>
      <c r="R25" s="43"/>
    </row>
    <row r="26" spans="1:19" x14ac:dyDescent="0.2">
      <c r="A26" t="s">
        <v>273</v>
      </c>
      <c r="B26" t="s">
        <v>274</v>
      </c>
      <c r="C26" t="s">
        <v>275</v>
      </c>
      <c r="D26" t="s">
        <v>275</v>
      </c>
      <c r="E26">
        <f>IF(C26="No upgrades (immutable)",0,
 IF(C26="DAO vote",0,
 IF(C26="Large multisig (≥4)",10,
 IF(C26="Small multisig (≤3)",10,
 IF(C26="Single dev",20,
 IF(C26="Unknown",10,"")))))
)</f>
        <v>10</v>
      </c>
      <c r="F26">
        <f t="shared" ref="F26:F32" si="6">IF(D26="High",0,IF(D26="Medium",0.05,IF(D26="Low",0.1,IF(D26="Unknown",0.15,""))))</f>
        <v>0.15</v>
      </c>
      <c r="G26">
        <f t="shared" ref="G26:G32" si="7">E26*(1+F26)</f>
        <v>11.5</v>
      </c>
      <c r="K26" s="24" t="str">
        <f t="shared" ref="K26:K32" si="8">IF(AND(I26="",J26=""),"",MAX(IF(I26&lt;&gt;"",DATEVALUE(TRIM(RIGHT(SUBSTITUTE(I26,";",REPT(" ",50)),50))),0),IF(J26&lt;&gt;"",DATEVALUE(TRIM(RIGHT(SUBSTITUTE(J26,";",REPT(" ",50)),50))),0)))</f>
        <v/>
      </c>
      <c r="L26" t="str">
        <f t="shared" ref="L26:L32" ca="1" si="9">IF(K26="","",TODAY()-K26)</f>
        <v/>
      </c>
      <c r="M26" t="s">
        <v>276</v>
      </c>
      <c r="N26">
        <f t="shared" ref="N26:N32" ca="1" si="10">IF(M26="","",IF(L26="",INDEX($F$92:$F$95,MATCH(M26,$C$92:$C$95,0)),IF(L26&lt;=INDEX($D$92:$D$95,MATCH(M26,$C$92:$C$95,0)),0,IF(L26&lt;=INDEX($E$92:$E$95,MATCH(M26,$C$92:$C$95,0)),INDEX($F$92:$F$95,MATCH(M26,$C$92:$C$95,0)),INDEX($G$92:$G$95,MATCH(M26,$C$92:$C$95,0))))))</f>
        <v>5</v>
      </c>
      <c r="O26">
        <f t="shared" ref="O26:O32" ca="1" si="11">G26+N26</f>
        <v>16.5</v>
      </c>
      <c r="P26" t="str">
        <f>IF(C26="Single dev","Review Required","No Review")</f>
        <v>No Review</v>
      </c>
      <c r="Q26" t="s">
        <v>277</v>
      </c>
      <c r="R26" t="s">
        <v>278</v>
      </c>
      <c r="S26" t="s">
        <v>279</v>
      </c>
    </row>
    <row r="27" spans="1:19" x14ac:dyDescent="0.2">
      <c r="A27" t="s">
        <v>280</v>
      </c>
      <c r="B27" t="s">
        <v>281</v>
      </c>
      <c r="C27" t="s">
        <v>181</v>
      </c>
      <c r="D27" t="s">
        <v>174</v>
      </c>
      <c r="E27">
        <f>IF(C27="Yes",0,IF(C27="Partial",10,IF(C27="No",20,"")))</f>
        <v>10</v>
      </c>
      <c r="F27">
        <f t="shared" si="6"/>
        <v>0.05</v>
      </c>
      <c r="G27">
        <f t="shared" si="7"/>
        <v>10.5</v>
      </c>
      <c r="H27" t="s">
        <v>282</v>
      </c>
      <c r="I27" t="s">
        <v>283</v>
      </c>
      <c r="J27" t="s">
        <v>166</v>
      </c>
      <c r="K27" s="24">
        <f t="shared" si="8"/>
        <v>45986</v>
      </c>
      <c r="L27">
        <f t="shared" ca="1" si="9"/>
        <v>13</v>
      </c>
      <c r="M27" t="s">
        <v>167</v>
      </c>
      <c r="N27">
        <f t="shared" ca="1" si="10"/>
        <v>0</v>
      </c>
      <c r="O27">
        <f t="shared" ca="1" si="11"/>
        <v>10.5</v>
      </c>
      <c r="P27" t="s">
        <v>168</v>
      </c>
      <c r="R27" t="s">
        <v>284</v>
      </c>
    </row>
    <row r="28" spans="1:19" x14ac:dyDescent="0.2">
      <c r="A28" t="s">
        <v>285</v>
      </c>
      <c r="B28" t="s">
        <v>286</v>
      </c>
      <c r="C28" t="s">
        <v>210</v>
      </c>
      <c r="D28" t="s">
        <v>174</v>
      </c>
      <c r="E28">
        <f>IF(C28="Yes",0,IF(C28="No",20,IF(C28="Unknown",10,"")))</f>
        <v>20</v>
      </c>
      <c r="F28">
        <f t="shared" si="6"/>
        <v>0.05</v>
      </c>
      <c r="G28">
        <f t="shared" si="7"/>
        <v>21</v>
      </c>
      <c r="H28" t="s">
        <v>287</v>
      </c>
      <c r="J28" t="s">
        <v>250</v>
      </c>
      <c r="K28" s="24">
        <f t="shared" si="8"/>
        <v>45986</v>
      </c>
      <c r="L28">
        <f t="shared" ca="1" si="9"/>
        <v>13</v>
      </c>
      <c r="M28" t="s">
        <v>276</v>
      </c>
      <c r="N28">
        <f t="shared" ca="1" si="10"/>
        <v>0</v>
      </c>
      <c r="O28">
        <f t="shared" ca="1" si="11"/>
        <v>21</v>
      </c>
      <c r="P28" t="str">
        <f>IF(AND(C28="No", OR(C26="Single dev", C26="Small multisig (≤3)")),"Review Required","No Review")</f>
        <v>No Review</v>
      </c>
      <c r="Q28" t="s">
        <v>288</v>
      </c>
      <c r="R28" t="s">
        <v>289</v>
      </c>
    </row>
    <row r="29" spans="1:19" x14ac:dyDescent="0.2">
      <c r="A29" t="s">
        <v>290</v>
      </c>
      <c r="B29" t="s">
        <v>291</v>
      </c>
      <c r="C29" t="s">
        <v>259</v>
      </c>
      <c r="D29" t="s">
        <v>163</v>
      </c>
      <c r="E29">
        <f>IF(C29="Yes",10,IF(C29="No",0,IF(C29="Unknown",5,"")))</f>
        <v>10</v>
      </c>
      <c r="F29">
        <f t="shared" si="6"/>
        <v>0</v>
      </c>
      <c r="G29">
        <f t="shared" si="7"/>
        <v>10</v>
      </c>
      <c r="H29" t="s">
        <v>292</v>
      </c>
      <c r="I29" t="s">
        <v>293</v>
      </c>
      <c r="J29" t="s">
        <v>250</v>
      </c>
      <c r="K29" s="24">
        <f t="shared" si="8"/>
        <v>45986</v>
      </c>
      <c r="L29">
        <f t="shared" ca="1" si="9"/>
        <v>13</v>
      </c>
      <c r="M29" t="s">
        <v>276</v>
      </c>
      <c r="N29">
        <f t="shared" ca="1" si="10"/>
        <v>0</v>
      </c>
      <c r="O29">
        <f t="shared" ca="1" si="11"/>
        <v>10</v>
      </c>
      <c r="P29" t="s">
        <v>168</v>
      </c>
      <c r="R29" t="s">
        <v>294</v>
      </c>
    </row>
    <row r="30" spans="1:19" x14ac:dyDescent="0.2">
      <c r="A30" t="s">
        <v>295</v>
      </c>
      <c r="B30" t="s">
        <v>296</v>
      </c>
      <c r="C30" t="s">
        <v>275</v>
      </c>
      <c r="D30" t="s">
        <v>174</v>
      </c>
      <c r="E30">
        <f>IF(C30="Yes",0,IF(C30="No",20,IF(C30="Unknown",10,"")))</f>
        <v>10</v>
      </c>
      <c r="F30">
        <f t="shared" si="6"/>
        <v>0.05</v>
      </c>
      <c r="G30">
        <f t="shared" si="7"/>
        <v>10.5</v>
      </c>
      <c r="H30" t="s">
        <v>297</v>
      </c>
      <c r="I30" t="s">
        <v>298</v>
      </c>
      <c r="J30" t="s">
        <v>166</v>
      </c>
      <c r="K30" s="24">
        <f t="shared" si="8"/>
        <v>45986</v>
      </c>
      <c r="L30">
        <f t="shared" ca="1" si="9"/>
        <v>13</v>
      </c>
      <c r="M30" t="s">
        <v>184</v>
      </c>
      <c r="N30">
        <f t="shared" ca="1" si="10"/>
        <v>0</v>
      </c>
      <c r="O30">
        <f t="shared" ca="1" si="11"/>
        <v>10.5</v>
      </c>
      <c r="P30" t="s">
        <v>168</v>
      </c>
      <c r="R30" t="s">
        <v>299</v>
      </c>
    </row>
    <row r="31" spans="1:19" x14ac:dyDescent="0.2">
      <c r="A31" t="s">
        <v>300</v>
      </c>
      <c r="B31" t="s">
        <v>301</v>
      </c>
      <c r="C31" t="s">
        <v>302</v>
      </c>
      <c r="D31" t="s">
        <v>174</v>
      </c>
      <c r="E31">
        <f>IF(C31="","",
 IF(C31="Binding",0,
 IF(C31="Advisory",10,
 IF(C31="No DAO",20,
 IF(C31="Unknown",10,"")))))</f>
        <v>10</v>
      </c>
      <c r="F31">
        <f t="shared" si="6"/>
        <v>0.05</v>
      </c>
      <c r="G31">
        <f t="shared" si="7"/>
        <v>10.5</v>
      </c>
      <c r="H31" t="s">
        <v>303</v>
      </c>
      <c r="I31" t="s">
        <v>304</v>
      </c>
      <c r="J31" t="s">
        <v>250</v>
      </c>
      <c r="K31" s="24">
        <f t="shared" si="8"/>
        <v>45986</v>
      </c>
      <c r="L31">
        <f t="shared" ca="1" si="9"/>
        <v>13</v>
      </c>
      <c r="M31" t="s">
        <v>305</v>
      </c>
      <c r="N31">
        <f t="shared" ca="1" si="10"/>
        <v>0</v>
      </c>
      <c r="O31">
        <f t="shared" ca="1" si="11"/>
        <v>10.5</v>
      </c>
      <c r="P31" t="s">
        <v>168</v>
      </c>
      <c r="R31" t="s">
        <v>306</v>
      </c>
    </row>
    <row r="32" spans="1:19" x14ac:dyDescent="0.2">
      <c r="A32" t="s">
        <v>307</v>
      </c>
      <c r="B32" t="s">
        <v>308</v>
      </c>
      <c r="C32" t="s">
        <v>259</v>
      </c>
      <c r="D32" t="s">
        <v>163</v>
      </c>
      <c r="E32">
        <f>IF(C32="No",0,IF(C32="Yes",10,IF(C32="Unknown",5,"")))</f>
        <v>10</v>
      </c>
      <c r="F32">
        <f t="shared" si="6"/>
        <v>0</v>
      </c>
      <c r="G32">
        <f t="shared" si="7"/>
        <v>10</v>
      </c>
      <c r="H32" t="s">
        <v>309</v>
      </c>
      <c r="I32" t="s">
        <v>310</v>
      </c>
      <c r="J32" t="s">
        <v>166</v>
      </c>
      <c r="K32" s="24">
        <f t="shared" si="8"/>
        <v>45986</v>
      </c>
      <c r="L32">
        <f t="shared" ca="1" si="9"/>
        <v>13</v>
      </c>
      <c r="M32" t="s">
        <v>184</v>
      </c>
      <c r="N32">
        <f t="shared" ca="1" si="10"/>
        <v>0</v>
      </c>
      <c r="O32">
        <f t="shared" ca="1" si="11"/>
        <v>10</v>
      </c>
      <c r="P32" t="s">
        <v>168</v>
      </c>
      <c r="R32" t="s">
        <v>311</v>
      </c>
    </row>
    <row r="33" spans="1:18" x14ac:dyDescent="0.2">
      <c r="A33" s="2"/>
      <c r="B33" s="42"/>
      <c r="C33" s="43"/>
      <c r="D33" s="43"/>
      <c r="E33" s="43"/>
      <c r="F33" s="43"/>
      <c r="G33" s="43"/>
      <c r="H33" s="43"/>
      <c r="I33" s="43"/>
      <c r="J33" s="43"/>
      <c r="K33" s="44"/>
      <c r="L33" s="43"/>
      <c r="M33" s="43"/>
      <c r="N33" s="43"/>
      <c r="O33" s="43"/>
      <c r="P33" s="43"/>
      <c r="Q33" s="43"/>
      <c r="R33" s="43"/>
    </row>
    <row r="34" spans="1:18" x14ac:dyDescent="0.2">
      <c r="A34" t="s">
        <v>312</v>
      </c>
      <c r="B34" t="s">
        <v>313</v>
      </c>
      <c r="C34" t="s">
        <v>314</v>
      </c>
      <c r="D34" t="s">
        <v>315</v>
      </c>
      <c r="E34">
        <f>IF(C34="DAO",0,IF(C34="≥4",10,IF(C34="≤3",20,IF(C34="Single",20,""))))</f>
        <v>20</v>
      </c>
      <c r="F34">
        <f t="shared" ref="F34:F39" si="12">IF(D34="High",0,IF(D34="Medium",0.05,IF(D34="Low",0.1,IF(D34="Unknown",0.15,""))))</f>
        <v>0.1</v>
      </c>
      <c r="G34">
        <f t="shared" ref="G34:G39" si="13">E34*(1+F34)</f>
        <v>22</v>
      </c>
      <c r="H34" t="s">
        <v>316</v>
      </c>
      <c r="I34" t="s">
        <v>317</v>
      </c>
      <c r="J34" t="s">
        <v>166</v>
      </c>
      <c r="K34" s="24">
        <f t="shared" ref="K34:K39" si="14">IF(AND(I34="",J34=""),"",MAX(IF(I34&lt;&gt;"",DATEVALUE(TRIM(RIGHT(SUBSTITUTE(I34,";",REPT(" ",50)),50))),0),IF(J34&lt;&gt;"",DATEVALUE(TRIM(RIGHT(SUBSTITUTE(J34,";",REPT(" ",50)),50))),0)))</f>
        <v>45986</v>
      </c>
      <c r="L34">
        <f t="shared" ref="L34:L39" ca="1" si="15">IF(K34="","",TODAY()-K34)</f>
        <v>13</v>
      </c>
      <c r="M34" t="s">
        <v>276</v>
      </c>
      <c r="N34">
        <f t="shared" ref="N34:N39" ca="1" si="16">IF(M34="","",IF(L34="",INDEX($F$92:$F$95,MATCH(M34,$C$92:$C$95,0)),IF(L34&lt;=INDEX($D$92:$D$95,MATCH(M34,$C$92:$C$95,0)),0,IF(L34&lt;=INDEX($E$92:$E$95,MATCH(M34,$C$92:$C$95,0)),INDEX($F$92:$F$95,MATCH(M34,$C$92:$C$95,0)),INDEX($G$92:$G$95,MATCH(M34,$C$92:$C$95,0))))))</f>
        <v>0</v>
      </c>
      <c r="O34">
        <f t="shared" ref="O34:O39" ca="1" si="17">G34+N34</f>
        <v>22</v>
      </c>
      <c r="P34" t="str">
        <f>IF(OR(C34="Single",C34="≤3"),IF(OR(C35="No",C36="No",C37="No",C38="No",C39="Yes"),"Review Required","No Review"),"No Review")</f>
        <v>Review Required</v>
      </c>
      <c r="Q34" t="s">
        <v>318</v>
      </c>
      <c r="R34" t="s">
        <v>319</v>
      </c>
    </row>
    <row r="35" spans="1:18" x14ac:dyDescent="0.2">
      <c r="A35" t="s">
        <v>320</v>
      </c>
      <c r="B35" t="s">
        <v>321</v>
      </c>
      <c r="C35" t="s">
        <v>275</v>
      </c>
      <c r="D35" t="s">
        <v>315</v>
      </c>
      <c r="E35">
        <f>IF(C35="Yes",0,IF(C35="No",20,IF(C35="Unknown",10,"")))</f>
        <v>10</v>
      </c>
      <c r="F35">
        <f t="shared" si="12"/>
        <v>0.1</v>
      </c>
      <c r="G35">
        <f t="shared" si="13"/>
        <v>11</v>
      </c>
      <c r="H35" t="s">
        <v>322</v>
      </c>
      <c r="I35" t="s">
        <v>323</v>
      </c>
      <c r="J35" t="s">
        <v>250</v>
      </c>
      <c r="K35" s="24">
        <f t="shared" si="14"/>
        <v>45986</v>
      </c>
      <c r="L35">
        <f t="shared" ca="1" si="15"/>
        <v>13</v>
      </c>
      <c r="M35" t="s">
        <v>167</v>
      </c>
      <c r="N35">
        <f t="shared" ca="1" si="16"/>
        <v>0</v>
      </c>
      <c r="O35">
        <f t="shared" ca="1" si="17"/>
        <v>11</v>
      </c>
      <c r="P35" t="s">
        <v>168</v>
      </c>
      <c r="R35" t="s">
        <v>324</v>
      </c>
    </row>
    <row r="36" spans="1:18" x14ac:dyDescent="0.2">
      <c r="A36" t="s">
        <v>325</v>
      </c>
      <c r="B36" t="s">
        <v>326</v>
      </c>
      <c r="C36" t="s">
        <v>210</v>
      </c>
      <c r="D36" t="s">
        <v>174</v>
      </c>
      <c r="E36">
        <f>IF(C36="Yes",0,IF(C36="Partial",10,IF(C36="No",20,"")))</f>
        <v>20</v>
      </c>
      <c r="F36">
        <f t="shared" si="12"/>
        <v>0.05</v>
      </c>
      <c r="G36">
        <f t="shared" si="13"/>
        <v>21</v>
      </c>
      <c r="H36" t="s">
        <v>327</v>
      </c>
      <c r="I36" t="s">
        <v>328</v>
      </c>
      <c r="J36" t="s">
        <v>166</v>
      </c>
      <c r="K36" s="24">
        <f t="shared" si="14"/>
        <v>45986</v>
      </c>
      <c r="L36">
        <f t="shared" ca="1" si="15"/>
        <v>13</v>
      </c>
      <c r="M36" t="s">
        <v>184</v>
      </c>
      <c r="N36">
        <f t="shared" ca="1" si="16"/>
        <v>0</v>
      </c>
      <c r="O36">
        <f t="shared" ca="1" si="17"/>
        <v>21</v>
      </c>
      <c r="P36" t="s">
        <v>168</v>
      </c>
      <c r="R36" t="s">
        <v>329</v>
      </c>
    </row>
    <row r="37" spans="1:18" x14ac:dyDescent="0.2">
      <c r="A37" t="s">
        <v>330</v>
      </c>
      <c r="B37" t="s">
        <v>331</v>
      </c>
      <c r="C37" t="s">
        <v>210</v>
      </c>
      <c r="D37" t="s">
        <v>174</v>
      </c>
      <c r="E37">
        <f>IF(C37="Yes",0,IF(C37="No",20,IF(C37="Unknown",10,"")))</f>
        <v>20</v>
      </c>
      <c r="F37">
        <f t="shared" si="12"/>
        <v>0.05</v>
      </c>
      <c r="G37">
        <f t="shared" si="13"/>
        <v>21</v>
      </c>
      <c r="H37" t="s">
        <v>332</v>
      </c>
      <c r="I37" t="s">
        <v>333</v>
      </c>
      <c r="J37" t="s">
        <v>166</v>
      </c>
      <c r="K37" s="24">
        <f t="shared" si="14"/>
        <v>45986</v>
      </c>
      <c r="L37">
        <f t="shared" ca="1" si="15"/>
        <v>13</v>
      </c>
      <c r="M37" t="s">
        <v>305</v>
      </c>
      <c r="N37">
        <f t="shared" ca="1" si="16"/>
        <v>0</v>
      </c>
      <c r="O37">
        <f t="shared" ca="1" si="17"/>
        <v>21</v>
      </c>
      <c r="P37" t="s">
        <v>168</v>
      </c>
      <c r="R37" t="s">
        <v>334</v>
      </c>
    </row>
    <row r="38" spans="1:18" x14ac:dyDescent="0.2">
      <c r="A38" t="s">
        <v>335</v>
      </c>
      <c r="B38" t="s">
        <v>336</v>
      </c>
      <c r="C38" t="s">
        <v>259</v>
      </c>
      <c r="D38" t="s">
        <v>163</v>
      </c>
      <c r="E38">
        <f>IF(C38="Yes",0,IF(C38="No",20,IF(C38="Unknown",10,"")))</f>
        <v>0</v>
      </c>
      <c r="F38">
        <f t="shared" si="12"/>
        <v>0</v>
      </c>
      <c r="G38">
        <f t="shared" si="13"/>
        <v>0</v>
      </c>
      <c r="H38" t="s">
        <v>337</v>
      </c>
      <c r="I38" t="s">
        <v>338</v>
      </c>
      <c r="J38" t="s">
        <v>250</v>
      </c>
      <c r="K38" s="24">
        <f t="shared" si="14"/>
        <v>45986</v>
      </c>
      <c r="L38">
        <f t="shared" ca="1" si="15"/>
        <v>13</v>
      </c>
      <c r="M38" t="s">
        <v>184</v>
      </c>
      <c r="N38">
        <f t="shared" ca="1" si="16"/>
        <v>0</v>
      </c>
      <c r="O38">
        <f t="shared" ca="1" si="17"/>
        <v>0</v>
      </c>
      <c r="P38" t="s">
        <v>168</v>
      </c>
      <c r="R38" t="s">
        <v>339</v>
      </c>
    </row>
    <row r="39" spans="1:18" x14ac:dyDescent="0.2">
      <c r="A39" t="s">
        <v>340</v>
      </c>
      <c r="B39" t="s">
        <v>341</v>
      </c>
      <c r="C39" t="s">
        <v>259</v>
      </c>
      <c r="D39" t="s">
        <v>163</v>
      </c>
      <c r="E39">
        <f>IF(C39="No",0,IF(C39="Yes",10,IF(C39="Unknown",5,"")))</f>
        <v>10</v>
      </c>
      <c r="F39">
        <f t="shared" si="12"/>
        <v>0</v>
      </c>
      <c r="G39">
        <f t="shared" si="13"/>
        <v>10</v>
      </c>
      <c r="H39" t="s">
        <v>342</v>
      </c>
      <c r="I39" t="s">
        <v>343</v>
      </c>
      <c r="J39" t="s">
        <v>166</v>
      </c>
      <c r="K39" s="24">
        <f t="shared" si="14"/>
        <v>45986</v>
      </c>
      <c r="L39">
        <f t="shared" ca="1" si="15"/>
        <v>13</v>
      </c>
      <c r="M39" t="s">
        <v>184</v>
      </c>
      <c r="N39">
        <f t="shared" ca="1" si="16"/>
        <v>0</v>
      </c>
      <c r="O39">
        <f t="shared" ca="1" si="17"/>
        <v>10</v>
      </c>
      <c r="P39" t="s">
        <v>168</v>
      </c>
      <c r="R39" t="s">
        <v>344</v>
      </c>
    </row>
    <row r="40" spans="1:18" x14ac:dyDescent="0.2">
      <c r="A40" s="2"/>
      <c r="B40" s="42"/>
      <c r="C40" s="43"/>
      <c r="D40" s="43"/>
      <c r="E40" s="43"/>
      <c r="F40" s="43"/>
      <c r="G40" s="43"/>
      <c r="H40" s="43"/>
      <c r="I40" s="43"/>
      <c r="J40" s="43"/>
      <c r="K40" s="44"/>
      <c r="L40" s="43"/>
      <c r="M40" s="43"/>
      <c r="N40" s="43"/>
      <c r="O40" s="43"/>
      <c r="P40" s="43"/>
      <c r="Q40" s="43"/>
      <c r="R40" s="43"/>
    </row>
    <row r="41" spans="1:18" x14ac:dyDescent="0.2">
      <c r="A41" t="s">
        <v>345</v>
      </c>
      <c r="B41" t="s">
        <v>346</v>
      </c>
      <c r="C41" t="s">
        <v>347</v>
      </c>
      <c r="D41" t="s">
        <v>174</v>
      </c>
      <c r="E41">
        <f>0</f>
        <v>0</v>
      </c>
      <c r="F41">
        <f>IF(D41="High",0,IF(D41="Medium",0.05,IF(D41="Low",0.1,IF(D41="Unknown",0.15,""))))</f>
        <v>0.05</v>
      </c>
      <c r="G41">
        <f>E41*(1+F41)</f>
        <v>0</v>
      </c>
      <c r="H41" t="s">
        <v>348</v>
      </c>
      <c r="I41" t="s">
        <v>349</v>
      </c>
      <c r="J41" t="s">
        <v>166</v>
      </c>
      <c r="K41" s="24">
        <f>IF(AND(I41="",J41=""),"",MAX(IF(I41&lt;&gt;"",DATEVALUE(TRIM(RIGHT(SUBSTITUTE(I41,";",REPT(" ",50)),50))),0),IF(J41&lt;&gt;"",DATEVALUE(TRIM(RIGHT(SUBSTITUTE(J41,";",REPT(" ",50)),50))),0)))</f>
        <v>45986</v>
      </c>
      <c r="L41">
        <f ca="1">IF(K41="","",TODAY()-K41)</f>
        <v>13</v>
      </c>
      <c r="M41" t="s">
        <v>305</v>
      </c>
      <c r="N41">
        <f ca="1">IF(M41="","",IF(L41="",INDEX($F$92:$F$95,MATCH(M41,$C$92:$C$95,0)),IF(L41&lt;=INDEX($D$92:$D$95,MATCH(M41,$C$92:$C$95,0)),0,IF(L41&lt;=INDEX($E$92:$E$95,MATCH(M41,$C$92:$C$95,0)),INDEX($F$92:$F$95,MATCH(M41,$C$92:$C$95,0)),INDEX($G$92:$G$95,MATCH(M41,$C$92:$C$95,0))))))</f>
        <v>0</v>
      </c>
      <c r="O41">
        <f ca="1">G41+N41</f>
        <v>0</v>
      </c>
      <c r="P41" t="s">
        <v>168</v>
      </c>
      <c r="Q41" t="s">
        <v>350</v>
      </c>
      <c r="R41" t="s">
        <v>351</v>
      </c>
    </row>
    <row r="42" spans="1:18" x14ac:dyDescent="0.2">
      <c r="A42" t="s">
        <v>352</v>
      </c>
      <c r="B42" t="s">
        <v>353</v>
      </c>
      <c r="C42" t="s">
        <v>259</v>
      </c>
      <c r="D42" t="s">
        <v>174</v>
      </c>
      <c r="E42">
        <f>IF(C42="Yes",0,IF(C42="Unclear",10,IF(C42="No",20,"")))</f>
        <v>0</v>
      </c>
      <c r="F42">
        <f>IF(D42="High",0,IF(D42="Medium",0.05,IF(D42="Low",0.1,IF(D42="Unknown",0.15,""))))</f>
        <v>0.05</v>
      </c>
      <c r="G42">
        <f>E42*(1+F42)</f>
        <v>0</v>
      </c>
      <c r="H42" t="s">
        <v>354</v>
      </c>
      <c r="I42" t="s">
        <v>355</v>
      </c>
      <c r="J42" t="s">
        <v>166</v>
      </c>
      <c r="K42" s="24">
        <f>IF(AND(I42="",J42=""),"",MAX(IF(I42&lt;&gt;"",DATEVALUE(TRIM(RIGHT(SUBSTITUTE(I42,";",REPT(" ",50)),50))),0),IF(J42&lt;&gt;"",DATEVALUE(TRIM(RIGHT(SUBSTITUTE(J42,";",REPT(" ",50)),50))),0)))</f>
        <v>45986</v>
      </c>
      <c r="L42">
        <f ca="1">IF(K42="","",TODAY()-K42)</f>
        <v>13</v>
      </c>
      <c r="M42" t="s">
        <v>184</v>
      </c>
      <c r="N42">
        <f ca="1">IF(M42="","",IF(L42="",INDEX($F$92:$F$95,MATCH(M42,$C$92:$C$95,0)),IF(L42&lt;=INDEX($D$92:$D$95,MATCH(M42,$C$92:$C$95,0)),0,IF(L42&lt;=INDEX($E$92:$E$95,MATCH(M42,$C$92:$C$95,0)),INDEX($F$92:$F$95,MATCH(M42,$C$92:$C$95,0)),INDEX($G$92:$G$95,MATCH(M42,$C$92:$C$95,0))))))</f>
        <v>0</v>
      </c>
      <c r="O42">
        <f ca="1">G42+N42</f>
        <v>0</v>
      </c>
      <c r="P42" t="s">
        <v>168</v>
      </c>
      <c r="Q42" t="s">
        <v>350</v>
      </c>
      <c r="R42" t="s">
        <v>356</v>
      </c>
    </row>
    <row r="43" spans="1:18" x14ac:dyDescent="0.2">
      <c r="A43" s="4"/>
      <c r="B43" s="5" t="s">
        <v>357</v>
      </c>
      <c r="C43" s="4"/>
      <c r="D43" s="4"/>
      <c r="E43" s="4"/>
      <c r="F43" s="4"/>
      <c r="G43" s="4"/>
      <c r="H43" s="4"/>
      <c r="I43" s="4"/>
      <c r="J43" s="4"/>
      <c r="K43" s="23"/>
      <c r="L43" s="4"/>
      <c r="M43" s="4"/>
      <c r="N43" s="4" t="str">
        <f>IF(M43="","",IF(L43="",INDEX($F$92:$F$95,MATCH(M43,$C$92:$C$95,0)),IF(L43&lt;=INDEX($D$92:$D$95,MATCH(M43,$C$92:$C$95,0)),0,IF(L43&lt;=INDEX($E$92:$E$95,MATCH(M43,$C$92:$C$95,0)),INDEX($F$92:$F$95,MATCH(M43,$C$92:$C$95,0)),INDEX($G$92:$G$95,MATCH(M43,$C$92:$C$95,0))))))</f>
        <v/>
      </c>
      <c r="O43" s="4"/>
      <c r="P43" s="4"/>
      <c r="Q43" s="4"/>
      <c r="R43" s="4"/>
    </row>
    <row r="44" spans="1:18" x14ac:dyDescent="0.2">
      <c r="A44" s="2"/>
      <c r="B44" s="42"/>
      <c r="C44" s="43"/>
      <c r="D44" s="43"/>
      <c r="E44" s="43"/>
      <c r="F44" s="43"/>
      <c r="G44" s="43"/>
      <c r="H44" s="43"/>
      <c r="I44" s="43"/>
      <c r="J44" s="43"/>
      <c r="K44" s="44"/>
      <c r="L44" s="43"/>
      <c r="M44" s="43"/>
      <c r="N44" s="43"/>
      <c r="O44" s="43"/>
      <c r="P44" s="43"/>
      <c r="Q44" s="43"/>
      <c r="R44" s="43"/>
    </row>
    <row r="45" spans="1:18" x14ac:dyDescent="0.2">
      <c r="A45" t="s">
        <v>358</v>
      </c>
      <c r="B45" t="s">
        <v>359</v>
      </c>
      <c r="C45" t="s">
        <v>259</v>
      </c>
      <c r="D45" t="s">
        <v>163</v>
      </c>
      <c r="E45">
        <f>IF(C45="No",0,IF(C45="Limited",10,IF(C45="Unclear",10,IF(C45="Yes",10,""))))</f>
        <v>10</v>
      </c>
      <c r="F45">
        <f t="shared" ref="F45:F51" si="18">IF(D45="High",0,IF(D45="Medium",0.05,IF(D45="Low",0.1,IF(D45="Unknown",0.15,""))))</f>
        <v>0</v>
      </c>
      <c r="G45">
        <f t="shared" ref="G45:G51" si="19">E45*(1+F45)</f>
        <v>10</v>
      </c>
      <c r="H45" t="s">
        <v>360</v>
      </c>
      <c r="I45" t="s">
        <v>361</v>
      </c>
      <c r="J45" t="s">
        <v>166</v>
      </c>
      <c r="K45" s="24">
        <f t="shared" ref="K45:K51" si="20">IF(AND(I45="",J45=""),"",MAX(IF(I45&lt;&gt;"",DATEVALUE(TRIM(RIGHT(SUBSTITUTE(I45,";",REPT(" ",50)),50))),0),IF(J45&lt;&gt;"",DATEVALUE(TRIM(RIGHT(SUBSTITUTE(J45,";",REPT(" ",50)),50))),0)))</f>
        <v>45986</v>
      </c>
      <c r="L45">
        <f t="shared" ref="L45:L51" ca="1" si="21">IF(K45="","",TODAY()-K45)</f>
        <v>13</v>
      </c>
      <c r="M45" t="s">
        <v>167</v>
      </c>
      <c r="N45">
        <f t="shared" ref="N45:N52" ca="1" si="22">IF(M45="","",IF(L45="",INDEX($F$92:$F$95,MATCH(M45,$C$92:$C$95,0)),IF(L45&lt;=INDEX($D$92:$D$95,MATCH(M45,$C$92:$C$95,0)),0,IF(L45&lt;=INDEX($E$92:$E$95,MATCH(M45,$C$92:$C$95,0)),INDEX($F$92:$F$95,MATCH(M45,$C$92:$C$95,0)),INDEX($G$92:$G$95,MATCH(M45,$C$92:$C$95,0))))))</f>
        <v>0</v>
      </c>
      <c r="O45">
        <f t="shared" ref="O45:O51" ca="1" si="23">G45+N45</f>
        <v>10</v>
      </c>
      <c r="P45" t="s">
        <v>168</v>
      </c>
      <c r="R45" t="s">
        <v>362</v>
      </c>
    </row>
    <row r="46" spans="1:18" x14ac:dyDescent="0.2">
      <c r="A46" t="s">
        <v>363</v>
      </c>
      <c r="B46" t="s">
        <v>364</v>
      </c>
      <c r="C46" t="s">
        <v>365</v>
      </c>
      <c r="D46" t="s">
        <v>174</v>
      </c>
      <c r="E46">
        <f>IF(C46="No",0,IF(C46="Indirect",10,IF(C46="Unclear",10,IF(C46="Yes",20,""))))</f>
        <v>10</v>
      </c>
      <c r="F46">
        <f t="shared" si="18"/>
        <v>0.05</v>
      </c>
      <c r="G46">
        <f t="shared" si="19"/>
        <v>10.5</v>
      </c>
      <c r="H46" t="s">
        <v>366</v>
      </c>
      <c r="I46" t="s">
        <v>367</v>
      </c>
      <c r="J46" t="s">
        <v>250</v>
      </c>
      <c r="K46" s="24">
        <f t="shared" si="20"/>
        <v>45986</v>
      </c>
      <c r="L46">
        <f t="shared" ca="1" si="21"/>
        <v>13</v>
      </c>
      <c r="M46" t="s">
        <v>167</v>
      </c>
      <c r="N46">
        <f t="shared" ca="1" si="22"/>
        <v>0</v>
      </c>
      <c r="O46">
        <f t="shared" ca="1" si="23"/>
        <v>10.5</v>
      </c>
      <c r="P46" t="str">
        <f>IF(C46="Yes","Review","No Review")</f>
        <v>No Review</v>
      </c>
      <c r="Q46" t="s">
        <v>368</v>
      </c>
      <c r="R46" t="s">
        <v>369</v>
      </c>
    </row>
    <row r="47" spans="1:18" x14ac:dyDescent="0.2">
      <c r="A47" t="s">
        <v>370</v>
      </c>
      <c r="B47" t="s">
        <v>371</v>
      </c>
      <c r="C47" t="s">
        <v>210</v>
      </c>
      <c r="D47" t="s">
        <v>163</v>
      </c>
      <c r="E47">
        <f>IF(C47="No",0,IF(C47="Unclear",10,IF(C47="Yes",20,"")))</f>
        <v>0</v>
      </c>
      <c r="F47">
        <f t="shared" si="18"/>
        <v>0</v>
      </c>
      <c r="G47">
        <f t="shared" si="19"/>
        <v>0</v>
      </c>
      <c r="H47" t="s">
        <v>372</v>
      </c>
      <c r="I47" t="s">
        <v>373</v>
      </c>
      <c r="J47" t="s">
        <v>166</v>
      </c>
      <c r="K47" s="24">
        <f t="shared" si="20"/>
        <v>45986</v>
      </c>
      <c r="L47">
        <f t="shared" ca="1" si="21"/>
        <v>13</v>
      </c>
      <c r="M47" t="s">
        <v>167</v>
      </c>
      <c r="N47">
        <f t="shared" ca="1" si="22"/>
        <v>0</v>
      </c>
      <c r="O47">
        <f t="shared" ca="1" si="23"/>
        <v>0</v>
      </c>
      <c r="P47" t="str">
        <f>IF(C47="Yes","Review","No Review")</f>
        <v>No Review</v>
      </c>
      <c r="Q47" t="s">
        <v>374</v>
      </c>
      <c r="R47" t="s">
        <v>375</v>
      </c>
    </row>
    <row r="48" spans="1:18" x14ac:dyDescent="0.2">
      <c r="A48" t="s">
        <v>376</v>
      </c>
      <c r="B48" t="s">
        <v>377</v>
      </c>
      <c r="C48" t="s">
        <v>163</v>
      </c>
      <c r="D48" t="s">
        <v>174</v>
      </c>
      <c r="E48">
        <f>IF(C48="Low",0,IF(C48="Moderate",10,IF(C48="High",20,"")))</f>
        <v>20</v>
      </c>
      <c r="F48">
        <f t="shared" si="18"/>
        <v>0.05</v>
      </c>
      <c r="G48">
        <f t="shared" si="19"/>
        <v>21</v>
      </c>
      <c r="H48" t="s">
        <v>378</v>
      </c>
      <c r="I48" t="s">
        <v>379</v>
      </c>
      <c r="J48" t="s">
        <v>166</v>
      </c>
      <c r="K48" s="24">
        <f t="shared" si="20"/>
        <v>45986</v>
      </c>
      <c r="L48">
        <f t="shared" ca="1" si="21"/>
        <v>13</v>
      </c>
      <c r="M48" t="s">
        <v>167</v>
      </c>
      <c r="N48">
        <f t="shared" ca="1" si="22"/>
        <v>0</v>
      </c>
      <c r="O48">
        <f t="shared" ca="1" si="23"/>
        <v>21</v>
      </c>
      <c r="P48" t="s">
        <v>168</v>
      </c>
      <c r="R48" t="s">
        <v>380</v>
      </c>
    </row>
    <row r="49" spans="1:18" x14ac:dyDescent="0.2">
      <c r="A49" t="s">
        <v>381</v>
      </c>
      <c r="B49" t="s">
        <v>382</v>
      </c>
      <c r="C49" t="s">
        <v>259</v>
      </c>
      <c r="D49" t="s">
        <v>163</v>
      </c>
      <c r="E49">
        <f>IF(C49="No",0,IF(C49="Partial",10,IF(C49="Yes",10,"")))</f>
        <v>10</v>
      </c>
      <c r="F49">
        <f t="shared" si="18"/>
        <v>0</v>
      </c>
      <c r="G49">
        <f t="shared" si="19"/>
        <v>10</v>
      </c>
      <c r="H49" t="s">
        <v>383</v>
      </c>
      <c r="I49" t="s">
        <v>384</v>
      </c>
      <c r="J49" t="s">
        <v>166</v>
      </c>
      <c r="K49" s="24">
        <f t="shared" si="20"/>
        <v>45986</v>
      </c>
      <c r="L49">
        <f t="shared" ca="1" si="21"/>
        <v>13</v>
      </c>
      <c r="M49" t="s">
        <v>167</v>
      </c>
      <c r="N49">
        <f t="shared" ca="1" si="22"/>
        <v>0</v>
      </c>
      <c r="O49">
        <f t="shared" ca="1" si="23"/>
        <v>10</v>
      </c>
      <c r="P49" t="s">
        <v>168</v>
      </c>
      <c r="R49" t="s">
        <v>385</v>
      </c>
    </row>
    <row r="50" spans="1:18" x14ac:dyDescent="0.2">
      <c r="A50" t="s">
        <v>386</v>
      </c>
      <c r="B50" t="s">
        <v>387</v>
      </c>
      <c r="C50" t="s">
        <v>210</v>
      </c>
      <c r="D50" t="s">
        <v>174</v>
      </c>
      <c r="E50">
        <f>IF(C50="No",0,IF(C50="Unclear",10,IF(C50="Yes",20,"")))</f>
        <v>0</v>
      </c>
      <c r="F50">
        <f t="shared" si="18"/>
        <v>0.05</v>
      </c>
      <c r="G50">
        <f t="shared" si="19"/>
        <v>0</v>
      </c>
      <c r="H50" t="s">
        <v>388</v>
      </c>
      <c r="I50" t="s">
        <v>389</v>
      </c>
      <c r="J50" t="s">
        <v>166</v>
      </c>
      <c r="K50" s="24">
        <f t="shared" si="20"/>
        <v>45986</v>
      </c>
      <c r="L50">
        <f t="shared" ca="1" si="21"/>
        <v>13</v>
      </c>
      <c r="M50" t="s">
        <v>167</v>
      </c>
      <c r="N50">
        <f t="shared" ca="1" si="22"/>
        <v>0</v>
      </c>
      <c r="O50">
        <f t="shared" ca="1" si="23"/>
        <v>0</v>
      </c>
      <c r="P50" t="s">
        <v>168</v>
      </c>
      <c r="R50" t="s">
        <v>390</v>
      </c>
    </row>
    <row r="51" spans="1:18" x14ac:dyDescent="0.2">
      <c r="A51" t="s">
        <v>391</v>
      </c>
      <c r="B51" t="s">
        <v>392</v>
      </c>
      <c r="C51" t="s">
        <v>393</v>
      </c>
      <c r="D51" t="s">
        <v>174</v>
      </c>
      <c r="E51">
        <f>0</f>
        <v>0</v>
      </c>
      <c r="F51">
        <f t="shared" si="18"/>
        <v>0.05</v>
      </c>
      <c r="G51">
        <f t="shared" si="19"/>
        <v>0</v>
      </c>
      <c r="H51" t="s">
        <v>394</v>
      </c>
      <c r="I51" t="s">
        <v>395</v>
      </c>
      <c r="J51" t="s">
        <v>166</v>
      </c>
      <c r="K51" s="24">
        <f t="shared" si="20"/>
        <v>45986</v>
      </c>
      <c r="L51">
        <f t="shared" ca="1" si="21"/>
        <v>13</v>
      </c>
      <c r="M51" t="s">
        <v>167</v>
      </c>
      <c r="N51">
        <f t="shared" ca="1" si="22"/>
        <v>0</v>
      </c>
      <c r="O51">
        <f t="shared" ca="1" si="23"/>
        <v>0</v>
      </c>
      <c r="P51" t="s">
        <v>168</v>
      </c>
      <c r="Q51" t="s">
        <v>350</v>
      </c>
      <c r="R51" t="s">
        <v>396</v>
      </c>
    </row>
    <row r="52" spans="1:18" x14ac:dyDescent="0.2">
      <c r="A52" s="4"/>
      <c r="B52" s="5" t="s">
        <v>397</v>
      </c>
      <c r="C52" s="4"/>
      <c r="D52" s="4"/>
      <c r="E52" s="4"/>
      <c r="F52" s="4"/>
      <c r="G52" s="4"/>
      <c r="H52" s="4"/>
      <c r="I52" s="4"/>
      <c r="J52" s="4"/>
      <c r="K52" s="23"/>
      <c r="L52" s="4"/>
      <c r="M52" s="4"/>
      <c r="N52" s="4" t="str">
        <f t="shared" si="22"/>
        <v/>
      </c>
      <c r="O52" s="4"/>
      <c r="P52" s="4"/>
      <c r="Q52" s="4"/>
      <c r="R52" s="4"/>
    </row>
    <row r="53" spans="1:18" x14ac:dyDescent="0.2">
      <c r="A53" s="3"/>
      <c r="B53" s="42"/>
      <c r="C53" s="43"/>
      <c r="D53" s="43"/>
      <c r="E53" s="43"/>
      <c r="F53" s="43"/>
      <c r="G53" s="43"/>
      <c r="H53" s="43"/>
      <c r="I53" s="43"/>
      <c r="J53" s="43"/>
      <c r="K53" s="44"/>
      <c r="L53" s="43"/>
      <c r="M53" s="43"/>
      <c r="N53" s="43"/>
      <c r="O53" s="43"/>
      <c r="P53" s="43"/>
      <c r="Q53" s="43"/>
      <c r="R53" s="43"/>
    </row>
    <row r="54" spans="1:18" x14ac:dyDescent="0.2">
      <c r="A54" t="s">
        <v>398</v>
      </c>
      <c r="B54" t="s">
        <v>399</v>
      </c>
      <c r="C54" t="s">
        <v>259</v>
      </c>
      <c r="D54" t="s">
        <v>163</v>
      </c>
      <c r="E54">
        <f>IF(C54="Yes",0,IF(C54="Outdated",10,IF(C54="Unclear",10,IF(C54="No",20,""))))</f>
        <v>0</v>
      </c>
      <c r="F54">
        <f t="shared" ref="F54:F61" si="24">IF(D54="High",0,IF(D54="Medium",0.05,IF(D54="Low",0.1,IF(D54="Unknown",0.15,""))))</f>
        <v>0</v>
      </c>
      <c r="G54">
        <f t="shared" ref="G54:G61" si="25">E54*(1+F54)</f>
        <v>0</v>
      </c>
      <c r="H54" t="s">
        <v>400</v>
      </c>
      <c r="I54" t="s">
        <v>401</v>
      </c>
      <c r="J54" t="s">
        <v>402</v>
      </c>
      <c r="K54" s="24">
        <f t="shared" ref="K54:K61" si="26">IF(AND(I54="",J54=""),"",MAX(IF(I54&lt;&gt;"",DATEVALUE(TRIM(RIGHT(SUBSTITUTE(I54,";",REPT(" ",50)),50))),0),IF(J54&lt;&gt;"",DATEVALUE(TRIM(RIGHT(SUBSTITUTE(J54,";",REPT(" ",50)),50))),0)))</f>
        <v>45986</v>
      </c>
      <c r="L54">
        <f t="shared" ref="L54:L61" ca="1" si="27">IF(K54="","",TODAY()-K54)</f>
        <v>13</v>
      </c>
      <c r="M54" t="s">
        <v>305</v>
      </c>
      <c r="N54">
        <f t="shared" ref="N54:N62" ca="1" si="28">IF(M54="","",IF(L54="",INDEX($F$92:$F$95,MATCH(M54,$C$92:$C$95,0)),IF(L54&lt;=INDEX($D$92:$D$95,MATCH(M54,$C$92:$C$95,0)),0,IF(L54&lt;=INDEX($E$92:$E$95,MATCH(M54,$C$92:$C$95,0)),INDEX($F$92:$F$95,MATCH(M54,$C$92:$C$95,0)),INDEX($G$92:$G$95,MATCH(M54,$C$92:$C$95,0))))))</f>
        <v>0</v>
      </c>
      <c r="O54">
        <f t="shared" ref="O54:O61" ca="1" si="29">G54+N54</f>
        <v>0</v>
      </c>
      <c r="P54" t="str">
        <f>IF(C54="No","Review","No Review")</f>
        <v>No Review</v>
      </c>
      <c r="Q54" t="s">
        <v>403</v>
      </c>
      <c r="R54" t="s">
        <v>404</v>
      </c>
    </row>
    <row r="55" spans="1:18" x14ac:dyDescent="0.2">
      <c r="A55" t="s">
        <v>405</v>
      </c>
      <c r="B55" t="s">
        <v>406</v>
      </c>
      <c r="C55" t="s">
        <v>259</v>
      </c>
      <c r="D55" t="s">
        <v>163</v>
      </c>
      <c r="E55">
        <f>IF(C55="Yes",0,IF(C55="Partially",10,IF(C55="No",20,"")))</f>
        <v>0</v>
      </c>
      <c r="F55">
        <f t="shared" si="24"/>
        <v>0</v>
      </c>
      <c r="G55">
        <f t="shared" si="25"/>
        <v>0</v>
      </c>
      <c r="H55" t="s">
        <v>407</v>
      </c>
      <c r="I55" t="s">
        <v>408</v>
      </c>
      <c r="J55" t="s">
        <v>250</v>
      </c>
      <c r="K55" s="24">
        <f t="shared" si="26"/>
        <v>46009</v>
      </c>
      <c r="L55">
        <f t="shared" ca="1" si="27"/>
        <v>-10</v>
      </c>
      <c r="M55" t="s">
        <v>167</v>
      </c>
      <c r="N55">
        <f t="shared" ca="1" si="28"/>
        <v>0</v>
      </c>
      <c r="O55">
        <f t="shared" ca="1" si="29"/>
        <v>0</v>
      </c>
      <c r="P55" t="s">
        <v>168</v>
      </c>
      <c r="R55" t="s">
        <v>409</v>
      </c>
    </row>
    <row r="56" spans="1:18" x14ac:dyDescent="0.2">
      <c r="A56" t="s">
        <v>410</v>
      </c>
      <c r="B56" t="s">
        <v>411</v>
      </c>
      <c r="C56" t="s">
        <v>259</v>
      </c>
      <c r="D56" t="s">
        <v>163</v>
      </c>
      <c r="E56">
        <f>IF(C56="Yes",0,IF(C56="Partially",10,IF(C56="No",20,"")))</f>
        <v>0</v>
      </c>
      <c r="F56">
        <f t="shared" si="24"/>
        <v>0</v>
      </c>
      <c r="G56">
        <f t="shared" si="25"/>
        <v>0</v>
      </c>
      <c r="H56" t="s">
        <v>412</v>
      </c>
      <c r="I56" t="s">
        <v>413</v>
      </c>
      <c r="J56" t="s">
        <v>250</v>
      </c>
      <c r="K56" s="24">
        <f t="shared" si="26"/>
        <v>45986</v>
      </c>
      <c r="L56">
        <f t="shared" ca="1" si="27"/>
        <v>13</v>
      </c>
      <c r="M56" t="s">
        <v>167</v>
      </c>
      <c r="N56">
        <f t="shared" ca="1" si="28"/>
        <v>0</v>
      </c>
      <c r="O56">
        <f t="shared" ca="1" si="29"/>
        <v>0</v>
      </c>
      <c r="P56" t="s">
        <v>168</v>
      </c>
      <c r="R56" t="s">
        <v>414</v>
      </c>
    </row>
    <row r="57" spans="1:18" x14ac:dyDescent="0.2">
      <c r="A57" t="s">
        <v>415</v>
      </c>
      <c r="B57" t="s">
        <v>416</v>
      </c>
      <c r="C57" t="s">
        <v>181</v>
      </c>
      <c r="D57" t="s">
        <v>163</v>
      </c>
      <c r="E57">
        <f>IF(C57="Yes",0,IF(C57="Partial",10,IF(C57="Unclear",10,IF(C57="No",20,""))))</f>
        <v>10</v>
      </c>
      <c r="F57">
        <f t="shared" si="24"/>
        <v>0</v>
      </c>
      <c r="G57">
        <f t="shared" si="25"/>
        <v>10</v>
      </c>
      <c r="H57" t="s">
        <v>417</v>
      </c>
      <c r="I57" t="s">
        <v>418</v>
      </c>
      <c r="J57" t="s">
        <v>250</v>
      </c>
      <c r="K57" s="24">
        <f t="shared" si="26"/>
        <v>45986</v>
      </c>
      <c r="L57">
        <f t="shared" ca="1" si="27"/>
        <v>13</v>
      </c>
      <c r="M57" t="s">
        <v>167</v>
      </c>
      <c r="N57">
        <f t="shared" ca="1" si="28"/>
        <v>0</v>
      </c>
      <c r="O57">
        <f t="shared" ca="1" si="29"/>
        <v>10</v>
      </c>
      <c r="P57" t="str">
        <f>IF(C57="No","Review","No Review")</f>
        <v>No Review</v>
      </c>
      <c r="Q57" t="s">
        <v>419</v>
      </c>
      <c r="R57" t="s">
        <v>420</v>
      </c>
    </row>
    <row r="58" spans="1:18" x14ac:dyDescent="0.2">
      <c r="A58" t="s">
        <v>421</v>
      </c>
      <c r="B58" t="s">
        <v>422</v>
      </c>
      <c r="C58" t="s">
        <v>259</v>
      </c>
      <c r="D58" t="s">
        <v>163</v>
      </c>
      <c r="E58">
        <f>IF(C58="Yes",0,IF(C58="Minimal",10,IF(C58="Missing",20,IF(C58="No",20,""))))</f>
        <v>0</v>
      </c>
      <c r="F58">
        <f t="shared" si="24"/>
        <v>0</v>
      </c>
      <c r="G58">
        <f t="shared" si="25"/>
        <v>0</v>
      </c>
      <c r="H58" t="s">
        <v>423</v>
      </c>
      <c r="I58" t="s">
        <v>424</v>
      </c>
      <c r="J58" t="s">
        <v>250</v>
      </c>
      <c r="K58" s="24">
        <f t="shared" si="26"/>
        <v>45986</v>
      </c>
      <c r="L58">
        <f t="shared" ca="1" si="27"/>
        <v>13</v>
      </c>
      <c r="M58" t="s">
        <v>167</v>
      </c>
      <c r="N58">
        <f t="shared" ca="1" si="28"/>
        <v>0</v>
      </c>
      <c r="O58">
        <f t="shared" ca="1" si="29"/>
        <v>0</v>
      </c>
      <c r="P58" t="s">
        <v>168</v>
      </c>
      <c r="R58" t="s">
        <v>425</v>
      </c>
    </row>
    <row r="59" spans="1:18" x14ac:dyDescent="0.2">
      <c r="A59" t="s">
        <v>426</v>
      </c>
      <c r="B59" t="s">
        <v>427</v>
      </c>
      <c r="C59" t="s">
        <v>259</v>
      </c>
      <c r="D59" t="s">
        <v>163</v>
      </c>
      <c r="E59">
        <f>IF(C59="Yes",0,IF(C59="Limited",10,IF(C59="Unclear",10,IF(C59="No",20,""))))</f>
        <v>0</v>
      </c>
      <c r="F59">
        <f t="shared" si="24"/>
        <v>0</v>
      </c>
      <c r="G59">
        <f t="shared" si="25"/>
        <v>0</v>
      </c>
      <c r="H59" t="s">
        <v>428</v>
      </c>
      <c r="I59" t="s">
        <v>429</v>
      </c>
      <c r="J59" t="s">
        <v>166</v>
      </c>
      <c r="K59" s="24">
        <f t="shared" si="26"/>
        <v>45986</v>
      </c>
      <c r="L59">
        <f t="shared" ca="1" si="27"/>
        <v>13</v>
      </c>
      <c r="M59" t="s">
        <v>167</v>
      </c>
      <c r="N59">
        <f t="shared" ca="1" si="28"/>
        <v>0</v>
      </c>
      <c r="O59">
        <f t="shared" ca="1" si="29"/>
        <v>0</v>
      </c>
      <c r="P59" t="s">
        <v>168</v>
      </c>
      <c r="R59" t="s">
        <v>430</v>
      </c>
    </row>
    <row r="60" spans="1:18" x14ac:dyDescent="0.2">
      <c r="A60" t="s">
        <v>431</v>
      </c>
      <c r="B60" t="s">
        <v>432</v>
      </c>
      <c r="C60" t="s">
        <v>210</v>
      </c>
      <c r="D60" t="s">
        <v>174</v>
      </c>
      <c r="E60">
        <f>IF(C60="Yes",0,IF(C60="Unclear",10,IF(C60="No",20,"")))</f>
        <v>20</v>
      </c>
      <c r="F60">
        <f t="shared" si="24"/>
        <v>0.05</v>
      </c>
      <c r="G60">
        <f t="shared" si="25"/>
        <v>21</v>
      </c>
      <c r="H60" t="s">
        <v>433</v>
      </c>
      <c r="I60" t="s">
        <v>434</v>
      </c>
      <c r="J60" t="s">
        <v>166</v>
      </c>
      <c r="K60" s="24">
        <f t="shared" si="26"/>
        <v>45986</v>
      </c>
      <c r="L60">
        <f t="shared" ca="1" si="27"/>
        <v>13</v>
      </c>
      <c r="M60" t="s">
        <v>167</v>
      </c>
      <c r="N60">
        <f t="shared" ca="1" si="28"/>
        <v>0</v>
      </c>
      <c r="O60">
        <f t="shared" ca="1" si="29"/>
        <v>21</v>
      </c>
      <c r="P60" t="s">
        <v>168</v>
      </c>
      <c r="R60" t="s">
        <v>435</v>
      </c>
    </row>
    <row r="61" spans="1:18" x14ac:dyDescent="0.2">
      <c r="A61" t="s">
        <v>436</v>
      </c>
      <c r="B61" t="s">
        <v>437</v>
      </c>
      <c r="C61" t="s">
        <v>438</v>
      </c>
      <c r="D61" t="s">
        <v>174</v>
      </c>
      <c r="E61">
        <f>0</f>
        <v>0</v>
      </c>
      <c r="F61">
        <f t="shared" si="24"/>
        <v>0.05</v>
      </c>
      <c r="G61">
        <f t="shared" si="25"/>
        <v>0</v>
      </c>
      <c r="H61" t="s">
        <v>439</v>
      </c>
      <c r="I61" t="s">
        <v>440</v>
      </c>
      <c r="J61" t="s">
        <v>166</v>
      </c>
      <c r="K61" s="24">
        <f t="shared" si="26"/>
        <v>45986</v>
      </c>
      <c r="L61">
        <f t="shared" ca="1" si="27"/>
        <v>13</v>
      </c>
      <c r="M61" t="s">
        <v>167</v>
      </c>
      <c r="N61">
        <f t="shared" ca="1" si="28"/>
        <v>0</v>
      </c>
      <c r="O61">
        <f t="shared" ca="1" si="29"/>
        <v>0</v>
      </c>
      <c r="P61" t="s">
        <v>168</v>
      </c>
      <c r="Q61" t="s">
        <v>441</v>
      </c>
      <c r="R61" t="s">
        <v>442</v>
      </c>
    </row>
    <row r="62" spans="1:18" x14ac:dyDescent="0.2">
      <c r="A62" s="4"/>
      <c r="B62" s="5" t="s">
        <v>443</v>
      </c>
      <c r="C62" s="4"/>
      <c r="D62" s="4"/>
      <c r="E62" s="4"/>
      <c r="F62" s="4"/>
      <c r="G62" s="4"/>
      <c r="H62" s="4"/>
      <c r="I62" s="4"/>
      <c r="J62" s="4"/>
      <c r="K62" s="23"/>
      <c r="L62" s="4"/>
      <c r="M62" s="4"/>
      <c r="N62" s="4" t="str">
        <f t="shared" si="28"/>
        <v/>
      </c>
      <c r="O62" s="4"/>
      <c r="P62" s="4"/>
      <c r="Q62" s="4"/>
      <c r="R62" s="4"/>
    </row>
    <row r="63" spans="1:18" x14ac:dyDescent="0.2">
      <c r="A63" s="3"/>
      <c r="B63" s="42"/>
      <c r="C63" s="43"/>
      <c r="D63" s="43"/>
      <c r="E63" s="43"/>
      <c r="F63" s="43"/>
      <c r="G63" s="43"/>
      <c r="H63" s="43"/>
      <c r="I63" s="43"/>
      <c r="J63" s="43"/>
      <c r="K63" s="44"/>
      <c r="L63" s="43"/>
      <c r="M63" s="43"/>
      <c r="N63" s="43"/>
      <c r="O63" s="43"/>
      <c r="P63" s="43"/>
      <c r="Q63" s="43"/>
      <c r="R63" s="43"/>
    </row>
    <row r="64" spans="1:18" x14ac:dyDescent="0.2">
      <c r="A64" t="s">
        <v>444</v>
      </c>
      <c r="B64" t="s">
        <v>445</v>
      </c>
      <c r="C64" t="s">
        <v>446</v>
      </c>
      <c r="D64" t="s">
        <v>163</v>
      </c>
      <c r="E64">
        <v>0</v>
      </c>
      <c r="F64">
        <f>IF(D64="High",0,IF(D64="Medium",0.05,IF(D64="Low",0.1,IF(D64="Unknown",0.15,""))))</f>
        <v>0</v>
      </c>
      <c r="G64">
        <f>E64*(1+F64)</f>
        <v>0</v>
      </c>
      <c r="H64" t="s">
        <v>447</v>
      </c>
      <c r="I64" t="s">
        <v>448</v>
      </c>
      <c r="J64" t="s">
        <v>166</v>
      </c>
      <c r="K64" s="24">
        <f>IF(AND(I64="",J64=""),"",MAX(IF(I64&lt;&gt;"",DATEVALUE(TRIM(RIGHT(SUBSTITUTE(I64,";",REPT(" ",50)),50))),0),IF(J64&lt;&gt;"",DATEVALUE(TRIM(RIGHT(SUBSTITUTE(J64,";",REPT(" ",50)),50))),0)))</f>
        <v>45986</v>
      </c>
      <c r="L64">
        <f ca="1">IF(K64="","",TODAY()-K64)</f>
        <v>13</v>
      </c>
      <c r="M64" t="s">
        <v>167</v>
      </c>
      <c r="N64">
        <f ca="1">IF(M64="","",IF(L64="",INDEX($F$92:$F$95,MATCH(M64,$C$92:$C$95,0)),IF(L64&lt;=INDEX($D$92:$D$95,MATCH(M64,$C$92:$C$95,0)),0,IF(L64&lt;=INDEX($E$92:$E$95,MATCH(M64,$C$92:$C$95,0)),INDEX($F$92:$F$95,MATCH(M64,$C$92:$C$95,0)),INDEX($G$92:$G$95,MATCH(M64,$C$92:$C$95,0))))))</f>
        <v>0</v>
      </c>
      <c r="O64">
        <f ca="1">G64+N64</f>
        <v>0</v>
      </c>
      <c r="P64" t="s">
        <v>168</v>
      </c>
      <c r="Q64" t="s">
        <v>449</v>
      </c>
      <c r="R64" t="s">
        <v>450</v>
      </c>
    </row>
    <row r="65" spans="1:18" x14ac:dyDescent="0.2">
      <c r="A65" t="s">
        <v>451</v>
      </c>
      <c r="B65" t="s">
        <v>452</v>
      </c>
      <c r="C65" t="s">
        <v>453</v>
      </c>
      <c r="D65" t="s">
        <v>163</v>
      </c>
      <c r="E65">
        <f>IF(C65="Fixed",0,IF(C65="Capped",0,IF(C65="Inflationary",10,IF(C65="Unknown",20,""))))</f>
        <v>0</v>
      </c>
      <c r="F65">
        <f>IF(D65="High",0,IF(D65="Medium",0.05,IF(D65="Low",0.1,IF(D65="Unknown",0.15,""))))</f>
        <v>0</v>
      </c>
      <c r="G65">
        <f>E65*(1+F65)</f>
        <v>0</v>
      </c>
      <c r="H65" t="s">
        <v>454</v>
      </c>
      <c r="I65" t="s">
        <v>455</v>
      </c>
      <c r="J65" t="s">
        <v>166</v>
      </c>
      <c r="K65" s="24">
        <f>IF(AND(I65="",J65=""),"",MAX(IF(I65&lt;&gt;"",DATEVALUE(TRIM(RIGHT(SUBSTITUTE(I65,";",REPT(" ",50)),50))),0),IF(J65&lt;&gt;"",DATEVALUE(TRIM(RIGHT(SUBSTITUTE(J65,";",REPT(" ",50)),50))),0)))</f>
        <v>45986</v>
      </c>
      <c r="L65">
        <f ca="1">IF(K65="","",TODAY()-K65)</f>
        <v>13</v>
      </c>
      <c r="M65" t="s">
        <v>167</v>
      </c>
      <c r="N65">
        <f ca="1">IF(M65="","",IF(L65="",INDEX($F$92:$F$95,MATCH(M65,$C$92:$C$95,0)),IF(L65&lt;=INDEX($D$92:$D$95,MATCH(M65,$C$92:$C$95,0)),0,IF(L65&lt;=INDEX($E$92:$E$95,MATCH(M65,$C$92:$C$95,0)),INDEX($F$92:$F$95,MATCH(M65,$C$92:$C$95,0)),INDEX($G$92:$G$95,MATCH(M65,$C$92:$C$95,0))))))</f>
        <v>0</v>
      </c>
      <c r="O65">
        <f ca="1">G65+N65</f>
        <v>0</v>
      </c>
      <c r="P65" t="s">
        <v>168</v>
      </c>
      <c r="R65" t="s">
        <v>456</v>
      </c>
    </row>
    <row r="66" spans="1:18" x14ac:dyDescent="0.2">
      <c r="A66" t="s">
        <v>457</v>
      </c>
      <c r="B66" t="s">
        <v>458</v>
      </c>
      <c r="C66" t="s">
        <v>181</v>
      </c>
      <c r="D66" t="s">
        <v>163</v>
      </c>
      <c r="E66">
        <f>IF(C66="Yes",0,IF(C66="Partial",10,IF(C66="No",20,"")))</f>
        <v>10</v>
      </c>
      <c r="F66">
        <f>IF(D66="High",0,IF(D66="Medium",0.05,IF(D66="Low",0.1,IF(D66="Unknown",0.15,""))))</f>
        <v>0</v>
      </c>
      <c r="G66">
        <f>E66*(1+F66)</f>
        <v>10</v>
      </c>
      <c r="H66" t="s">
        <v>459</v>
      </c>
      <c r="I66" t="s">
        <v>460</v>
      </c>
      <c r="J66" t="s">
        <v>166</v>
      </c>
      <c r="K66" s="24">
        <f>IF(AND(I66="",J66=""),"",MAX(IF(I66&lt;&gt;"",DATEVALUE(TRIM(RIGHT(SUBSTITUTE(I66,";",REPT(" ",50)),50))),0),IF(J66&lt;&gt;"",DATEVALUE(TRIM(RIGHT(SUBSTITUTE(J66,";",REPT(" ",50)),50))),0)))</f>
        <v>45986</v>
      </c>
      <c r="L66">
        <f ca="1">IF(K66="","",TODAY()-K66)</f>
        <v>13</v>
      </c>
      <c r="M66" t="s">
        <v>167</v>
      </c>
      <c r="N66">
        <f ca="1">IF(M66="","",IF(L66="",INDEX($F$92:$F$95,MATCH(M66,$C$92:$C$95,0)),IF(L66&lt;=INDEX($D$92:$D$95,MATCH(M66,$C$92:$C$95,0)),0,IF(L66&lt;=INDEX($E$92:$E$95,MATCH(M66,$C$92:$C$95,0)),INDEX($F$92:$F$95,MATCH(M66,$C$92:$C$95,0)),INDEX($G$92:$G$95,MATCH(M66,$C$92:$C$95,0))))))</f>
        <v>0</v>
      </c>
      <c r="O66">
        <f ca="1">G66+N66</f>
        <v>10</v>
      </c>
      <c r="P66" t="s">
        <v>168</v>
      </c>
      <c r="R66" t="s">
        <v>461</v>
      </c>
    </row>
    <row r="67" spans="1:18" x14ac:dyDescent="0.2">
      <c r="A67" t="s">
        <v>462</v>
      </c>
      <c r="B67" t="s">
        <v>463</v>
      </c>
      <c r="C67" t="s">
        <v>259</v>
      </c>
      <c r="D67" t="s">
        <v>163</v>
      </c>
      <c r="E67">
        <f>IF(C67="No",0,IF(C67="Unclear",10,IF(C67="Yes",20,"")))</f>
        <v>20</v>
      </c>
      <c r="F67">
        <f>IF(D67="High",0,IF(D67="Medium",0.05,IF(D67="Low",0.1,IF(D67="Unknown",0.15,""))))</f>
        <v>0</v>
      </c>
      <c r="G67">
        <f>E67*(1+F67)</f>
        <v>20</v>
      </c>
      <c r="H67" t="s">
        <v>464</v>
      </c>
      <c r="I67" t="s">
        <v>465</v>
      </c>
      <c r="J67" t="s">
        <v>166</v>
      </c>
      <c r="K67" s="24">
        <f>IF(AND(I67="",J67=""),"",MAX(IF(I67&lt;&gt;"",DATEVALUE(TRIM(RIGHT(SUBSTITUTE(I67,";",REPT(" ",50)),50))),0),IF(J67&lt;&gt;"",DATEVALUE(TRIM(RIGHT(SUBSTITUTE(J67,";",REPT(" ",50)),50))),0)))</f>
        <v>45986</v>
      </c>
      <c r="L67">
        <f ca="1">IF(K67="","",TODAY()-K67)</f>
        <v>13</v>
      </c>
      <c r="M67" t="s">
        <v>167</v>
      </c>
      <c r="N67">
        <f ca="1">IF(M67="","",IF(L67="",INDEX($F$92:$F$95,MATCH(M67,$C$92:$C$95,0)),IF(L67&lt;=INDEX($D$92:$D$95,MATCH(M67,$C$92:$C$95,0)),0,IF(L67&lt;=INDEX($E$92:$E$95,MATCH(M67,$C$92:$C$95,0)),INDEX($F$92:$F$95,MATCH(M67,$C$92:$C$95,0)),INDEX($G$92:$G$95,MATCH(M67,$C$92:$C$95,0))))))</f>
        <v>0</v>
      </c>
      <c r="O67">
        <f ca="1">G67+N67</f>
        <v>20</v>
      </c>
      <c r="P67" t="s">
        <v>168</v>
      </c>
      <c r="R67" t="s">
        <v>466</v>
      </c>
    </row>
    <row r="68" spans="1:18" x14ac:dyDescent="0.2">
      <c r="A68" t="s">
        <v>467</v>
      </c>
      <c r="B68" t="s">
        <v>468</v>
      </c>
      <c r="C68" t="s">
        <v>469</v>
      </c>
      <c r="D68" t="s">
        <v>174</v>
      </c>
      <c r="E68">
        <v>0</v>
      </c>
      <c r="F68">
        <f>IF(D68="High",0,IF(D68="Medium",0.05,IF(D68="Low",0.1,IF(D68="Unknown",0.15,""))))</f>
        <v>0.05</v>
      </c>
      <c r="G68">
        <f>E68*(1+F68)</f>
        <v>0</v>
      </c>
      <c r="H68" t="s">
        <v>470</v>
      </c>
      <c r="I68" t="s">
        <v>298</v>
      </c>
      <c r="J68" t="s">
        <v>166</v>
      </c>
      <c r="K68" s="24">
        <f>IF(AND(I68="",J68=""),"",MAX(IF(I68&lt;&gt;"",DATEVALUE(TRIM(RIGHT(SUBSTITUTE(I68,";",REPT(" ",50)),50))),0),IF(J68&lt;&gt;"",DATEVALUE(TRIM(RIGHT(SUBSTITUTE(J68,";",REPT(" ",50)),50))),0)))</f>
        <v>45986</v>
      </c>
      <c r="L68">
        <f ca="1">IF(K68="","",TODAY()-K68)</f>
        <v>13</v>
      </c>
      <c r="M68" t="s">
        <v>167</v>
      </c>
      <c r="N68">
        <f ca="1">IF(M68="","",IF(L68="",INDEX($F$92:$F$95,MATCH(M68,$C$92:$C$95,0)),IF(L68&lt;=INDEX($D$92:$D$95,MATCH(M68,$C$92:$C$95,0)),0,IF(L68&lt;=INDEX($E$92:$E$95,MATCH(M68,$C$92:$C$95,0)),INDEX($F$92:$F$95,MATCH(M68,$C$92:$C$95,0)),INDEX($G$92:$G$95,MATCH(M68,$C$92:$C$95,0))))))</f>
        <v>0</v>
      </c>
      <c r="O68">
        <f ca="1">G68+N68</f>
        <v>0</v>
      </c>
      <c r="P68" t="s">
        <v>168</v>
      </c>
      <c r="Q68" t="s">
        <v>350</v>
      </c>
      <c r="R68" t="s">
        <v>471</v>
      </c>
    </row>
    <row r="69" spans="1:18" x14ac:dyDescent="0.2">
      <c r="A69" s="3"/>
      <c r="B69" s="42"/>
      <c r="C69" s="43"/>
      <c r="D69" s="43"/>
      <c r="E69" s="43"/>
      <c r="F69" s="43"/>
      <c r="G69" s="43"/>
      <c r="H69" s="43"/>
      <c r="I69" s="43"/>
      <c r="J69" s="43"/>
      <c r="K69" s="44"/>
      <c r="L69" s="43"/>
      <c r="M69" s="43"/>
      <c r="N69" s="43"/>
      <c r="O69" s="43"/>
      <c r="P69" s="43"/>
      <c r="Q69" s="43"/>
      <c r="R69" s="43"/>
    </row>
    <row r="70" spans="1:18" x14ac:dyDescent="0.2">
      <c r="A70" t="s">
        <v>472</v>
      </c>
      <c r="B70" t="s">
        <v>473</v>
      </c>
      <c r="C70" t="s">
        <v>474</v>
      </c>
      <c r="D70" t="s">
        <v>174</v>
      </c>
      <c r="E70">
        <f>IF($AA$1="BTC",0,IFERROR(IF(C70="Unknown",20,IF(VALUE(SUBSTITUTE(C70,"%",""))&lt;=15,0,IF(VALUE(SUBSTITUTE(C70,"%",""))&lt;=30,10,20))),""))</f>
        <v>0</v>
      </c>
      <c r="F70">
        <f t="shared" ref="F70:F75" si="30">IF(D70="High",0,IF(D70="Medium",0.05,IF(D70="Low",0.1,IF(D70="Unknown",0.15,""))))</f>
        <v>0.05</v>
      </c>
      <c r="G70">
        <f t="shared" ref="G70:G75" si="31">E70*(1+F70)</f>
        <v>0</v>
      </c>
      <c r="H70" t="s">
        <v>475</v>
      </c>
      <c r="I70" t="s">
        <v>402</v>
      </c>
      <c r="J70" t="s">
        <v>402</v>
      </c>
      <c r="K70" s="24">
        <f t="shared" ref="K70:K75" si="32">IF(AND(I70="",J70=""),"",MAX(IF(I70&lt;&gt;"",DATEVALUE(TRIM(RIGHT(SUBSTITUTE(I70,";",REPT(" ",50)),50))),0),IF(J70&lt;&gt;"",DATEVALUE(TRIM(RIGHT(SUBSTITUTE(J70,";",REPT(" ",50)),50))),0)))</f>
        <v>45986</v>
      </c>
      <c r="L70">
        <f t="shared" ref="L70:L75" ca="1" si="33">IF(K70="","",TODAY()-K70)</f>
        <v>13</v>
      </c>
      <c r="M70" t="s">
        <v>167</v>
      </c>
      <c r="N70">
        <f t="shared" ref="N70:N75" ca="1" si="34">IF(M70="","",IF(L70="",INDEX($F$92:$F$95,MATCH(M70,$C$92:$C$95,0)),IF(L70&lt;=INDEX($D$92:$D$95,MATCH(M70,$C$92:$C$95,0)),0,IF(L70&lt;=INDEX($E$92:$E$95,MATCH(M70,$C$92:$C$95,0)),INDEX($F$92:$F$95,MATCH(M70,$C$92:$C$95,0)),INDEX($G$92:$G$95,MATCH(M70,$C$92:$C$95,0))))))</f>
        <v>0</v>
      </c>
      <c r="O70">
        <f t="shared" ref="O70:O75" ca="1" si="35">G70+N70</f>
        <v>0</v>
      </c>
      <c r="P70" t="str">
        <f>IF($AA$1="BTC","No Review","No Review")</f>
        <v>No Review</v>
      </c>
      <c r="R70" t="s">
        <v>476</v>
      </c>
    </row>
    <row r="71" spans="1:18" x14ac:dyDescent="0.2">
      <c r="A71" t="s">
        <v>477</v>
      </c>
      <c r="B71" t="s">
        <v>478</v>
      </c>
      <c r="C71" t="s">
        <v>275</v>
      </c>
      <c r="D71" t="s">
        <v>275</v>
      </c>
      <c r="E71">
        <f>IF($AA$1="BTC",0,IFERROR(IF(C71="Unknown",20,IF(VALUE(SUBSTITUTE(C71,"%",""))&lt;=20,0,IF(VALUE(SUBSTITUTE(C71,"%",""))&lt;=40,10,20))),""))</f>
        <v>20</v>
      </c>
      <c r="F71">
        <f t="shared" si="30"/>
        <v>0.15</v>
      </c>
      <c r="G71">
        <f t="shared" si="31"/>
        <v>23</v>
      </c>
      <c r="K71" s="24" t="str">
        <f t="shared" si="32"/>
        <v/>
      </c>
      <c r="L71" t="str">
        <f t="shared" ca="1" si="33"/>
        <v/>
      </c>
      <c r="M71" t="s">
        <v>167</v>
      </c>
      <c r="N71">
        <f t="shared" ca="1" si="34"/>
        <v>0</v>
      </c>
      <c r="O71">
        <f t="shared" ca="1" si="35"/>
        <v>23</v>
      </c>
      <c r="P71" t="str">
        <f>IF($AA$1="BTC","No Review","No Review")</f>
        <v>No Review</v>
      </c>
      <c r="R71" t="s">
        <v>479</v>
      </c>
    </row>
    <row r="72" spans="1:18" x14ac:dyDescent="0.2">
      <c r="A72" t="s">
        <v>480</v>
      </c>
      <c r="B72" t="s">
        <v>481</v>
      </c>
      <c r="C72" t="s">
        <v>275</v>
      </c>
      <c r="D72" t="s">
        <v>315</v>
      </c>
      <c r="E72">
        <f>IF($AA$1="BTC",0,IFERROR(IF(C72="Unknown",10,IF(VALUE(SUBSTITUTE(C72,"%",""))&lt;=15,0,IF(VALUE(SUBSTITUTE(C72,"%",""))&lt;=30,10,20))),""))</f>
        <v>10</v>
      </c>
      <c r="F72">
        <f t="shared" si="30"/>
        <v>0.1</v>
      </c>
      <c r="G72">
        <f t="shared" si="31"/>
        <v>11</v>
      </c>
      <c r="H72" t="s">
        <v>482</v>
      </c>
      <c r="I72" t="s">
        <v>483</v>
      </c>
      <c r="J72" t="s">
        <v>250</v>
      </c>
      <c r="K72" s="24">
        <f t="shared" si="32"/>
        <v>45986</v>
      </c>
      <c r="L72">
        <f t="shared" ca="1" si="33"/>
        <v>13</v>
      </c>
      <c r="M72" t="s">
        <v>167</v>
      </c>
      <c r="N72">
        <f t="shared" ca="1" si="34"/>
        <v>0</v>
      </c>
      <c r="O72">
        <f t="shared" ca="1" si="35"/>
        <v>11</v>
      </c>
      <c r="P72" t="str">
        <f>IF($AA$1="BTC","No Review","No Review")</f>
        <v>No Review</v>
      </c>
      <c r="R72" t="s">
        <v>484</v>
      </c>
    </row>
    <row r="73" spans="1:18" x14ac:dyDescent="0.2">
      <c r="A73" t="s">
        <v>485</v>
      </c>
      <c r="B73" t="s">
        <v>486</v>
      </c>
      <c r="C73" t="s">
        <v>181</v>
      </c>
      <c r="D73" t="s">
        <v>163</v>
      </c>
      <c r="E73">
        <f t="array" ref="E73">IF($AA$1="BTC",0,IF(C73="Yes",0,IF(C73="Partial",10,IF(C73="No",20,""))))</f>
        <v>10</v>
      </c>
      <c r="F73">
        <f t="shared" si="30"/>
        <v>0</v>
      </c>
      <c r="G73">
        <f t="shared" si="31"/>
        <v>10</v>
      </c>
      <c r="H73" t="s">
        <v>487</v>
      </c>
      <c r="I73" t="s">
        <v>488</v>
      </c>
      <c r="J73" t="s">
        <v>166</v>
      </c>
      <c r="K73" s="24">
        <f t="shared" si="32"/>
        <v>45986</v>
      </c>
      <c r="L73">
        <f t="shared" ca="1" si="33"/>
        <v>13</v>
      </c>
      <c r="M73" t="s">
        <v>167</v>
      </c>
      <c r="N73">
        <f t="shared" ca="1" si="34"/>
        <v>0</v>
      </c>
      <c r="O73">
        <f t="shared" ca="1" si="35"/>
        <v>10</v>
      </c>
      <c r="P73" t="str">
        <f>IF($AA$1="BTC","No Review","No Review")</f>
        <v>No Review</v>
      </c>
      <c r="R73" t="s">
        <v>489</v>
      </c>
    </row>
    <row r="74" spans="1:18" x14ac:dyDescent="0.2">
      <c r="A74" t="s">
        <v>490</v>
      </c>
      <c r="B74" t="s">
        <v>491</v>
      </c>
      <c r="C74" t="s">
        <v>275</v>
      </c>
      <c r="D74" t="s">
        <v>315</v>
      </c>
      <c r="E74">
        <f>IF($AA$1="BTC",0,IFERROR(IF(C74="Unknown",10,IF(VALUE(SUBSTITUTE(C74,"%",""))&lt;=5,0,IF(VALUE(SUBSTITUTE(C74,"%",""))&lt;=15,10,20))),""))</f>
        <v>10</v>
      </c>
      <c r="F74">
        <f t="shared" si="30"/>
        <v>0.1</v>
      </c>
      <c r="G74">
        <f t="shared" si="31"/>
        <v>11</v>
      </c>
      <c r="H74" t="s">
        <v>492</v>
      </c>
      <c r="I74" t="s">
        <v>493</v>
      </c>
      <c r="J74" t="s">
        <v>166</v>
      </c>
      <c r="K74" s="24">
        <f t="shared" si="32"/>
        <v>45986</v>
      </c>
      <c r="L74">
        <f t="shared" ca="1" si="33"/>
        <v>13</v>
      </c>
      <c r="M74" t="s">
        <v>276</v>
      </c>
      <c r="N74">
        <f t="shared" ca="1" si="34"/>
        <v>0</v>
      </c>
      <c r="O74">
        <f t="shared" ca="1" si="35"/>
        <v>11</v>
      </c>
      <c r="P74" t="str">
        <f>IF($AA$1="BTC","No Review",IF(AND(IFERROR(VALUE(SUBSTITUTE(#REF!,"%","")),0)+IFERROR(VALUE(SUBSTITUTE(#REF!,"%","")),0)&gt;45,IFERROR(VALUE(SUBSTITUTE($C$19,"%","")),0)&gt;15),"Review","No Review"))</f>
        <v>No Review</v>
      </c>
      <c r="Q74" t="s">
        <v>494</v>
      </c>
      <c r="R74" t="s">
        <v>495</v>
      </c>
    </row>
    <row r="75" spans="1:18" x14ac:dyDescent="0.2">
      <c r="A75" t="s">
        <v>496</v>
      </c>
      <c r="B75" t="s">
        <v>497</v>
      </c>
      <c r="C75" t="s">
        <v>498</v>
      </c>
      <c r="D75" t="s">
        <v>163</v>
      </c>
      <c r="E75">
        <f>IF($AA$1="BTC",0,0)</f>
        <v>0</v>
      </c>
      <c r="F75">
        <f t="shared" si="30"/>
        <v>0</v>
      </c>
      <c r="G75">
        <f t="shared" si="31"/>
        <v>0</v>
      </c>
      <c r="H75" t="s">
        <v>499</v>
      </c>
      <c r="I75" t="s">
        <v>500</v>
      </c>
      <c r="J75" t="s">
        <v>166</v>
      </c>
      <c r="K75" s="24">
        <f t="shared" si="32"/>
        <v>45986</v>
      </c>
      <c r="L75">
        <f t="shared" ca="1" si="33"/>
        <v>13</v>
      </c>
      <c r="M75" t="s">
        <v>184</v>
      </c>
      <c r="N75">
        <f t="shared" ca="1" si="34"/>
        <v>0</v>
      </c>
      <c r="O75">
        <f t="shared" ca="1" si="35"/>
        <v>0</v>
      </c>
      <c r="P75" t="str">
        <f>IF($AA$1="BTC","No Review","No Review")</f>
        <v>No Review</v>
      </c>
      <c r="Q75" t="s">
        <v>350</v>
      </c>
      <c r="R75" t="s">
        <v>501</v>
      </c>
    </row>
    <row r="76" spans="1:18" x14ac:dyDescent="0.2">
      <c r="A76" s="3"/>
      <c r="B76" s="42"/>
      <c r="C76" s="43"/>
      <c r="D76" s="43"/>
      <c r="E76" s="43"/>
      <c r="F76" s="43"/>
      <c r="G76" s="43"/>
      <c r="H76" s="43"/>
      <c r="I76" s="43"/>
      <c r="J76" s="43"/>
      <c r="K76" s="44"/>
      <c r="L76" s="43"/>
      <c r="M76" s="43"/>
      <c r="N76" s="43"/>
      <c r="O76" s="43"/>
      <c r="P76" s="43"/>
      <c r="Q76" s="43"/>
      <c r="R76" s="43"/>
    </row>
    <row r="77" spans="1:18" x14ac:dyDescent="0.2">
      <c r="A77" t="s">
        <v>502</v>
      </c>
      <c r="B77" t="s">
        <v>503</v>
      </c>
      <c r="C77" t="s">
        <v>275</v>
      </c>
      <c r="D77" t="s">
        <v>315</v>
      </c>
      <c r="E77">
        <f>IFERROR(
  IF(C77="Unknown",10,
    IF(OR($C$64="L1",$C$64="L2"),
       IF(VALUE(SUBSTITUTE(C77,"%",""))&lt;=4,0,
          IF(VALUE(SUBSTITUTE(C77,"%",""))&lt;=8,10,20)),
       IF(VALUE(SUBSTITUTE(C77,"%",""))&lt;=3,0,
          IF(VALUE(SUBSTITUTE(C77,"%",""))&lt;=6,10,20))
    )
  ),
"")</f>
        <v>10</v>
      </c>
      <c r="F77">
        <f>IF(D77="High",0,IF(D77="Medium",0.05,IF(D77="Low",0.1,IF(D77="Unknown",0.15,""))))</f>
        <v>0.1</v>
      </c>
      <c r="G77">
        <f>E77*(1+F77)</f>
        <v>11</v>
      </c>
      <c r="H77" t="s">
        <v>504</v>
      </c>
      <c r="I77" t="s">
        <v>505</v>
      </c>
      <c r="J77" t="s">
        <v>166</v>
      </c>
      <c r="K77" s="24">
        <f>IF(AND(I77="",J77=""),"",MAX(IF(I77&lt;&gt;"",DATEVALUE(TRIM(RIGHT(SUBSTITUTE(I77,";",REPT(" ",50)),50))),0),IF(J77&lt;&gt;"",DATEVALUE(TRIM(RIGHT(SUBSTITUTE(J77,";",REPT(" ",50)),50))),0)))</f>
        <v>45986</v>
      </c>
      <c r="L77">
        <f ca="1">IF(K77="","",TODAY()-K77)</f>
        <v>13</v>
      </c>
      <c r="M77" t="s">
        <v>184</v>
      </c>
      <c r="N77">
        <f ca="1">IF(M77="","",IF(L77="",INDEX($F$92:$F$95,MATCH(M77,$C$92:$C$95,0)),IF(L77&lt;=INDEX($D$92:$D$95,MATCH(M77,$C$92:$C$95,0)),0,IF(L77&lt;=INDEX($E$92:$E$95,MATCH(M77,$C$92:$C$95,0)),INDEX($F$92:$F$95,MATCH(M77,$C$92:$C$95,0)),INDEX($G$92:$G$95,MATCH(M77,$C$92:$C$95,0))))))</f>
        <v>0</v>
      </c>
      <c r="O77">
        <f ca="1">G77+N77</f>
        <v>11</v>
      </c>
      <c r="P77" t="str">
        <f>IF($AA$1="BTC","No Review",IF(OR(AND(OR(C64="L1",C64="L2"), IFERROR(VALUE(SUBSTITUTE($C$22,"%","")),0)&gt;8),AND(NOT(OR(C64="L1",C64="L2")), IFERROR(VALUE(SUBSTITUTE($C$22,"%","")),0)&gt;6)),"Review","No Review"))</f>
        <v>No Review</v>
      </c>
      <c r="Q77" t="s">
        <v>506</v>
      </c>
      <c r="R77" t="s">
        <v>507</v>
      </c>
    </row>
    <row r="78" spans="1:18" x14ac:dyDescent="0.2">
      <c r="A78" t="s">
        <v>508</v>
      </c>
      <c r="B78" t="s">
        <v>509</v>
      </c>
      <c r="C78" t="s">
        <v>510</v>
      </c>
      <c r="D78" t="s">
        <v>174</v>
      </c>
      <c r="E78">
        <f t="array" ref="E78">IF($AA$1="BTC",0,IF(C78="Gradual",0,IF(C78="Mixed",10,IF(C78="Cliff",20,IF(C78="Unknown",10,"")))))</f>
        <v>10</v>
      </c>
      <c r="F78">
        <f>IF(D78="High",0,IF(D78="Medium",0.05,IF(D78="Low",0.1,IF(D78="Unknown",0.15,""))))</f>
        <v>0.05</v>
      </c>
      <c r="G78">
        <f>E78*(1+F78)</f>
        <v>10.5</v>
      </c>
      <c r="H78" t="s">
        <v>511</v>
      </c>
      <c r="I78" t="s">
        <v>512</v>
      </c>
      <c r="J78" t="s">
        <v>166</v>
      </c>
      <c r="K78" s="24">
        <f>IF(AND(I78="",J78=""),"",MAX(IF(I78&lt;&gt;"",DATEVALUE(TRIM(RIGHT(SUBSTITUTE(I78,";",REPT(" ",50)),50))),0),IF(J78&lt;&gt;"",DATEVALUE(TRIM(RIGHT(SUBSTITUTE(J78,";",REPT(" ",50)),50))),0)))</f>
        <v>45986</v>
      </c>
      <c r="L78">
        <f ca="1">IF(K78="","",TODAY()-K78)</f>
        <v>13</v>
      </c>
      <c r="M78" t="s">
        <v>167</v>
      </c>
      <c r="N78">
        <f ca="1">IF(M78="","",IF(L78="",INDEX($F$92:$F$95,MATCH(M78,$C$92:$C$95,0)),IF(L78&lt;=INDEX($D$92:$D$95,MATCH(M78,$C$92:$C$95,0)),0,IF(L78&lt;=INDEX($E$92:$E$95,MATCH(M78,$C$92:$C$95,0)),INDEX($F$92:$F$95,MATCH(M78,$C$92:$C$95,0)),INDEX($G$92:$G$95,MATCH(M78,$C$92:$C$95,0))))))</f>
        <v>0</v>
      </c>
      <c r="O78">
        <f ca="1">G78+N78</f>
        <v>10.5</v>
      </c>
      <c r="P78" t="str">
        <f>IF($AA$1="BTC","No Review","No Review")</f>
        <v>No Review</v>
      </c>
      <c r="R78" t="s">
        <v>513</v>
      </c>
    </row>
    <row r="79" spans="1:18" x14ac:dyDescent="0.2">
      <c r="A79" t="s">
        <v>514</v>
      </c>
      <c r="B79" t="s">
        <v>515</v>
      </c>
      <c r="C79" t="s">
        <v>210</v>
      </c>
      <c r="D79" t="s">
        <v>163</v>
      </c>
      <c r="E79">
        <f t="array" ref="E79">IF($AA$1="BTC",0,IF(C79="Yes",0,IF(C79="Unclear",10,IF(C79="No",20,""))))</f>
        <v>20</v>
      </c>
      <c r="F79">
        <f>IF(D79="High",0,IF(D79="Medium",0.05,IF(D79="Low",0.1,IF(D79="Unknown",0.15,""))))</f>
        <v>0</v>
      </c>
      <c r="G79">
        <f>E79*(1+F79)</f>
        <v>20</v>
      </c>
      <c r="H79" t="s">
        <v>487</v>
      </c>
      <c r="I79" t="s">
        <v>488</v>
      </c>
      <c r="J79" t="s">
        <v>166</v>
      </c>
      <c r="K79" s="24">
        <f>IF(AND(I79="",J79=""),"",MAX(IF(I79&lt;&gt;"",DATEVALUE(TRIM(RIGHT(SUBSTITUTE(I79,";",REPT(" ",50)),50))),0),IF(J79&lt;&gt;"",DATEVALUE(TRIM(RIGHT(SUBSTITUTE(J79,";",REPT(" ",50)),50))),0)))</f>
        <v>45986</v>
      </c>
      <c r="L79">
        <f ca="1">IF(K79="","",TODAY()-K79)</f>
        <v>13</v>
      </c>
      <c r="M79" t="s">
        <v>167</v>
      </c>
      <c r="N79">
        <f ca="1">IF(M79="","",IF(L79="",INDEX($F$92:$F$95,MATCH(M79,$C$92:$C$95,0)),IF(L79&lt;=INDEX($D$92:$D$95,MATCH(M79,$C$92:$C$95,0)),0,IF(L79&lt;=INDEX($E$92:$E$95,MATCH(M79,$C$92:$C$95,0)),INDEX($F$92:$F$95,MATCH(M79,$C$92:$C$95,0)),INDEX($G$92:$G$95,MATCH(M79,$C$92:$C$95,0))))))</f>
        <v>0</v>
      </c>
      <c r="O79">
        <f ca="1">G79+N79</f>
        <v>20</v>
      </c>
      <c r="P79" t="str">
        <f>IF($AA$1="BTC","No Review","No Review")</f>
        <v>No Review</v>
      </c>
      <c r="R79" t="s">
        <v>516</v>
      </c>
    </row>
    <row r="80" spans="1:18" x14ac:dyDescent="0.2">
      <c r="A80" t="s">
        <v>517</v>
      </c>
      <c r="B80" t="s">
        <v>518</v>
      </c>
      <c r="C80" t="s">
        <v>519</v>
      </c>
      <c r="D80" t="s">
        <v>174</v>
      </c>
      <c r="E80">
        <f>IF($AA$1="BTC",0,0)</f>
        <v>0</v>
      </c>
      <c r="F80">
        <f>IF(D80="High",0,IF(D80="Medium",0.05,IF(D80="Low",0.1,IF(D80="Unknown",0.15,""))))</f>
        <v>0.05</v>
      </c>
      <c r="G80">
        <f>E80*(1+F80)</f>
        <v>0</v>
      </c>
      <c r="H80" t="s">
        <v>520</v>
      </c>
      <c r="I80" t="s">
        <v>521</v>
      </c>
      <c r="J80" t="s">
        <v>166</v>
      </c>
      <c r="K80" s="24">
        <f>IF(AND(I80="",J80=""),"",MAX(IF(I80&lt;&gt;"",DATEVALUE(TRIM(RIGHT(SUBSTITUTE(I80,";",REPT(" ",50)),50))),0),IF(J80&lt;&gt;"",DATEVALUE(TRIM(RIGHT(SUBSTITUTE(J80,";",REPT(" ",50)),50))),0)))</f>
        <v>45986</v>
      </c>
      <c r="L80">
        <f ca="1">IF(K80="","",TODAY()-K80)</f>
        <v>13</v>
      </c>
      <c r="M80" t="s">
        <v>184</v>
      </c>
      <c r="N80">
        <f ca="1">IF(M80="","",IF(L80="",INDEX($F$92:$F$95,MATCH(M80,$C$92:$C$95,0)),IF(L80&lt;=INDEX($D$92:$D$95,MATCH(M80,$C$92:$C$95,0)),0,IF(L80&lt;=INDEX($E$92:$E$95,MATCH(M80,$C$92:$C$95,0)),INDEX($F$92:$F$95,MATCH(M80,$C$92:$C$95,0)),INDEX($G$92:$G$95,MATCH(M80,$C$92:$C$95,0))))))</f>
        <v>0</v>
      </c>
      <c r="O80">
        <f ca="1">G80+N80</f>
        <v>0</v>
      </c>
      <c r="P80" t="str">
        <f>IF($AA$1="BTC","No Review","No Review")</f>
        <v>No Review</v>
      </c>
      <c r="Q80" t="s">
        <v>350</v>
      </c>
      <c r="R80" t="s">
        <v>522</v>
      </c>
    </row>
    <row r="81" spans="1:18" x14ac:dyDescent="0.2">
      <c r="A81" s="3"/>
      <c r="B81" s="42"/>
      <c r="C81" s="43"/>
      <c r="D81" s="43"/>
      <c r="E81" s="43"/>
      <c r="F81" s="43"/>
      <c r="G81" s="43"/>
      <c r="H81" s="43"/>
      <c r="I81" s="43"/>
      <c r="J81" s="43"/>
      <c r="K81" s="44"/>
      <c r="L81" s="43"/>
      <c r="M81" s="43"/>
      <c r="N81" s="43"/>
      <c r="O81" s="43"/>
      <c r="P81" s="43"/>
      <c r="Q81" s="43"/>
      <c r="R81" s="43"/>
    </row>
    <row r="82" spans="1:18" x14ac:dyDescent="0.2">
      <c r="A82" t="s">
        <v>523</v>
      </c>
      <c r="B82" t="s">
        <v>524</v>
      </c>
      <c r="C82" t="s">
        <v>525</v>
      </c>
      <c r="D82" t="s">
        <v>174</v>
      </c>
      <c r="E82">
        <f>IF(C82="Fee",0,IF(C82="Mix",10,IF(C82="Emissions",20,IF(C82="Unknown",10,""))))</f>
        <v>10</v>
      </c>
      <c r="F82">
        <f>IF(D82="High",0,IF(D82="Medium",0.05,IF(D82="Low",0.1,IF(D82="Unknown",0.15,""))))</f>
        <v>0.05</v>
      </c>
      <c r="G82">
        <f>E82*(1+F82)</f>
        <v>10.5</v>
      </c>
      <c r="H82" t="s">
        <v>526</v>
      </c>
      <c r="I82" t="s">
        <v>527</v>
      </c>
      <c r="J82" t="s">
        <v>250</v>
      </c>
      <c r="K82" s="24">
        <f>IF(AND(I82="",J82=""),"",MAX(IF(I82&lt;&gt;"",DATEVALUE(TRIM(RIGHT(SUBSTITUTE(I82,";",REPT(" ",50)),50))),0),IF(J82&lt;&gt;"",DATEVALUE(TRIM(RIGHT(SUBSTITUTE(J82,";",REPT(" ",50)),50))),0)))</f>
        <v>45986</v>
      </c>
      <c r="L82">
        <f ca="1">IF(K82="","",TODAY()-K82)</f>
        <v>13</v>
      </c>
      <c r="M82" t="s">
        <v>167</v>
      </c>
      <c r="N82">
        <f ca="1">IF(M82="","",IF(L82="",INDEX($F$92:$F$95,MATCH(M82,$C$92:$C$95,0)),IF(L82&lt;=INDEX($D$92:$D$95,MATCH(M82,$C$92:$C$95,0)),0,IF(L82&lt;=INDEX($E$92:$E$95,MATCH(M82,$C$92:$C$95,0)),INDEX($F$92:$F$95,MATCH(M82,$C$92:$C$95,0)),INDEX($G$92:$G$95,MATCH(M82,$C$92:$C$95,0))))))</f>
        <v>0</v>
      </c>
      <c r="O82">
        <f ca="1">G82+N82</f>
        <v>10.5</v>
      </c>
      <c r="P82" t="s">
        <v>168</v>
      </c>
      <c r="Q82" t="s">
        <v>528</v>
      </c>
      <c r="R82" t="s">
        <v>529</v>
      </c>
    </row>
    <row r="83" spans="1:18" x14ac:dyDescent="0.2">
      <c r="A83" t="s">
        <v>530</v>
      </c>
      <c r="B83" t="s">
        <v>531</v>
      </c>
      <c r="C83" t="s">
        <v>532</v>
      </c>
      <c r="D83" t="s">
        <v>174</v>
      </c>
      <c r="E83">
        <f>IFERROR(IF(C83="Unknown",10,IF(VALUE(SUBSTITUTE(C83,"%",""))&lt;=10,0,IF(VALUE(SUBSTITUTE(C83,"%",""))&lt;=20,10,20))),"")</f>
        <v>20</v>
      </c>
      <c r="F83">
        <f>IF(D83="High",0,IF(D83="Medium",0.05,IF(D83="Low",0.1,IF(D83="Unknown",0.15,""))))</f>
        <v>0.05</v>
      </c>
      <c r="G83">
        <f>E83*(1+F83)</f>
        <v>21</v>
      </c>
      <c r="H83" t="s">
        <v>533</v>
      </c>
      <c r="I83" t="s">
        <v>534</v>
      </c>
      <c r="J83" t="s">
        <v>250</v>
      </c>
      <c r="K83" s="24">
        <f>IF(AND(I83="",J83=""),"",MAX(IF(I83&lt;&gt;"",DATEVALUE(TRIM(RIGHT(SUBSTITUTE(I83,";",REPT(" ",50)),50))),0),IF(J83&lt;&gt;"",DATEVALUE(TRIM(RIGHT(SUBSTITUTE(J83,";",REPT(" ",50)),50))),0)))</f>
        <v>45986</v>
      </c>
      <c r="L83">
        <f ca="1">IF(K83="","",TODAY()-K83)</f>
        <v>13</v>
      </c>
      <c r="M83" t="s">
        <v>276</v>
      </c>
      <c r="N83">
        <f ca="1">IF(M83="","",IF(L83="",INDEX($F$92:$F$95,MATCH(M83,$C$92:$C$95,0)),IF(L83&lt;=INDEX($D$92:$D$95,MATCH(M83,$C$92:$C$95,0)),0,IF(L83&lt;=INDEX($E$92:$E$95,MATCH(M83,$C$92:$C$95,0)),INDEX($F$92:$F$95,MATCH(M83,$C$92:$C$95,0)),INDEX($G$92:$G$95,MATCH(M83,$C$92:$C$95,0))))))</f>
        <v>0</v>
      </c>
      <c r="O83">
        <f ca="1">G83+N83</f>
        <v>21</v>
      </c>
      <c r="P83" t="str">
        <f>IF(AND($C$27="Emissions", IFERROR(VALUE(SUBSTITUTE(C83,"%","")),0)&gt;20),"Review","No Review")</f>
        <v>No Review</v>
      </c>
      <c r="Q83" t="s">
        <v>535</v>
      </c>
      <c r="R83" t="s">
        <v>536</v>
      </c>
    </row>
    <row r="84" spans="1:18" x14ac:dyDescent="0.2">
      <c r="A84" t="s">
        <v>537</v>
      </c>
      <c r="B84" t="s">
        <v>538</v>
      </c>
      <c r="C84" t="s">
        <v>210</v>
      </c>
      <c r="D84" t="s">
        <v>163</v>
      </c>
      <c r="E84">
        <f>IF(C84="Yes",0,IF(C84="Unclear",10,IF(C84="No",20,"")))</f>
        <v>20</v>
      </c>
      <c r="F84">
        <f>IF(D84="High",0,IF(D84="Medium",0.05,IF(D84="Low",0.1,IF(D84="Unknown",0.15,""))))</f>
        <v>0</v>
      </c>
      <c r="G84">
        <f>E84*(1+F84)</f>
        <v>20</v>
      </c>
      <c r="H84" t="s">
        <v>539</v>
      </c>
      <c r="I84" t="s">
        <v>540</v>
      </c>
      <c r="J84" t="s">
        <v>166</v>
      </c>
      <c r="K84" s="24">
        <f>IF(AND(I84="",J84=""),"",MAX(IF(I84&lt;&gt;"",DATEVALUE(TRIM(RIGHT(SUBSTITUTE(I84,";",REPT(" ",50)),50))),0),IF(J84&lt;&gt;"",DATEVALUE(TRIM(RIGHT(SUBSTITUTE(J84,";",REPT(" ",50)),50))),0)))</f>
        <v>45986</v>
      </c>
      <c r="L84">
        <f ca="1">IF(K84="","",TODAY()-K84)</f>
        <v>13</v>
      </c>
      <c r="M84" t="s">
        <v>167</v>
      </c>
      <c r="N84">
        <f ca="1">IF(M84="","",IF(L84="",INDEX($F$92:$F$95,MATCH(M84,$C$92:$C$95,0)),IF(L84&lt;=INDEX($D$92:$D$95,MATCH(M84,$C$92:$C$95,0)),0,IF(L84&lt;=INDEX($E$92:$E$95,MATCH(M84,$C$92:$C$95,0)),INDEX($F$92:$F$95,MATCH(M84,$C$92:$C$95,0)),INDEX($G$92:$G$95,MATCH(M84,$C$92:$C$95,0))))))</f>
        <v>0</v>
      </c>
      <c r="O84">
        <f ca="1">G84+N84</f>
        <v>20</v>
      </c>
      <c r="P84" t="s">
        <v>168</v>
      </c>
      <c r="R84" t="s">
        <v>541</v>
      </c>
    </row>
    <row r="85" spans="1:18" x14ac:dyDescent="0.2">
      <c r="A85" t="s">
        <v>542</v>
      </c>
      <c r="B85" t="s">
        <v>543</v>
      </c>
      <c r="C85" t="s">
        <v>544</v>
      </c>
      <c r="D85" t="s">
        <v>174</v>
      </c>
      <c r="E85">
        <v>0</v>
      </c>
      <c r="F85">
        <f>IF(D85="High",0,IF(D85="Medium",0.05,IF(D85="Low",0.1,IF(D85="Unknown",0.15,""))))</f>
        <v>0.05</v>
      </c>
      <c r="G85">
        <f>E85*(1+F85)</f>
        <v>0</v>
      </c>
      <c r="H85" t="s">
        <v>545</v>
      </c>
      <c r="I85" t="s">
        <v>546</v>
      </c>
      <c r="J85" t="s">
        <v>166</v>
      </c>
      <c r="K85" s="24">
        <f>IF(AND(I85="",J85=""),"",MAX(IF(I85&lt;&gt;"",DATEVALUE(TRIM(RIGHT(SUBSTITUTE(I85,";",REPT(" ",50)),50))),0),IF(J85&lt;&gt;"",DATEVALUE(TRIM(RIGHT(SUBSTITUTE(J85,";",REPT(" ",50)),50))),0)))</f>
        <v>45986</v>
      </c>
      <c r="L85">
        <f ca="1">IF(K85="","",TODAY()-K85)</f>
        <v>13</v>
      </c>
      <c r="M85" t="s">
        <v>184</v>
      </c>
      <c r="N85">
        <f ca="1">IF(M85="","",IF(L85="",INDEX($F$92:$F$95,MATCH(M85,$C$92:$C$95,0)),IF(L85&lt;=INDEX($D$92:$D$95,MATCH(M85,$C$92:$C$95,0)),0,IF(L85&lt;=INDEX($E$92:$E$95,MATCH(M85,$C$92:$C$95,0)),INDEX($F$92:$F$95,MATCH(M85,$C$92:$C$95,0)),INDEX($G$92:$G$95,MATCH(M85,$C$92:$C$95,0))))))</f>
        <v>0</v>
      </c>
      <c r="O85">
        <f ca="1">G85+N85</f>
        <v>0</v>
      </c>
      <c r="P85" t="s">
        <v>168</v>
      </c>
      <c r="Q85" t="s">
        <v>350</v>
      </c>
      <c r="R85" t="s">
        <v>547</v>
      </c>
    </row>
    <row r="90" spans="1:18" x14ac:dyDescent="0.2">
      <c r="C90" s="47" t="s">
        <v>548</v>
      </c>
      <c r="D90" s="39"/>
      <c r="E90" s="39"/>
      <c r="F90" s="39"/>
      <c r="G90" s="40"/>
    </row>
    <row r="91" spans="1:18" x14ac:dyDescent="0.2">
      <c r="C91" s="30" t="s">
        <v>152</v>
      </c>
      <c r="D91" s="30" t="s">
        <v>549</v>
      </c>
      <c r="E91" s="30" t="s">
        <v>550</v>
      </c>
      <c r="F91" s="30" t="s">
        <v>551</v>
      </c>
      <c r="G91" s="28" t="s">
        <v>552</v>
      </c>
    </row>
    <row r="92" spans="1:18" x14ac:dyDescent="0.2">
      <c r="C92" s="7" t="s">
        <v>276</v>
      </c>
      <c r="D92" s="27">
        <v>90</v>
      </c>
      <c r="E92" s="27">
        <v>180</v>
      </c>
      <c r="F92" s="27">
        <v>5</v>
      </c>
      <c r="G92" s="29">
        <v>10</v>
      </c>
    </row>
    <row r="93" spans="1:18" x14ac:dyDescent="0.2">
      <c r="C93" s="8" t="s">
        <v>184</v>
      </c>
      <c r="D93">
        <v>180</v>
      </c>
      <c r="E93">
        <v>365</v>
      </c>
      <c r="F93">
        <v>3</v>
      </c>
      <c r="G93" s="14">
        <v>6</v>
      </c>
    </row>
    <row r="94" spans="1:18" x14ac:dyDescent="0.2">
      <c r="C94" s="8" t="s">
        <v>305</v>
      </c>
      <c r="D94">
        <v>365</v>
      </c>
      <c r="E94">
        <v>730</v>
      </c>
      <c r="F94">
        <v>2</v>
      </c>
      <c r="G94" s="14">
        <v>4</v>
      </c>
    </row>
    <row r="95" spans="1:18" x14ac:dyDescent="0.2">
      <c r="C95" s="9" t="s">
        <v>167</v>
      </c>
      <c r="D95" s="16">
        <v>9999</v>
      </c>
      <c r="E95" s="16">
        <v>9999</v>
      </c>
      <c r="F95" s="16">
        <v>0</v>
      </c>
      <c r="G95" s="17">
        <v>0</v>
      </c>
    </row>
    <row r="99" spans="3:5" ht="16" customHeight="1" thickBot="1" x14ac:dyDescent="0.25"/>
    <row r="100" spans="3:5" ht="16" customHeight="1" thickBot="1" x14ac:dyDescent="0.25">
      <c r="C100" s="48" t="s">
        <v>553</v>
      </c>
      <c r="D100" s="49"/>
      <c r="E100" s="50"/>
    </row>
    <row r="101" spans="3:5" x14ac:dyDescent="0.2">
      <c r="C101" s="45" t="s">
        <v>554</v>
      </c>
      <c r="D101" s="46"/>
      <c r="E101" s="8">
        <f ca="1">IF(COUNTIFS($A$4:$A$85,"A*",$C$4:$C$85,"&lt;&gt;")=0,"",AVERAGEIFS($O$4:$O$85,$A$4:$A$85,"A*",$C$4:$C$85,"&lt;&gt;"))</f>
        <v>9.6666666666666661</v>
      </c>
    </row>
    <row r="102" spans="3:5" x14ac:dyDescent="0.2">
      <c r="C102" s="45" t="s">
        <v>555</v>
      </c>
      <c r="D102" s="46"/>
      <c r="E102" s="8">
        <f ca="1">IF(COUNTIFS($A$4:$A$85,"B*",$C$4:$C$85,"&lt;&gt;")=0,"",AVERAGEIFS($O$4:$O$85,$A$4:$A$85,"B*",$C$4:$C$85,"&lt;&gt;"))</f>
        <v>10.225</v>
      </c>
    </row>
    <row r="103" spans="3:5" x14ac:dyDescent="0.2">
      <c r="C103" s="45" t="s">
        <v>556</v>
      </c>
      <c r="D103" s="46"/>
      <c r="E103" s="8">
        <f ca="1">IF(COUNTIFS($A$4:$A$85,"C*",$C$4:$C$85,"&lt;&gt;")=0,"",AVERAGEIFS($O$4:$O$85,$A$4:$A$85,"C*",$C$4:$C$85,"&lt;&gt;"))</f>
        <v>7.3571428571428568</v>
      </c>
    </row>
    <row r="104" spans="3:5" x14ac:dyDescent="0.2">
      <c r="C104" s="45" t="s">
        <v>557</v>
      </c>
      <c r="D104" s="46"/>
      <c r="E104" s="8">
        <f ca="1">IF(COUNTIFS($A$4:$A$85,"D*",$C$4:$C$85,"&lt;&gt;")=0,"",AVERAGEIFS($O$4:$O$85,$A$4:$A$85,"D*",$C$4:$C$85,"&lt;&gt;"))</f>
        <v>3.875</v>
      </c>
    </row>
    <row r="105" spans="3:5" x14ac:dyDescent="0.2">
      <c r="C105" s="45" t="s">
        <v>558</v>
      </c>
      <c r="D105" s="46"/>
      <c r="E105" s="8">
        <f ca="1">IF(COUNTIFS($A$4:$A$85,"E*",$C$4:$C$85,"&lt;&gt;")=0,"",AVERAGEIFS($O$4:$O$85,$A$4:$A$85,"E*",$C$4:$C$85,"&lt;&gt;"))</f>
        <v>9.3684210526315788</v>
      </c>
    </row>
    <row r="106" spans="3:5" x14ac:dyDescent="0.2">
      <c r="C106" s="45" t="s">
        <v>559</v>
      </c>
      <c r="D106" s="46"/>
      <c r="E106" s="8">
        <f ca="1">IF(COUNTIF($C$4:$C$85,"&lt;&gt;")=0,"",AVERAGEIFS($O$4:$O$85,$C$4:$C$85,"&lt;&gt;"))</f>
        <v>8.8030303030303028</v>
      </c>
    </row>
    <row r="107" spans="3:5" x14ac:dyDescent="0.2">
      <c r="C107" s="45" t="s">
        <v>560</v>
      </c>
      <c r="D107" s="46"/>
      <c r="E107" s="8" t="str">
        <f ca="1">IF(E106="","",IF(E106&lt;3,"Very Low",IF(E106&lt;6,"Low",IF(E106&lt;9,"Medium",IF(E106&lt;12,"Medium-High","High")))))</f>
        <v>Medium</v>
      </c>
    </row>
    <row r="108" spans="3:5" x14ac:dyDescent="0.2">
      <c r="C108" s="51" t="s">
        <v>561</v>
      </c>
      <c r="D108" s="52"/>
      <c r="E108" s="9" t="str">
        <f ca="1">IF(COUNT($E$101:$E$105)=0,"",IF($E$101=MIN($E$101:$E$105),"A",IF($E$102=MIN($E$101:$E$105),"B",IF($E$103=MIN($E$101:$E$105),"C",IF($E$104=MIN($E$101:$E$105),"D","E")))))</f>
        <v>D</v>
      </c>
    </row>
  </sheetData>
  <mergeCells count="23">
    <mergeCell ref="B76:R76"/>
    <mergeCell ref="C101:D101"/>
    <mergeCell ref="C108:D108"/>
    <mergeCell ref="C104:D104"/>
    <mergeCell ref="C107:D107"/>
    <mergeCell ref="B81:R81"/>
    <mergeCell ref="C106:D106"/>
    <mergeCell ref="B63:R63"/>
    <mergeCell ref="B25:R25"/>
    <mergeCell ref="B3:R3"/>
    <mergeCell ref="C103:D103"/>
    <mergeCell ref="C105:D105"/>
    <mergeCell ref="C90:G90"/>
    <mergeCell ref="B44:R44"/>
    <mergeCell ref="B53:R53"/>
    <mergeCell ref="B69:R69"/>
    <mergeCell ref="B10:R10"/>
    <mergeCell ref="B19:R19"/>
    <mergeCell ref="B40:R40"/>
    <mergeCell ref="B15:R15"/>
    <mergeCell ref="B33:R33"/>
    <mergeCell ref="C102:D102"/>
    <mergeCell ref="C100:E100"/>
  </mergeCells>
  <conditionalFormatting sqref="O3:O205">
    <cfRule type="colorScale" priority="1">
      <colorScale>
        <cfvo type="num" val="0"/>
        <cfvo type="percentile" val="50"/>
        <cfvo type="num" val="25"/>
        <color rgb="FF73FB79"/>
        <color rgb="FFFFFD78"/>
        <color rgb="FFFF2600"/>
      </colorScale>
    </cfRule>
  </conditionalFormatting>
  <conditionalFormatting sqref="P4:P85">
    <cfRule type="cellIs" dxfId="23" priority="8" operator="equal">
      <formula>"No Review"</formula>
    </cfRule>
    <cfRule type="cellIs" dxfId="22" priority="9" operator="equal">
      <formula>"Review Required"</formula>
    </cfRule>
  </conditionalFormatting>
  <dataValidations disablePrompts="1" count="1">
    <dataValidation type="list" showInputMessage="1" showErrorMessage="1" sqref="M3:M17 M19:M42 M44:M51 M54:M61 M63:M85" xr:uid="{00000000-0002-0000-0100-000000000000}">
      <formula1>"Critical–Fast,Operational–Medium,Background–Slow,Evergreen–No Penalty"</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85"/>
  <sheetViews>
    <sheetView zoomScale="150" workbookViewId="0">
      <selection activeCell="H25" sqref="H25"/>
    </sheetView>
  </sheetViews>
  <sheetFormatPr baseColWidth="10" defaultColWidth="8.83203125" defaultRowHeight="15" x14ac:dyDescent="0.2"/>
  <cols>
    <col min="1" max="1" width="16.33203125" customWidth="1"/>
    <col min="2" max="2" width="164.33203125" customWidth="1"/>
    <col min="3" max="6" width="16.33203125" customWidth="1"/>
    <col min="7" max="7" width="23.5" customWidth="1"/>
    <col min="8" max="10" width="16.33203125" customWidth="1"/>
    <col min="11" max="11" width="24.5" style="24" customWidth="1"/>
    <col min="12" max="12" width="16.33203125" style="24" customWidth="1"/>
    <col min="13" max="13" width="21.1640625" customWidth="1"/>
    <col min="14" max="15" width="16.33203125" customWidth="1"/>
    <col min="16" max="16" width="22.6640625" customWidth="1"/>
    <col min="17" max="17" width="95.83203125" customWidth="1"/>
    <col min="18" max="18" width="52.33203125" customWidth="1"/>
    <col min="20" max="24" width="17" customWidth="1"/>
  </cols>
  <sheetData>
    <row r="1" spans="1:19" x14ac:dyDescent="0.2">
      <c r="A1" s="1" t="s">
        <v>140</v>
      </c>
      <c r="B1" s="1" t="s">
        <v>141</v>
      </c>
      <c r="C1" s="1" t="s">
        <v>142</v>
      </c>
      <c r="D1" s="1" t="s">
        <v>143</v>
      </c>
      <c r="E1" s="1" t="s">
        <v>144</v>
      </c>
      <c r="F1" s="1" t="s">
        <v>145</v>
      </c>
      <c r="G1" s="1" t="s">
        <v>146</v>
      </c>
      <c r="H1" s="1" t="s">
        <v>147</v>
      </c>
      <c r="I1" s="1" t="s">
        <v>148</v>
      </c>
      <c r="J1" s="1" t="s">
        <v>149</v>
      </c>
      <c r="K1" s="22" t="s">
        <v>150</v>
      </c>
      <c r="L1" s="22" t="s">
        <v>151</v>
      </c>
      <c r="M1" s="1" t="s">
        <v>152</v>
      </c>
      <c r="N1" s="1" t="s">
        <v>153</v>
      </c>
      <c r="O1" s="1" t="s">
        <v>154</v>
      </c>
      <c r="P1" s="1" t="s">
        <v>155</v>
      </c>
      <c r="Q1" s="1" t="s">
        <v>156</v>
      </c>
      <c r="R1" s="1" t="s">
        <v>157</v>
      </c>
      <c r="S1" t="s">
        <v>158</v>
      </c>
    </row>
    <row r="2" spans="1:19" x14ac:dyDescent="0.2">
      <c r="A2" s="4"/>
      <c r="B2" s="5" t="s">
        <v>562</v>
      </c>
      <c r="C2" s="4"/>
      <c r="D2" s="4"/>
      <c r="E2" s="4"/>
      <c r="F2" s="4"/>
      <c r="G2" s="4"/>
      <c r="H2" s="4"/>
      <c r="I2" s="4"/>
      <c r="J2" s="4"/>
      <c r="K2" s="23"/>
      <c r="L2" s="23"/>
      <c r="M2" s="4"/>
      <c r="N2" s="4"/>
      <c r="O2" s="4"/>
      <c r="P2" s="4"/>
      <c r="Q2" s="4"/>
      <c r="R2" s="4"/>
    </row>
    <row r="3" spans="1:19" x14ac:dyDescent="0.2">
      <c r="A3" s="3"/>
      <c r="B3" s="42"/>
      <c r="C3" s="43"/>
      <c r="D3" s="43"/>
      <c r="E3" s="43"/>
      <c r="F3" s="43"/>
      <c r="G3" s="43"/>
      <c r="H3" s="43"/>
      <c r="I3" s="43"/>
      <c r="J3" s="43"/>
      <c r="K3" s="44"/>
      <c r="L3" s="44"/>
      <c r="M3" s="43"/>
      <c r="N3" s="43"/>
      <c r="O3" s="43"/>
      <c r="P3" s="43"/>
      <c r="Q3" s="43"/>
      <c r="R3" s="43"/>
    </row>
    <row r="4" spans="1:19" x14ac:dyDescent="0.2">
      <c r="A4" t="s">
        <v>160</v>
      </c>
      <c r="B4" t="s">
        <v>563</v>
      </c>
      <c r="C4" t="s">
        <v>510</v>
      </c>
      <c r="D4" t="s">
        <v>174</v>
      </c>
      <c r="E4">
        <f>IF(C4="Functional",0,IF(C4="Mixed",10,IF(C4="Speculative",20,IF(C4="Unknown",10,""))))</f>
        <v>10</v>
      </c>
      <c r="F4">
        <f>IF(D4="High",0,IF(D4="Medium",0.05,IF(D4="Low",0.1,IF(D4="Unknown",0.15,""))))</f>
        <v>0.05</v>
      </c>
      <c r="G4">
        <f>E4*(1+F4)</f>
        <v>10.5</v>
      </c>
      <c r="H4" t="s">
        <v>564</v>
      </c>
      <c r="I4" t="s">
        <v>565</v>
      </c>
      <c r="J4" t="s">
        <v>166</v>
      </c>
      <c r="K4" s="24">
        <f>IF(AND(I4="",J4=""),"",MAX(IF(I4&lt;&gt;"",DATEVALUE(TRIM(RIGHT(SUBSTITUTE(I4,";",REPT(" ",50)),50))),0),IF(J4&lt;&gt;"",DATEVALUE(TRIM(RIGHT(SUBSTITUTE(J4,";",REPT(" ",50)),50))),0)))</f>
        <v>45986</v>
      </c>
      <c r="L4" s="24">
        <f ca="1">IF(K4="","",TODAY()-K4)</f>
        <v>13</v>
      </c>
      <c r="M4" t="s">
        <v>184</v>
      </c>
      <c r="N4">
        <f t="shared" ref="N4:N9" ca="1" si="0">IF(M4="","",IF(L4="",INDEX($F$69:$F$72,MATCH(M4,$C$69:$C$72,0)),IF(L4&lt;=INDEX($D$69:$D$72,MATCH(M4,$C$69:$C$72,0)),0,IF(L4&lt;=INDEX($E$69:$E$72,MATCH(M4,$C$69:$C$72,0)),INDEX($F$69:$F$72,MATCH(M4,$C$69:$C$72,0)),INDEX($G$69:$G$72,MATCH(M4,$C$69:$C$72,0))))))</f>
        <v>0</v>
      </c>
      <c r="O4">
        <f ca="1">G4+N4</f>
        <v>10.5</v>
      </c>
      <c r="P4" t="s">
        <v>168</v>
      </c>
      <c r="R4" t="s">
        <v>566</v>
      </c>
    </row>
    <row r="5" spans="1:19" x14ac:dyDescent="0.2">
      <c r="A5" t="s">
        <v>171</v>
      </c>
      <c r="B5" t="s">
        <v>567</v>
      </c>
      <c r="C5" t="s">
        <v>568</v>
      </c>
      <c r="D5" t="s">
        <v>163</v>
      </c>
      <c r="E5">
        <f>IF(C5="Good",0,IF(C5="Partial",10,IF(C5="Poor",20,IF(C5="Unknown",10,""))))</f>
        <v>0</v>
      </c>
      <c r="F5">
        <f>IF(D5="High",0,IF(D5="Medium",0.05,IF(D5="Low",0.1,IF(D5="Unknown",0.15,""))))</f>
        <v>0</v>
      </c>
      <c r="G5">
        <f>E5*(1+F5)</f>
        <v>0</v>
      </c>
      <c r="H5" t="s">
        <v>569</v>
      </c>
      <c r="I5" t="s">
        <v>408</v>
      </c>
      <c r="J5" t="s">
        <v>250</v>
      </c>
      <c r="K5" s="24">
        <f>IF(AND(I5="",J5=""),"",MAX(IF(I5&lt;&gt;"",DATEVALUE(TRIM(RIGHT(SUBSTITUTE(I5,";",REPT(" ",50)),50))),0),IF(J5&lt;&gt;"",DATEVALUE(TRIM(RIGHT(SUBSTITUTE(J5,";",REPT(" ",50)),50))),0)))</f>
        <v>46009</v>
      </c>
      <c r="L5" s="24">
        <f ca="1">IF(K5="","",TODAY()-K5)</f>
        <v>-10</v>
      </c>
      <c r="M5" t="s">
        <v>184</v>
      </c>
      <c r="N5">
        <f t="shared" ca="1" si="0"/>
        <v>0</v>
      </c>
      <c r="O5">
        <f ca="1">G5+N5</f>
        <v>0</v>
      </c>
      <c r="P5" t="s">
        <v>168</v>
      </c>
      <c r="R5" t="s">
        <v>570</v>
      </c>
    </row>
    <row r="6" spans="1:19" x14ac:dyDescent="0.2">
      <c r="A6" t="s">
        <v>179</v>
      </c>
      <c r="B6" t="s">
        <v>571</v>
      </c>
      <c r="C6" t="s">
        <v>259</v>
      </c>
      <c r="D6" t="s">
        <v>163</v>
      </c>
      <c r="E6">
        <f>IF(C6="Yes",0,IF(C6="No",20,IF(C6="Ambiguous",20,IF(C6="Unknown",10,""))))</f>
        <v>0</v>
      </c>
      <c r="F6">
        <f>IF(D6="High",0,IF(D6="Medium",0.05,IF(D6="Low",0.1,IF(D6="Unknown",0.15,""))))</f>
        <v>0</v>
      </c>
      <c r="G6">
        <f>E6*(1+F6)</f>
        <v>0</v>
      </c>
      <c r="H6" t="s">
        <v>572</v>
      </c>
      <c r="I6" t="s">
        <v>573</v>
      </c>
      <c r="J6" t="s">
        <v>250</v>
      </c>
      <c r="K6" s="24">
        <f>IF(AND(I6="",J6=""),"",MAX(IF(I6&lt;&gt;"",DATEVALUE(TRIM(RIGHT(SUBSTITUTE(I6,";",REPT(" ",50)),50))),0),IF(J6&lt;&gt;"",DATEVALUE(TRIM(RIGHT(SUBSTITUTE(J6,";",REPT(" ",50)),50))),0)))</f>
        <v>45986</v>
      </c>
      <c r="L6" s="24">
        <f ca="1">IF(K6="","",TODAY()-K6)</f>
        <v>13</v>
      </c>
      <c r="M6" t="s">
        <v>276</v>
      </c>
      <c r="N6">
        <f t="shared" ca="1" si="0"/>
        <v>0</v>
      </c>
      <c r="O6">
        <f ca="1">G6+N6</f>
        <v>0</v>
      </c>
      <c r="P6" t="str">
        <f>IF(OR(C6="No",C6="Ambiguous"),"Review Required","No Review")</f>
        <v>No Review</v>
      </c>
      <c r="Q6" t="s">
        <v>574</v>
      </c>
      <c r="R6" t="s">
        <v>575</v>
      </c>
    </row>
    <row r="7" spans="1:19" x14ac:dyDescent="0.2">
      <c r="A7" t="s">
        <v>187</v>
      </c>
      <c r="B7" t="s">
        <v>576</v>
      </c>
      <c r="C7" t="s">
        <v>577</v>
      </c>
      <c r="D7" t="s">
        <v>174</v>
      </c>
      <c r="E7">
        <f>IF(C7="Aligned",0,IF(C7="Partially",10,IF(C7="Misaligned",20,IF(C7="Unknown",10,""))))</f>
        <v>10</v>
      </c>
      <c r="F7">
        <f>IF(D7="High",0,IF(D7="Medium",0.05,IF(D7="Low",0.1,IF(D7="Unknown",0.15,""))))</f>
        <v>0.05</v>
      </c>
      <c r="G7">
        <f>E7*(1+F7)</f>
        <v>10.5</v>
      </c>
      <c r="H7" t="s">
        <v>578</v>
      </c>
      <c r="I7" t="s">
        <v>579</v>
      </c>
      <c r="J7" t="s">
        <v>166</v>
      </c>
      <c r="K7" s="24">
        <f>IF(AND(I7="",J7=""),"",MAX(IF(I7&lt;&gt;"",DATEVALUE(TRIM(RIGHT(SUBSTITUTE(I7,";",REPT(" ",50)),50))),0),IF(J7&lt;&gt;"",DATEVALUE(TRIM(RIGHT(SUBSTITUTE(J7,";",REPT(" ",50)),50))),0)))</f>
        <v>45986</v>
      </c>
      <c r="L7" s="24">
        <f ca="1">IF(K7="","",TODAY()-K7)</f>
        <v>13</v>
      </c>
      <c r="M7" t="s">
        <v>184</v>
      </c>
      <c r="N7">
        <f t="shared" ca="1" si="0"/>
        <v>0</v>
      </c>
      <c r="O7">
        <f ca="1">G7+N7</f>
        <v>10.5</v>
      </c>
      <c r="P7" t="s">
        <v>168</v>
      </c>
      <c r="R7" t="s">
        <v>580</v>
      </c>
    </row>
    <row r="8" spans="1:19" x14ac:dyDescent="0.2">
      <c r="A8" t="s">
        <v>194</v>
      </c>
      <c r="B8" t="s">
        <v>581</v>
      </c>
      <c r="C8" t="s">
        <v>510</v>
      </c>
      <c r="D8" t="s">
        <v>174</v>
      </c>
      <c r="E8">
        <f>IF(C8="Yes",0,IF(C8="Mixed",10,IF(C8="No",20,IF(C8="Unknown",10,""))))</f>
        <v>10</v>
      </c>
      <c r="F8">
        <f>IF(D8="High",0,IF(D8="Medium",0.05,IF(D8="Low",0.1,IF(D8="Unknown",0.15,""))))</f>
        <v>0.05</v>
      </c>
      <c r="G8">
        <f>E8*(1+F8)</f>
        <v>10.5</v>
      </c>
      <c r="H8" t="s">
        <v>582</v>
      </c>
      <c r="I8" t="s">
        <v>583</v>
      </c>
      <c r="J8" t="s">
        <v>166</v>
      </c>
      <c r="K8" s="24">
        <f>IF(AND(I8="",J8=""),"",MAX(IF(I8&lt;&gt;"",DATEVALUE(TRIM(RIGHT(SUBSTITUTE(I8,";",REPT(" ",50)),50))),0),IF(J8&lt;&gt;"",DATEVALUE(TRIM(RIGHT(SUBSTITUTE(J8,";",REPT(" ",50)),50))),0)))</f>
        <v>45986</v>
      </c>
      <c r="L8" s="24">
        <f ca="1">IF(K8="","",TODAY()-K8)</f>
        <v>13</v>
      </c>
      <c r="M8" t="s">
        <v>184</v>
      </c>
      <c r="N8">
        <f t="shared" ca="1" si="0"/>
        <v>0</v>
      </c>
      <c r="O8">
        <f ca="1">G8+N8</f>
        <v>10.5</v>
      </c>
      <c r="P8" t="s">
        <v>168</v>
      </c>
      <c r="R8" t="s">
        <v>584</v>
      </c>
    </row>
    <row r="9" spans="1:19" x14ac:dyDescent="0.2">
      <c r="A9" s="4"/>
      <c r="B9" s="5" t="s">
        <v>585</v>
      </c>
      <c r="C9" s="4"/>
      <c r="D9" s="4"/>
      <c r="E9" s="4"/>
      <c r="F9" s="4"/>
      <c r="G9" s="4"/>
      <c r="H9" s="4"/>
      <c r="I9" s="4"/>
      <c r="J9" s="4"/>
      <c r="K9" s="23"/>
      <c r="L9" s="23"/>
      <c r="M9" s="4"/>
      <c r="N9" s="4" t="str">
        <f t="shared" si="0"/>
        <v/>
      </c>
      <c r="O9" s="4"/>
      <c r="P9" s="4"/>
      <c r="Q9" s="4"/>
      <c r="R9" s="4"/>
    </row>
    <row r="10" spans="1:19" x14ac:dyDescent="0.2">
      <c r="A10" s="3"/>
      <c r="B10" s="42"/>
      <c r="C10" s="43"/>
      <c r="D10" s="43"/>
      <c r="E10" s="43"/>
      <c r="F10" s="43"/>
      <c r="G10" s="43"/>
      <c r="H10" s="43"/>
      <c r="I10" s="43"/>
      <c r="J10" s="43"/>
      <c r="K10" s="44"/>
      <c r="L10" s="44"/>
      <c r="M10" s="43"/>
      <c r="N10" s="43"/>
      <c r="O10" s="43"/>
      <c r="P10" s="43"/>
      <c r="Q10" s="43"/>
      <c r="R10" s="43"/>
    </row>
    <row r="11" spans="1:19" x14ac:dyDescent="0.2">
      <c r="A11" t="s">
        <v>245</v>
      </c>
      <c r="B11" t="s">
        <v>586</v>
      </c>
      <c r="C11" t="s">
        <v>210</v>
      </c>
      <c r="D11" t="s">
        <v>163</v>
      </c>
      <c r="E11">
        <f>IF(C11="Yes",20,IF(C11="Partial",10,IF(C11="No",0,IF(C11="Unknown",10,""))))</f>
        <v>0</v>
      </c>
      <c r="F11">
        <f t="shared" ref="F11:F18" si="1">IF(D11="High",0,IF(D11="Medium",0.05,IF(D11="Low",0.1,IF(D11="Unknown",0.15,""))))</f>
        <v>0</v>
      </c>
      <c r="G11">
        <f t="shared" ref="G11:G18" si="2">E11*(1+F11)</f>
        <v>0</v>
      </c>
      <c r="H11" t="s">
        <v>587</v>
      </c>
      <c r="I11" t="s">
        <v>588</v>
      </c>
      <c r="J11" t="s">
        <v>166</v>
      </c>
      <c r="K11" s="24">
        <f t="shared" ref="K11:K18" si="3">IF(AND(I11="",J11=""),"",MAX(IF(I11&lt;&gt;"",DATEVALUE(TRIM(RIGHT(SUBSTITUTE(I11,";",REPT(" ",50)),50))),0),IF(J11&lt;&gt;"",DATEVALUE(TRIM(RIGHT(SUBSTITUTE(J11,";",REPT(" ",50)),50))),0)))</f>
        <v>45986</v>
      </c>
      <c r="L11" s="24">
        <f t="shared" ref="L11:L18" ca="1" si="4">IF(K11="","",TODAY()-K11)</f>
        <v>13</v>
      </c>
      <c r="M11" t="s">
        <v>167</v>
      </c>
      <c r="N11">
        <f t="shared" ref="N11:N19" ca="1" si="5">IF(M11="","",IF(L11="",INDEX($F$69:$F$72,MATCH(M11,$C$69:$C$72,0)),IF(L11&lt;=INDEX($D$69:$D$72,MATCH(M11,$C$69:$C$72,0)),0,IF(L11&lt;=INDEX($E$69:$E$72,MATCH(M11,$C$69:$C$72,0)),INDEX($F$69:$F$72,MATCH(M11,$C$69:$C$72,0)),INDEX($G$69:$G$72,MATCH(M11,$C$69:$C$72,0))))))</f>
        <v>0</v>
      </c>
      <c r="O11">
        <f t="shared" ref="O11:O18" ca="1" si="6">G11+N11</f>
        <v>0</v>
      </c>
      <c r="P11" t="str">
        <f>IF(C11="Yes","Review Required","No Review")</f>
        <v>No Review</v>
      </c>
      <c r="Q11" t="s">
        <v>589</v>
      </c>
      <c r="R11" t="s">
        <v>590</v>
      </c>
    </row>
    <row r="12" spans="1:19" x14ac:dyDescent="0.2">
      <c r="A12" t="s">
        <v>252</v>
      </c>
      <c r="B12" t="s">
        <v>591</v>
      </c>
      <c r="C12" t="s">
        <v>163</v>
      </c>
      <c r="D12" t="s">
        <v>163</v>
      </c>
      <c r="E12">
        <f>IF(C12="High",20,IF(C12="Moderate",10,IF(C12="Low",0,IF(C12="None",0,IF(C12="Unknown",10,"")))))</f>
        <v>20</v>
      </c>
      <c r="F12">
        <f t="shared" si="1"/>
        <v>0</v>
      </c>
      <c r="G12">
        <f t="shared" si="2"/>
        <v>20</v>
      </c>
      <c r="H12" t="s">
        <v>592</v>
      </c>
      <c r="I12" t="s">
        <v>593</v>
      </c>
      <c r="J12" t="s">
        <v>166</v>
      </c>
      <c r="K12" s="24">
        <f t="shared" si="3"/>
        <v>45986</v>
      </c>
      <c r="L12" s="24">
        <f t="shared" ca="1" si="4"/>
        <v>13</v>
      </c>
      <c r="M12" t="s">
        <v>167</v>
      </c>
      <c r="N12">
        <f t="shared" ca="1" si="5"/>
        <v>0</v>
      </c>
      <c r="O12">
        <f t="shared" ca="1" si="6"/>
        <v>20</v>
      </c>
      <c r="P12" t="s">
        <v>168</v>
      </c>
      <c r="Q12" t="s">
        <v>594</v>
      </c>
      <c r="R12" t="s">
        <v>595</v>
      </c>
    </row>
    <row r="13" spans="1:19" x14ac:dyDescent="0.2">
      <c r="A13" t="s">
        <v>257</v>
      </c>
      <c r="B13" t="s">
        <v>596</v>
      </c>
      <c r="C13" t="s">
        <v>210</v>
      </c>
      <c r="D13" t="s">
        <v>163</v>
      </c>
      <c r="E13">
        <f>IF(C13="Yes",20,IF(C13="Conditional",10,IF(C13="No",0,IF(C13="Unknown",10,""))))</f>
        <v>0</v>
      </c>
      <c r="F13">
        <f t="shared" si="1"/>
        <v>0</v>
      </c>
      <c r="G13">
        <f t="shared" si="2"/>
        <v>0</v>
      </c>
      <c r="H13" t="s">
        <v>597</v>
      </c>
      <c r="I13" t="s">
        <v>598</v>
      </c>
      <c r="J13" t="s">
        <v>250</v>
      </c>
      <c r="K13" s="24">
        <f t="shared" si="3"/>
        <v>45986</v>
      </c>
      <c r="L13" s="24">
        <f t="shared" ca="1" si="4"/>
        <v>13</v>
      </c>
      <c r="M13" t="s">
        <v>167</v>
      </c>
      <c r="N13">
        <f t="shared" ca="1" si="5"/>
        <v>0</v>
      </c>
      <c r="O13">
        <f t="shared" ca="1" si="6"/>
        <v>0</v>
      </c>
      <c r="P13" t="str">
        <f>IF(C13="Yes","Review Required",IF(C13="Conditional","No Review","No Review"))</f>
        <v>No Review</v>
      </c>
      <c r="Q13" t="s">
        <v>599</v>
      </c>
      <c r="R13" t="s">
        <v>600</v>
      </c>
    </row>
    <row r="14" spans="1:19" x14ac:dyDescent="0.2">
      <c r="A14" t="s">
        <v>263</v>
      </c>
      <c r="B14" t="s">
        <v>601</v>
      </c>
      <c r="C14" t="s">
        <v>602</v>
      </c>
      <c r="D14" t="s">
        <v>163</v>
      </c>
      <c r="E14">
        <f>IF(C14="None",0,IF(C14="Some",10,IF(C14="Extensive",20,IF(C14="Unknown",10,""))))</f>
        <v>20</v>
      </c>
      <c r="F14">
        <f t="shared" si="1"/>
        <v>0</v>
      </c>
      <c r="G14">
        <f t="shared" si="2"/>
        <v>20</v>
      </c>
      <c r="H14" t="s">
        <v>603</v>
      </c>
      <c r="I14" t="s">
        <v>604</v>
      </c>
      <c r="J14" t="s">
        <v>250</v>
      </c>
      <c r="K14" s="24">
        <f t="shared" si="3"/>
        <v>45986</v>
      </c>
      <c r="L14" s="24">
        <f t="shared" ca="1" si="4"/>
        <v>13</v>
      </c>
      <c r="M14" t="s">
        <v>184</v>
      </c>
      <c r="N14">
        <f t="shared" ca="1" si="5"/>
        <v>0</v>
      </c>
      <c r="O14">
        <f t="shared" ca="1" si="6"/>
        <v>20</v>
      </c>
      <c r="P14" t="s">
        <v>168</v>
      </c>
      <c r="R14" t="s">
        <v>605</v>
      </c>
    </row>
    <row r="15" spans="1:19" x14ac:dyDescent="0.2">
      <c r="A15" t="s">
        <v>268</v>
      </c>
      <c r="B15" t="s">
        <v>606</v>
      </c>
      <c r="C15" t="s">
        <v>210</v>
      </c>
      <c r="D15" t="s">
        <v>174</v>
      </c>
      <c r="E15">
        <f>IF(C15="Enforcement",20,IF(C15="Soft-Guidance",10,IF(C15="No",0,IF(C15="Unknown",10,""))))</f>
        <v>0</v>
      </c>
      <c r="F15">
        <f t="shared" si="1"/>
        <v>0.05</v>
      </c>
      <c r="G15">
        <f t="shared" si="2"/>
        <v>0</v>
      </c>
      <c r="H15" t="s">
        <v>607</v>
      </c>
      <c r="I15" t="s">
        <v>608</v>
      </c>
      <c r="J15" t="s">
        <v>250</v>
      </c>
      <c r="K15" s="24">
        <f t="shared" si="3"/>
        <v>45986</v>
      </c>
      <c r="L15" s="24">
        <f t="shared" ca="1" si="4"/>
        <v>13</v>
      </c>
      <c r="M15" t="s">
        <v>276</v>
      </c>
      <c r="N15">
        <f t="shared" ca="1" si="5"/>
        <v>0</v>
      </c>
      <c r="O15">
        <f t="shared" ca="1" si="6"/>
        <v>0</v>
      </c>
      <c r="P15" t="str">
        <f>IF(C15="Enforcement","Review Required","No Review")</f>
        <v>No Review</v>
      </c>
      <c r="Q15" t="s">
        <v>609</v>
      </c>
      <c r="R15" t="s">
        <v>610</v>
      </c>
    </row>
    <row r="16" spans="1:19" x14ac:dyDescent="0.2">
      <c r="A16" t="s">
        <v>611</v>
      </c>
      <c r="B16" t="s">
        <v>612</v>
      </c>
      <c r="C16" t="s">
        <v>259</v>
      </c>
      <c r="D16" t="s">
        <v>163</v>
      </c>
      <c r="E16">
        <f>IF(C16="Yes",20,IF(C16="Implied",10,IF(C16="No",0,IF(C16="Unknown",10,""))))</f>
        <v>20</v>
      </c>
      <c r="F16">
        <f t="shared" si="1"/>
        <v>0</v>
      </c>
      <c r="G16">
        <f t="shared" si="2"/>
        <v>20</v>
      </c>
      <c r="H16" t="s">
        <v>613</v>
      </c>
      <c r="I16" t="s">
        <v>614</v>
      </c>
      <c r="J16" t="s">
        <v>166</v>
      </c>
      <c r="K16" s="24">
        <f t="shared" si="3"/>
        <v>45986</v>
      </c>
      <c r="L16" s="24">
        <f t="shared" ca="1" si="4"/>
        <v>13</v>
      </c>
      <c r="M16" t="s">
        <v>184</v>
      </c>
      <c r="N16">
        <f t="shared" ca="1" si="5"/>
        <v>0</v>
      </c>
      <c r="O16">
        <f t="shared" ca="1" si="6"/>
        <v>20</v>
      </c>
      <c r="P16" t="s">
        <v>168</v>
      </c>
      <c r="R16" t="s">
        <v>615</v>
      </c>
    </row>
    <row r="17" spans="1:19" x14ac:dyDescent="0.2">
      <c r="A17" t="s">
        <v>616</v>
      </c>
      <c r="B17" t="s">
        <v>617</v>
      </c>
      <c r="C17" t="s">
        <v>181</v>
      </c>
      <c r="D17" t="s">
        <v>174</v>
      </c>
      <c r="E17">
        <f>IF(C17="Weak",20,IF(C17="Partial",10,IF(C17="Strong",0,IF(C17="Unknown",10,""))))</f>
        <v>10</v>
      </c>
      <c r="F17">
        <f t="shared" si="1"/>
        <v>0.05</v>
      </c>
      <c r="G17">
        <f t="shared" si="2"/>
        <v>10.5</v>
      </c>
      <c r="H17" t="s">
        <v>618</v>
      </c>
      <c r="I17" t="s">
        <v>619</v>
      </c>
      <c r="J17" t="s">
        <v>166</v>
      </c>
      <c r="K17" s="24">
        <f t="shared" si="3"/>
        <v>45986</v>
      </c>
      <c r="L17" s="24">
        <f t="shared" ca="1" si="4"/>
        <v>13</v>
      </c>
      <c r="M17" t="s">
        <v>167</v>
      </c>
      <c r="N17">
        <f t="shared" ca="1" si="5"/>
        <v>0</v>
      </c>
      <c r="O17">
        <f t="shared" ca="1" si="6"/>
        <v>10.5</v>
      </c>
      <c r="P17" t="s">
        <v>168</v>
      </c>
      <c r="R17" t="s">
        <v>620</v>
      </c>
    </row>
    <row r="18" spans="1:19" x14ac:dyDescent="0.2">
      <c r="A18" t="s">
        <v>621</v>
      </c>
      <c r="B18" t="s">
        <v>622</v>
      </c>
      <c r="C18" t="s">
        <v>623</v>
      </c>
      <c r="D18" t="s">
        <v>174</v>
      </c>
      <c r="E18">
        <v>0</v>
      </c>
      <c r="F18">
        <f t="shared" si="1"/>
        <v>0.05</v>
      </c>
      <c r="G18">
        <f t="shared" si="2"/>
        <v>0</v>
      </c>
      <c r="H18" t="s">
        <v>624</v>
      </c>
      <c r="I18" t="s">
        <v>625</v>
      </c>
      <c r="J18" t="s">
        <v>166</v>
      </c>
      <c r="K18" s="24">
        <f t="shared" si="3"/>
        <v>45986</v>
      </c>
      <c r="L18" s="24">
        <f t="shared" ca="1" si="4"/>
        <v>13</v>
      </c>
      <c r="M18" t="s">
        <v>167</v>
      </c>
      <c r="N18">
        <f t="shared" ca="1" si="5"/>
        <v>0</v>
      </c>
      <c r="O18">
        <f t="shared" ca="1" si="6"/>
        <v>0</v>
      </c>
      <c r="P18" t="s">
        <v>168</v>
      </c>
      <c r="R18" t="s">
        <v>626</v>
      </c>
    </row>
    <row r="19" spans="1:19" x14ac:dyDescent="0.2">
      <c r="A19" s="4"/>
      <c r="B19" s="5" t="s">
        <v>627</v>
      </c>
      <c r="C19" s="4"/>
      <c r="D19" s="4"/>
      <c r="E19" s="4"/>
      <c r="F19" s="4"/>
      <c r="G19" s="4"/>
      <c r="H19" s="4"/>
      <c r="I19" s="4"/>
      <c r="J19" s="4"/>
      <c r="K19" s="23"/>
      <c r="L19" s="23"/>
      <c r="M19" s="4"/>
      <c r="N19" s="4" t="str">
        <f t="shared" si="5"/>
        <v/>
      </c>
      <c r="O19" s="4"/>
      <c r="P19" s="4"/>
      <c r="Q19" s="4"/>
      <c r="R19" s="4"/>
    </row>
    <row r="20" spans="1:19" x14ac:dyDescent="0.2">
      <c r="A20" s="3"/>
      <c r="B20" s="42"/>
      <c r="C20" s="43"/>
      <c r="D20" s="43"/>
      <c r="E20" s="3"/>
      <c r="F20" s="3"/>
      <c r="G20" s="3"/>
      <c r="H20" s="3"/>
      <c r="I20" s="3"/>
      <c r="J20" s="3"/>
      <c r="K20" s="25"/>
      <c r="L20" s="25"/>
      <c r="M20" s="3"/>
      <c r="N20" s="3"/>
      <c r="O20" s="3"/>
      <c r="P20" s="3"/>
      <c r="Q20" s="3"/>
      <c r="R20" s="3"/>
    </row>
    <row r="21" spans="1:19" x14ac:dyDescent="0.2">
      <c r="A21" t="s">
        <v>628</v>
      </c>
      <c r="B21" t="s">
        <v>629</v>
      </c>
      <c r="C21" t="s">
        <v>630</v>
      </c>
      <c r="D21" t="s">
        <v>174</v>
      </c>
      <c r="E21">
        <f>IF(C21="DAO w/ quorum &amp; timelock",0,IF(C21="Multisig (≥M-of-N) w/ timelock",0,IF(C21="Multisig without timelock",10,IF(C21="Single key",20,IF(C21="Unknown",10,"")))))</f>
        <v>10</v>
      </c>
      <c r="F21">
        <f t="shared" ref="F21:F28" si="7">IF(D21="High",0,IF(D21="Medium",0.05,IF(D21="Low",0.1,IF(D21="Unknown",0.15,""))))</f>
        <v>0.05</v>
      </c>
      <c r="G21">
        <f t="shared" ref="G21:G28" si="8">E21*(1+F21)</f>
        <v>10.5</v>
      </c>
      <c r="H21" t="s">
        <v>631</v>
      </c>
      <c r="I21" t="s">
        <v>632</v>
      </c>
      <c r="J21" t="s">
        <v>166</v>
      </c>
      <c r="K21" s="24">
        <f t="shared" ref="K21:K28" si="9">IF(AND(I21="",J21=""),"",MAX(IF(I21&lt;&gt;"",DATEVALUE(TRIM(RIGHT(SUBSTITUTE(I21,";",REPT(" ",50)),50))),0),IF(J21&lt;&gt;"",DATEVALUE(TRIM(RIGHT(SUBSTITUTE(J21,";",REPT(" ",50)),50))),0)))</f>
        <v>45986</v>
      </c>
      <c r="L21" s="24">
        <f t="shared" ref="L21:L28" ca="1" si="10">IF(K21="","",TODAY()-K21)</f>
        <v>13</v>
      </c>
      <c r="M21" t="s">
        <v>276</v>
      </c>
      <c r="N21">
        <f t="shared" ref="N21:N29" ca="1" si="11">IF(M21="","",IF(L21="",INDEX($F$69:$F$72,MATCH(M21,$C$69:$C$72,0)),IF(L21&lt;=INDEX($D$69:$D$72,MATCH(M21,$C$69:$C$72,0)),0,IF(L21&lt;=INDEX($E$69:$E$72,MATCH(M21,$C$69:$C$72,0)),INDEX($F$69:$F$72,MATCH(M21,$C$69:$C$72,0)),INDEX($G$69:$G$72,MATCH(M21,$C$69:$C$72,0))))))</f>
        <v>0</v>
      </c>
      <c r="O21">
        <f t="shared" ref="O21:O28" ca="1" si="12">G21+N21</f>
        <v>10.5</v>
      </c>
      <c r="P21" t="str">
        <f>IF(C21="Single key","Review Required","No Review")</f>
        <v>No Review</v>
      </c>
      <c r="Q21" t="s">
        <v>633</v>
      </c>
      <c r="R21" t="s">
        <v>634</v>
      </c>
    </row>
    <row r="22" spans="1:19" x14ac:dyDescent="0.2">
      <c r="A22" t="s">
        <v>635</v>
      </c>
      <c r="B22" t="s">
        <v>636</v>
      </c>
      <c r="C22" t="s">
        <v>275</v>
      </c>
      <c r="D22" t="s">
        <v>275</v>
      </c>
      <c r="E22">
        <f>IF(C22="Yes",0,IF(C22="Partial",10,IF(C22="No",20,IF(C22="Unknown",10,""))))</f>
        <v>10</v>
      </c>
      <c r="F22">
        <f t="shared" si="7"/>
        <v>0.15</v>
      </c>
      <c r="G22">
        <f t="shared" si="8"/>
        <v>11.5</v>
      </c>
      <c r="K22" s="24" t="str">
        <f t="shared" si="9"/>
        <v/>
      </c>
      <c r="L22" s="24" t="str">
        <f t="shared" ca="1" si="10"/>
        <v/>
      </c>
      <c r="M22" t="s">
        <v>276</v>
      </c>
      <c r="N22">
        <f t="shared" ca="1" si="11"/>
        <v>5</v>
      </c>
      <c r="O22">
        <f t="shared" ca="1" si="12"/>
        <v>16.5</v>
      </c>
      <c r="P22" t="s">
        <v>168</v>
      </c>
      <c r="R22" t="s">
        <v>278</v>
      </c>
      <c r="S22" t="s">
        <v>637</v>
      </c>
    </row>
    <row r="23" spans="1:19" x14ac:dyDescent="0.2">
      <c r="A23" t="s">
        <v>638</v>
      </c>
      <c r="B23" t="s">
        <v>639</v>
      </c>
      <c r="C23" t="s">
        <v>640</v>
      </c>
      <c r="D23" t="s">
        <v>174</v>
      </c>
      <c r="E23">
        <f>IF(C23="Strong",0,IF(C23="Partial",10,IF(C23="Weak",20,IF(C23="Unknown",10,""))))</f>
        <v>20</v>
      </c>
      <c r="F23">
        <f t="shared" si="7"/>
        <v>0.05</v>
      </c>
      <c r="G23">
        <f t="shared" si="8"/>
        <v>21</v>
      </c>
      <c r="H23" t="s">
        <v>641</v>
      </c>
      <c r="I23" t="s">
        <v>642</v>
      </c>
      <c r="J23" t="s">
        <v>166</v>
      </c>
      <c r="K23" s="24">
        <f t="shared" si="9"/>
        <v>45986</v>
      </c>
      <c r="L23" s="24">
        <f t="shared" ca="1" si="10"/>
        <v>13</v>
      </c>
      <c r="M23" t="s">
        <v>276</v>
      </c>
      <c r="N23">
        <f t="shared" ca="1" si="11"/>
        <v>0</v>
      </c>
      <c r="O23">
        <f t="shared" ca="1" si="12"/>
        <v>21</v>
      </c>
      <c r="P23" t="s">
        <v>168</v>
      </c>
      <c r="R23" t="s">
        <v>643</v>
      </c>
    </row>
    <row r="24" spans="1:19" x14ac:dyDescent="0.2">
      <c r="A24" t="s">
        <v>644</v>
      </c>
      <c r="B24" t="s">
        <v>645</v>
      </c>
      <c r="C24" t="s">
        <v>181</v>
      </c>
      <c r="D24" t="s">
        <v>174</v>
      </c>
      <c r="E24">
        <f>IF(C24="Good",0,IF(C24="Partial",10,IF(C24="Poor",20,IF(C24="Unknown",10,""))))</f>
        <v>10</v>
      </c>
      <c r="F24">
        <f t="shared" si="7"/>
        <v>0.05</v>
      </c>
      <c r="G24">
        <f t="shared" si="8"/>
        <v>10.5</v>
      </c>
      <c r="H24" t="s">
        <v>646</v>
      </c>
      <c r="I24" t="s">
        <v>647</v>
      </c>
      <c r="J24" t="s">
        <v>166</v>
      </c>
      <c r="K24" s="24">
        <f t="shared" si="9"/>
        <v>45986</v>
      </c>
      <c r="L24" s="24">
        <f t="shared" ca="1" si="10"/>
        <v>13</v>
      </c>
      <c r="M24" t="s">
        <v>184</v>
      </c>
      <c r="N24">
        <f t="shared" ca="1" si="11"/>
        <v>0</v>
      </c>
      <c r="O24">
        <f t="shared" ca="1" si="12"/>
        <v>10.5</v>
      </c>
      <c r="P24" t="s">
        <v>168</v>
      </c>
      <c r="R24" t="s">
        <v>648</v>
      </c>
    </row>
    <row r="25" spans="1:19" x14ac:dyDescent="0.2">
      <c r="A25" t="s">
        <v>649</v>
      </c>
      <c r="B25" t="s">
        <v>650</v>
      </c>
      <c r="C25" t="s">
        <v>259</v>
      </c>
      <c r="D25" t="s">
        <v>163</v>
      </c>
      <c r="E25">
        <f>IF(C25="No",0,IF(C25="Limited",10,IF(C25="Yes",20,IF(C25="Unknown",10,""))))</f>
        <v>20</v>
      </c>
      <c r="F25">
        <f t="shared" si="7"/>
        <v>0</v>
      </c>
      <c r="G25">
        <f t="shared" si="8"/>
        <v>20</v>
      </c>
      <c r="H25" t="s">
        <v>651</v>
      </c>
      <c r="I25" t="s">
        <v>652</v>
      </c>
      <c r="J25" t="s">
        <v>250</v>
      </c>
      <c r="K25" s="24">
        <f t="shared" si="9"/>
        <v>45986</v>
      </c>
      <c r="L25" s="24">
        <f t="shared" ca="1" si="10"/>
        <v>13</v>
      </c>
      <c r="M25" t="s">
        <v>276</v>
      </c>
      <c r="N25">
        <f t="shared" ca="1" si="11"/>
        <v>0</v>
      </c>
      <c r="O25">
        <f t="shared" ca="1" si="12"/>
        <v>20</v>
      </c>
      <c r="P25" t="str">
        <f>IF(C25="Yes","Review Required","No Review")</f>
        <v>Review Required</v>
      </c>
      <c r="Q25" t="s">
        <v>653</v>
      </c>
      <c r="R25" t="s">
        <v>654</v>
      </c>
    </row>
    <row r="26" spans="1:19" x14ac:dyDescent="0.2">
      <c r="A26" t="s">
        <v>655</v>
      </c>
      <c r="B26" t="s">
        <v>656</v>
      </c>
      <c r="C26" t="s">
        <v>275</v>
      </c>
      <c r="D26" t="s">
        <v>174</v>
      </c>
      <c r="E26">
        <f>IF(C26="Strong",0,IF(C26="Mixed",10,IF(C26="Weak",20,IF(C26="Unknown",10,""))))</f>
        <v>10</v>
      </c>
      <c r="F26">
        <f t="shared" si="7"/>
        <v>0.05</v>
      </c>
      <c r="G26">
        <f t="shared" si="8"/>
        <v>10.5</v>
      </c>
      <c r="H26" t="s">
        <v>657</v>
      </c>
      <c r="I26" t="s">
        <v>658</v>
      </c>
      <c r="J26" t="s">
        <v>166</v>
      </c>
      <c r="K26" s="24">
        <f t="shared" si="9"/>
        <v>45986</v>
      </c>
      <c r="L26" s="24">
        <f t="shared" ca="1" si="10"/>
        <v>13</v>
      </c>
      <c r="M26" t="s">
        <v>184</v>
      </c>
      <c r="N26">
        <f t="shared" ca="1" si="11"/>
        <v>0</v>
      </c>
      <c r="O26">
        <f t="shared" ca="1" si="12"/>
        <v>10.5</v>
      </c>
      <c r="P26" t="s">
        <v>168</v>
      </c>
      <c r="R26" t="s">
        <v>659</v>
      </c>
    </row>
    <row r="27" spans="1:19" x14ac:dyDescent="0.2">
      <c r="A27" t="s">
        <v>660</v>
      </c>
      <c r="B27" t="s">
        <v>661</v>
      </c>
      <c r="C27" t="s">
        <v>181</v>
      </c>
      <c r="D27" t="s">
        <v>163</v>
      </c>
      <c r="E27">
        <f>IF(C27="Yes",0,IF(C27="Partial",10,IF(C27="No",20,IF(C27="Unknown",10,""))))</f>
        <v>10</v>
      </c>
      <c r="F27">
        <f t="shared" si="7"/>
        <v>0</v>
      </c>
      <c r="G27">
        <f t="shared" si="8"/>
        <v>10</v>
      </c>
      <c r="H27" t="s">
        <v>662</v>
      </c>
      <c r="I27" t="s">
        <v>663</v>
      </c>
      <c r="J27" t="s">
        <v>250</v>
      </c>
      <c r="K27" s="24">
        <f t="shared" si="9"/>
        <v>45986</v>
      </c>
      <c r="L27" s="24">
        <f t="shared" ca="1" si="10"/>
        <v>13</v>
      </c>
      <c r="M27" t="s">
        <v>305</v>
      </c>
      <c r="N27">
        <f t="shared" ca="1" si="11"/>
        <v>0</v>
      </c>
      <c r="O27">
        <f t="shared" ca="1" si="12"/>
        <v>10</v>
      </c>
      <c r="P27" t="s">
        <v>168</v>
      </c>
      <c r="R27" t="s">
        <v>664</v>
      </c>
    </row>
    <row r="28" spans="1:19" x14ac:dyDescent="0.2">
      <c r="A28" t="s">
        <v>665</v>
      </c>
      <c r="B28" t="s">
        <v>666</v>
      </c>
      <c r="C28" t="s">
        <v>667</v>
      </c>
      <c r="D28" t="s">
        <v>163</v>
      </c>
      <c r="E28">
        <v>0</v>
      </c>
      <c r="F28">
        <f t="shared" si="7"/>
        <v>0</v>
      </c>
      <c r="G28">
        <f t="shared" si="8"/>
        <v>0</v>
      </c>
      <c r="H28" t="s">
        <v>668</v>
      </c>
      <c r="I28" t="s">
        <v>669</v>
      </c>
      <c r="J28" t="s">
        <v>166</v>
      </c>
      <c r="K28" s="24">
        <f t="shared" si="9"/>
        <v>45986</v>
      </c>
      <c r="L28" s="24">
        <f t="shared" ca="1" si="10"/>
        <v>13</v>
      </c>
      <c r="M28" t="s">
        <v>305</v>
      </c>
      <c r="N28">
        <f t="shared" ca="1" si="11"/>
        <v>0</v>
      </c>
      <c r="O28">
        <f t="shared" ca="1" si="12"/>
        <v>0</v>
      </c>
      <c r="P28" t="s">
        <v>168</v>
      </c>
      <c r="R28" t="s">
        <v>670</v>
      </c>
    </row>
    <row r="29" spans="1:19" x14ac:dyDescent="0.2">
      <c r="A29" s="4"/>
      <c r="B29" s="5" t="s">
        <v>671</v>
      </c>
      <c r="C29" s="4"/>
      <c r="D29" s="4"/>
      <c r="E29" s="4"/>
      <c r="F29" s="4"/>
      <c r="G29" s="4"/>
      <c r="H29" s="4"/>
      <c r="I29" s="4"/>
      <c r="J29" s="4"/>
      <c r="K29" s="23"/>
      <c r="L29" s="23"/>
      <c r="M29" s="4"/>
      <c r="N29" s="4" t="str">
        <f t="shared" si="11"/>
        <v/>
      </c>
      <c r="O29" s="4"/>
      <c r="P29" s="4"/>
      <c r="Q29" s="4"/>
      <c r="R29" s="4"/>
    </row>
    <row r="30" spans="1:19" x14ac:dyDescent="0.2">
      <c r="A30" s="3"/>
      <c r="B30" s="42"/>
      <c r="C30" s="43"/>
      <c r="D30" s="43"/>
      <c r="E30" s="43"/>
      <c r="F30" s="43"/>
      <c r="G30" s="43"/>
      <c r="H30" s="43"/>
      <c r="I30" s="43"/>
      <c r="J30" s="43"/>
      <c r="K30" s="44"/>
      <c r="L30" s="44"/>
      <c r="M30" s="43"/>
      <c r="N30" s="43"/>
      <c r="O30" s="43"/>
      <c r="P30" s="43"/>
      <c r="Q30" s="43"/>
      <c r="R30" s="43"/>
    </row>
    <row r="31" spans="1:19" x14ac:dyDescent="0.2">
      <c r="A31" t="s">
        <v>398</v>
      </c>
      <c r="B31" t="s">
        <v>399</v>
      </c>
      <c r="C31" t="s">
        <v>259</v>
      </c>
      <c r="D31" t="s">
        <v>174</v>
      </c>
      <c r="E31">
        <f>IF(C31="Yes",0,IF(C31="Outdated",10,IF(C31="Unclear",10,IF(C31="No",20,""))))</f>
        <v>0</v>
      </c>
      <c r="F31">
        <f t="shared" ref="F31:F38" si="13">IF(D31="High",0,IF(D31="Medium",0.05,IF(D31="Low",0.1,IF(D31="Unknown",0.15,""))))</f>
        <v>0.05</v>
      </c>
      <c r="G31">
        <f t="shared" ref="G31:G38" si="14">E31*(1+F31)</f>
        <v>0</v>
      </c>
      <c r="H31" t="s">
        <v>569</v>
      </c>
      <c r="I31" t="s">
        <v>672</v>
      </c>
      <c r="J31" t="s">
        <v>250</v>
      </c>
      <c r="K31" s="24">
        <f t="shared" ref="K31:K38" si="15">IF(AND(I31="",J31=""),"",MAX(IF(I31&lt;&gt;"",DATEVALUE(TRIM(RIGHT(SUBSTITUTE(I31,";",REPT(" ",50)),50))),0),IF(J31&lt;&gt;"",DATEVALUE(TRIM(RIGHT(SUBSTITUTE(J31,";",REPT(" ",50)),50))),0)))</f>
        <v>45986</v>
      </c>
      <c r="L31" s="24">
        <f t="shared" ref="L31:L38" ca="1" si="16">IF(K31="","",TODAY()-K31)</f>
        <v>13</v>
      </c>
      <c r="M31" t="s">
        <v>305</v>
      </c>
      <c r="N31">
        <f t="shared" ref="N31:N39" ca="1" si="17">IF(M31="","",IF(L31="",INDEX($F$69:$F$72,MATCH(M31,$C$69:$C$72,0)),IF(L31&lt;=INDEX($D$69:$D$72,MATCH(M31,$C$69:$C$72,0)),0,IF(L31&lt;=INDEX($E$69:$E$72,MATCH(M31,$C$69:$C$72,0)),INDEX($F$69:$F$72,MATCH(M31,$C$69:$C$72,0)),INDEX($G$69:$G$72,MATCH(M31,$C$69:$C$72,0))))))</f>
        <v>0</v>
      </c>
      <c r="O31">
        <f t="shared" ref="O31:O38" ca="1" si="18">G31+N31</f>
        <v>0</v>
      </c>
      <c r="P31" t="str">
        <f>IF(C31="No","Review","No Review")</f>
        <v>No Review</v>
      </c>
      <c r="Q31" t="s">
        <v>403</v>
      </c>
      <c r="R31" t="s">
        <v>673</v>
      </c>
    </row>
    <row r="32" spans="1:19" x14ac:dyDescent="0.2">
      <c r="A32" t="s">
        <v>405</v>
      </c>
      <c r="B32" t="s">
        <v>406</v>
      </c>
      <c r="C32" t="s">
        <v>259</v>
      </c>
      <c r="D32" t="s">
        <v>163</v>
      </c>
      <c r="E32">
        <f>IF(C32="Yes",0,IF(C32="Partially",10,IF(C32="No",20,"")))</f>
        <v>0</v>
      </c>
      <c r="F32">
        <f t="shared" si="13"/>
        <v>0</v>
      </c>
      <c r="G32">
        <f t="shared" si="14"/>
        <v>0</v>
      </c>
      <c r="H32" t="s">
        <v>674</v>
      </c>
      <c r="I32" t="s">
        <v>675</v>
      </c>
      <c r="J32" t="s">
        <v>250</v>
      </c>
      <c r="K32" s="24">
        <f t="shared" si="15"/>
        <v>46009</v>
      </c>
      <c r="L32" s="24">
        <f t="shared" ca="1" si="16"/>
        <v>-10</v>
      </c>
      <c r="M32" t="s">
        <v>167</v>
      </c>
      <c r="N32">
        <f t="shared" ca="1" si="17"/>
        <v>0</v>
      </c>
      <c r="O32">
        <f t="shared" ca="1" si="18"/>
        <v>0</v>
      </c>
      <c r="P32" t="s">
        <v>168</v>
      </c>
      <c r="R32" t="s">
        <v>676</v>
      </c>
    </row>
    <row r="33" spans="1:18" x14ac:dyDescent="0.2">
      <c r="A33" t="s">
        <v>410</v>
      </c>
      <c r="B33" t="s">
        <v>411</v>
      </c>
      <c r="C33" t="s">
        <v>259</v>
      </c>
      <c r="D33" t="s">
        <v>163</v>
      </c>
      <c r="E33">
        <f>IF(C33="Yes",0,IF(C33="Partially",10,IF(C33="No",20,"")))</f>
        <v>0</v>
      </c>
      <c r="F33">
        <f t="shared" si="13"/>
        <v>0</v>
      </c>
      <c r="G33">
        <f t="shared" si="14"/>
        <v>0</v>
      </c>
      <c r="H33" t="s">
        <v>677</v>
      </c>
      <c r="I33" t="s">
        <v>408</v>
      </c>
      <c r="J33" t="s">
        <v>250</v>
      </c>
      <c r="K33" s="24">
        <f t="shared" si="15"/>
        <v>46009</v>
      </c>
      <c r="L33" s="24">
        <f t="shared" ca="1" si="16"/>
        <v>-10</v>
      </c>
      <c r="M33" t="s">
        <v>167</v>
      </c>
      <c r="N33">
        <f t="shared" ca="1" si="17"/>
        <v>0</v>
      </c>
      <c r="O33">
        <f t="shared" ca="1" si="18"/>
        <v>0</v>
      </c>
      <c r="P33" t="s">
        <v>168</v>
      </c>
      <c r="R33" t="s">
        <v>678</v>
      </c>
    </row>
    <row r="34" spans="1:18" x14ac:dyDescent="0.2">
      <c r="A34" t="s">
        <v>415</v>
      </c>
      <c r="B34" t="s">
        <v>416</v>
      </c>
      <c r="C34" t="s">
        <v>259</v>
      </c>
      <c r="D34" t="s">
        <v>163</v>
      </c>
      <c r="E34">
        <f>IF(C34="Yes",0,IF(C34="Partial",10,IF(C34="Unclear",10,IF(C34="No",20,""))))</f>
        <v>0</v>
      </c>
      <c r="F34">
        <f t="shared" si="13"/>
        <v>0</v>
      </c>
      <c r="G34">
        <f t="shared" si="14"/>
        <v>0</v>
      </c>
      <c r="H34" t="s">
        <v>400</v>
      </c>
      <c r="I34" t="s">
        <v>408</v>
      </c>
      <c r="J34" t="s">
        <v>402</v>
      </c>
      <c r="K34" s="24">
        <f t="shared" si="15"/>
        <v>46009</v>
      </c>
      <c r="L34" s="24">
        <f t="shared" ca="1" si="16"/>
        <v>-10</v>
      </c>
      <c r="M34" t="s">
        <v>167</v>
      </c>
      <c r="N34">
        <f t="shared" ca="1" si="17"/>
        <v>0</v>
      </c>
      <c r="O34">
        <f t="shared" ca="1" si="18"/>
        <v>0</v>
      </c>
      <c r="P34" t="str">
        <f>IF(C34="No","Review","No Review")</f>
        <v>No Review</v>
      </c>
      <c r="Q34" t="s">
        <v>419</v>
      </c>
      <c r="R34" t="s">
        <v>679</v>
      </c>
    </row>
    <row r="35" spans="1:18" x14ac:dyDescent="0.2">
      <c r="A35" t="s">
        <v>421</v>
      </c>
      <c r="B35" t="s">
        <v>422</v>
      </c>
      <c r="C35" t="s">
        <v>259</v>
      </c>
      <c r="D35" t="s">
        <v>163</v>
      </c>
      <c r="E35">
        <f>IF(C35="Yes",0,IF(C35="Minimal",10,IF(C35="Missing",20,IF(C35="No",20,""))))</f>
        <v>0</v>
      </c>
      <c r="F35">
        <f t="shared" si="13"/>
        <v>0</v>
      </c>
      <c r="G35">
        <f t="shared" si="14"/>
        <v>0</v>
      </c>
      <c r="H35" t="s">
        <v>680</v>
      </c>
      <c r="I35" t="s">
        <v>681</v>
      </c>
      <c r="J35" t="s">
        <v>402</v>
      </c>
      <c r="K35" s="24">
        <f t="shared" si="15"/>
        <v>45986</v>
      </c>
      <c r="L35" s="24">
        <f t="shared" ca="1" si="16"/>
        <v>13</v>
      </c>
      <c r="M35" t="s">
        <v>167</v>
      </c>
      <c r="N35">
        <f t="shared" ca="1" si="17"/>
        <v>0</v>
      </c>
      <c r="O35">
        <f t="shared" ca="1" si="18"/>
        <v>0</v>
      </c>
      <c r="P35" t="s">
        <v>168</v>
      </c>
      <c r="R35" t="s">
        <v>682</v>
      </c>
    </row>
    <row r="36" spans="1:18" x14ac:dyDescent="0.2">
      <c r="A36" t="s">
        <v>426</v>
      </c>
      <c r="B36" t="s">
        <v>427</v>
      </c>
      <c r="C36" t="s">
        <v>259</v>
      </c>
      <c r="D36" t="s">
        <v>163</v>
      </c>
      <c r="E36">
        <f>IF(C36="Yes",0,IF(C36="Limited",10,IF(C36="Unclear",10,IF(C36="No",20,""))))</f>
        <v>0</v>
      </c>
      <c r="F36">
        <f t="shared" si="13"/>
        <v>0</v>
      </c>
      <c r="G36">
        <f t="shared" si="14"/>
        <v>0</v>
      </c>
      <c r="H36" t="s">
        <v>683</v>
      </c>
      <c r="I36" t="s">
        <v>684</v>
      </c>
      <c r="J36" t="s">
        <v>166</v>
      </c>
      <c r="K36" s="24">
        <f t="shared" si="15"/>
        <v>45986</v>
      </c>
      <c r="L36" s="24">
        <f t="shared" ca="1" si="16"/>
        <v>13</v>
      </c>
      <c r="M36" t="s">
        <v>167</v>
      </c>
      <c r="N36">
        <f t="shared" ca="1" si="17"/>
        <v>0</v>
      </c>
      <c r="O36">
        <f t="shared" ca="1" si="18"/>
        <v>0</v>
      </c>
      <c r="P36" t="s">
        <v>168</v>
      </c>
      <c r="R36" t="s">
        <v>685</v>
      </c>
    </row>
    <row r="37" spans="1:18" x14ac:dyDescent="0.2">
      <c r="A37" t="s">
        <v>431</v>
      </c>
      <c r="B37" t="s">
        <v>432</v>
      </c>
      <c r="C37" t="s">
        <v>686</v>
      </c>
      <c r="D37" t="s">
        <v>174</v>
      </c>
      <c r="E37">
        <f>IF(C37="Yes",0,IF(C37="Unclear",10,IF(C37="No",20,"")))</f>
        <v>10</v>
      </c>
      <c r="F37">
        <f t="shared" si="13"/>
        <v>0.05</v>
      </c>
      <c r="G37">
        <f t="shared" si="14"/>
        <v>10.5</v>
      </c>
      <c r="H37" t="s">
        <v>687</v>
      </c>
      <c r="I37" t="s">
        <v>688</v>
      </c>
      <c r="J37" t="s">
        <v>166</v>
      </c>
      <c r="K37" s="24">
        <f t="shared" si="15"/>
        <v>45986</v>
      </c>
      <c r="L37" s="24">
        <f t="shared" ca="1" si="16"/>
        <v>13</v>
      </c>
      <c r="M37" t="s">
        <v>167</v>
      </c>
      <c r="N37">
        <f t="shared" ca="1" si="17"/>
        <v>0</v>
      </c>
      <c r="O37">
        <f t="shared" ca="1" si="18"/>
        <v>10.5</v>
      </c>
      <c r="P37" t="s">
        <v>168</v>
      </c>
      <c r="R37" t="s">
        <v>689</v>
      </c>
    </row>
    <row r="38" spans="1:18" x14ac:dyDescent="0.2">
      <c r="A38" t="s">
        <v>436</v>
      </c>
      <c r="B38" t="s">
        <v>437</v>
      </c>
      <c r="C38" t="s">
        <v>690</v>
      </c>
      <c r="D38" t="s">
        <v>174</v>
      </c>
      <c r="E38">
        <f>0</f>
        <v>0</v>
      </c>
      <c r="F38">
        <f t="shared" si="13"/>
        <v>0.05</v>
      </c>
      <c r="G38">
        <f t="shared" si="14"/>
        <v>0</v>
      </c>
      <c r="H38" t="s">
        <v>691</v>
      </c>
      <c r="I38" t="s">
        <v>692</v>
      </c>
      <c r="J38" t="s">
        <v>250</v>
      </c>
      <c r="K38" s="24">
        <f t="shared" si="15"/>
        <v>45986</v>
      </c>
      <c r="L38" s="24">
        <f t="shared" ca="1" si="16"/>
        <v>13</v>
      </c>
      <c r="M38" t="s">
        <v>167</v>
      </c>
      <c r="N38">
        <f t="shared" ca="1" si="17"/>
        <v>0</v>
      </c>
      <c r="O38">
        <f t="shared" ca="1" si="18"/>
        <v>0</v>
      </c>
      <c r="P38" t="s">
        <v>168</v>
      </c>
      <c r="Q38" t="s">
        <v>441</v>
      </c>
      <c r="R38" t="s">
        <v>693</v>
      </c>
    </row>
    <row r="39" spans="1:18" x14ac:dyDescent="0.2">
      <c r="A39" s="4"/>
      <c r="B39" s="5" t="s">
        <v>694</v>
      </c>
      <c r="C39" s="4"/>
      <c r="D39" s="4"/>
      <c r="E39" s="4"/>
      <c r="F39" s="4"/>
      <c r="G39" s="4"/>
      <c r="H39" s="4"/>
      <c r="I39" s="4"/>
      <c r="J39" s="4"/>
      <c r="K39" s="23"/>
      <c r="L39" s="23"/>
      <c r="M39" s="4"/>
      <c r="N39" s="4" t="str">
        <f t="shared" si="17"/>
        <v/>
      </c>
      <c r="O39" s="4"/>
      <c r="P39" s="4"/>
      <c r="Q39" s="4"/>
      <c r="R39" s="4"/>
    </row>
    <row r="40" spans="1:18" x14ac:dyDescent="0.2">
      <c r="A40" s="3"/>
      <c r="B40" s="42"/>
      <c r="C40" s="43"/>
      <c r="D40" s="43"/>
      <c r="E40" s="43"/>
      <c r="F40" s="43"/>
      <c r="G40" s="43"/>
      <c r="H40" s="43"/>
      <c r="I40" s="43"/>
      <c r="J40" s="43"/>
      <c r="K40" s="44"/>
      <c r="L40" s="44"/>
      <c r="M40" s="43"/>
      <c r="N40" s="43"/>
      <c r="O40" s="43"/>
      <c r="P40" s="43"/>
      <c r="Q40" s="43"/>
      <c r="R40" s="43"/>
    </row>
    <row r="41" spans="1:18" x14ac:dyDescent="0.2">
      <c r="A41" t="s">
        <v>444</v>
      </c>
      <c r="B41" t="s">
        <v>445</v>
      </c>
      <c r="C41" t="s">
        <v>446</v>
      </c>
      <c r="D41" t="s">
        <v>163</v>
      </c>
      <c r="E41">
        <v>0</v>
      </c>
      <c r="F41">
        <f>IF(D41="High",0,IF(D41="Medium",0.05,IF(D41="Low",0.1,IF(D41="Unknown",0.15,""))))</f>
        <v>0</v>
      </c>
      <c r="G41">
        <f>E41*(1+F41)</f>
        <v>0</v>
      </c>
      <c r="H41" t="s">
        <v>695</v>
      </c>
      <c r="I41" t="s">
        <v>696</v>
      </c>
      <c r="J41" t="s">
        <v>166</v>
      </c>
      <c r="K41" s="24">
        <f>IF(AND(I41="",J41=""),"",MAX(IF(I41&lt;&gt;"",DATEVALUE(TRIM(RIGHT(SUBSTITUTE(I41,";",REPT(" ",50)),50))),0),IF(J41&lt;&gt;"",DATEVALUE(TRIM(RIGHT(SUBSTITUTE(J41,";",REPT(" ",50)),50))),0)))</f>
        <v>45986</v>
      </c>
      <c r="L41" s="24">
        <f ca="1">IF(K41="","",TODAY()-K41)</f>
        <v>13</v>
      </c>
      <c r="M41" t="s">
        <v>167</v>
      </c>
      <c r="N41">
        <f ca="1">IF(M41="","",IF(L41="",INDEX($F$69:$F$72,MATCH(M41,$C$69:$C$72,0)),IF(L41&lt;=INDEX($D$69:$D$72,MATCH(M41,$C$69:$C$72,0)),0,IF(L41&lt;=INDEX($E$69:$E$72,MATCH(M41,$C$69:$C$72,0)),INDEX($F$69:$F$72,MATCH(M41,$C$69:$C$72,0)),INDEX($G$69:$G$72,MATCH(M41,$C$69:$C$72,0))))))</f>
        <v>0</v>
      </c>
      <c r="O41">
        <f ca="1">G41+N41</f>
        <v>0</v>
      </c>
      <c r="P41" t="s">
        <v>168</v>
      </c>
      <c r="Q41" t="s">
        <v>449</v>
      </c>
      <c r="R41" t="s">
        <v>697</v>
      </c>
    </row>
    <row r="42" spans="1:18" x14ac:dyDescent="0.2">
      <c r="A42" t="s">
        <v>451</v>
      </c>
      <c r="B42" t="s">
        <v>452</v>
      </c>
      <c r="C42" t="s">
        <v>698</v>
      </c>
      <c r="D42" t="s">
        <v>163</v>
      </c>
      <c r="E42">
        <f>IF(C42="Fixed",0,IF(C42="Capped",0,IF(C42="Inflationary",10,IF(C42="Unknown",20,""))))</f>
        <v>0</v>
      </c>
      <c r="F42">
        <f>IF(D42="High",0,IF(D42="Medium",0.05,IF(D42="Low",0.1,IF(D42="Unknown",0.15,""))))</f>
        <v>0</v>
      </c>
      <c r="G42">
        <f>E42*(1+F42)</f>
        <v>0</v>
      </c>
      <c r="H42" t="s">
        <v>699</v>
      </c>
      <c r="I42" t="s">
        <v>700</v>
      </c>
      <c r="J42" t="s">
        <v>166</v>
      </c>
      <c r="K42" s="24">
        <f>IF(AND(I42="",J42=""),"",MAX(IF(I42&lt;&gt;"",DATEVALUE(TRIM(RIGHT(SUBSTITUTE(I42,";",REPT(" ",50)),50))),0),IF(J42&lt;&gt;"",DATEVALUE(TRIM(RIGHT(SUBSTITUTE(J42,";",REPT(" ",50)),50))),0)))</f>
        <v>45986</v>
      </c>
      <c r="L42" s="24">
        <f ca="1">IF(K42="","",TODAY()-K42)</f>
        <v>13</v>
      </c>
      <c r="M42" t="s">
        <v>167</v>
      </c>
      <c r="N42">
        <f ca="1">IF(M42="","",IF(L42="",INDEX($F$69:$F$72,MATCH(M42,$C$69:$C$72,0)),IF(L42&lt;=INDEX($D$69:$D$72,MATCH(M42,$C$69:$C$72,0)),0,IF(L42&lt;=INDEX($E$69:$E$72,MATCH(M42,$C$69:$C$72,0)),INDEX($F$69:$F$72,MATCH(M42,$C$69:$C$72,0)),INDEX($G$69:$G$72,MATCH(M42,$C$69:$C$72,0))))))</f>
        <v>0</v>
      </c>
      <c r="O42">
        <f ca="1">G42+N42</f>
        <v>0</v>
      </c>
      <c r="P42" t="s">
        <v>168</v>
      </c>
      <c r="R42" t="s">
        <v>701</v>
      </c>
    </row>
    <row r="43" spans="1:18" x14ac:dyDescent="0.2">
      <c r="A43" t="s">
        <v>457</v>
      </c>
      <c r="B43" t="s">
        <v>458</v>
      </c>
      <c r="C43" t="s">
        <v>181</v>
      </c>
      <c r="D43" t="s">
        <v>163</v>
      </c>
      <c r="E43">
        <f>IF(C43="Yes",0,IF(C43="Partial",10,IF(C43="No",20,"")))</f>
        <v>10</v>
      </c>
      <c r="F43">
        <f>IF(D43="High",0,IF(D43="Medium",0.05,IF(D43="Low",0.1,IF(D43="Unknown",0.15,""))))</f>
        <v>0</v>
      </c>
      <c r="G43">
        <f>E43*(1+F43)</f>
        <v>10</v>
      </c>
      <c r="H43" t="s">
        <v>702</v>
      </c>
      <c r="I43" t="s">
        <v>703</v>
      </c>
      <c r="J43" t="s">
        <v>166</v>
      </c>
      <c r="K43" s="24">
        <f>IF(AND(I43="",J43=""),"",MAX(IF(I43&lt;&gt;"",DATEVALUE(TRIM(RIGHT(SUBSTITUTE(I43,";",REPT(" ",50)),50))),0),IF(J43&lt;&gt;"",DATEVALUE(TRIM(RIGHT(SUBSTITUTE(J43,";",REPT(" ",50)),50))),0)))</f>
        <v>45986</v>
      </c>
      <c r="L43" s="24">
        <f ca="1">IF(K43="","",TODAY()-K43)</f>
        <v>13</v>
      </c>
      <c r="M43" t="s">
        <v>167</v>
      </c>
      <c r="N43">
        <f ca="1">IF(M43="","",IF(L43="",INDEX($F$69:$F$72,MATCH(M43,$C$69:$C$72,0)),IF(L43&lt;=INDEX($D$69:$D$72,MATCH(M43,$C$69:$C$72,0)),0,IF(L43&lt;=INDEX($E$69:$E$72,MATCH(M43,$C$69:$C$72,0)),INDEX($F$69:$F$72,MATCH(M43,$C$69:$C$72,0)),INDEX($G$69:$G$72,MATCH(M43,$C$69:$C$72,0))))))</f>
        <v>0</v>
      </c>
      <c r="O43">
        <f ca="1">G43+N43</f>
        <v>10</v>
      </c>
      <c r="P43" t="s">
        <v>168</v>
      </c>
      <c r="R43" t="s">
        <v>704</v>
      </c>
    </row>
    <row r="44" spans="1:18" x14ac:dyDescent="0.2">
      <c r="A44" t="s">
        <v>462</v>
      </c>
      <c r="B44" t="s">
        <v>463</v>
      </c>
      <c r="C44" t="s">
        <v>259</v>
      </c>
      <c r="D44" t="s">
        <v>174</v>
      </c>
      <c r="E44">
        <f>IF(C44="No",0,IF(C44="Unclear",10,IF(C44="Yes",20,"")))</f>
        <v>20</v>
      </c>
      <c r="F44">
        <f>IF(D44="High",0,IF(D44="Medium",0.05,IF(D44="Low",0.1,IF(D44="Unknown",0.15,""))))</f>
        <v>0.05</v>
      </c>
      <c r="G44">
        <f>E44*(1+F44)</f>
        <v>21</v>
      </c>
      <c r="H44" t="s">
        <v>705</v>
      </c>
      <c r="I44" t="s">
        <v>706</v>
      </c>
      <c r="J44" t="s">
        <v>250</v>
      </c>
      <c r="K44" s="24">
        <f>IF(AND(I44="",J44=""),"",MAX(IF(I44&lt;&gt;"",DATEVALUE(TRIM(RIGHT(SUBSTITUTE(I44,";",REPT(" ",50)),50))),0),IF(J44&lt;&gt;"",DATEVALUE(TRIM(RIGHT(SUBSTITUTE(J44,";",REPT(" ",50)),50))),0)))</f>
        <v>45986</v>
      </c>
      <c r="L44" s="24">
        <f ca="1">IF(K44="","",TODAY()-K44)</f>
        <v>13</v>
      </c>
      <c r="M44" t="s">
        <v>167</v>
      </c>
      <c r="N44">
        <f ca="1">IF(M44="","",IF(L44="",INDEX($F$69:$F$72,MATCH(M44,$C$69:$C$72,0)),IF(L44&lt;=INDEX($D$69:$D$72,MATCH(M44,$C$69:$C$72,0)),0,IF(L44&lt;=INDEX($E$69:$E$72,MATCH(M44,$C$69:$C$72,0)),INDEX($F$69:$F$72,MATCH(M44,$C$69:$C$72,0)),INDEX($G$69:$G$72,MATCH(M44,$C$69:$C$72,0))))))</f>
        <v>0</v>
      </c>
      <c r="O44">
        <f ca="1">G44+N44</f>
        <v>21</v>
      </c>
      <c r="P44" t="s">
        <v>168</v>
      </c>
      <c r="R44" t="s">
        <v>707</v>
      </c>
    </row>
    <row r="45" spans="1:18" x14ac:dyDescent="0.2">
      <c r="A45" t="s">
        <v>467</v>
      </c>
      <c r="B45" t="s">
        <v>468</v>
      </c>
      <c r="C45" t="s">
        <v>708</v>
      </c>
      <c r="D45" t="s">
        <v>174</v>
      </c>
      <c r="E45">
        <v>0</v>
      </c>
      <c r="F45">
        <f>IF(D45="High",0,IF(D45="Medium",0.05,IF(D45="Low",0.1,IF(D45="Unknown",0.15,""))))</f>
        <v>0.05</v>
      </c>
      <c r="G45">
        <f>E45*(1+F45)</f>
        <v>0</v>
      </c>
      <c r="H45" t="s">
        <v>709</v>
      </c>
      <c r="I45" t="s">
        <v>710</v>
      </c>
      <c r="J45" t="s">
        <v>166</v>
      </c>
      <c r="K45" s="24">
        <f>IF(AND(I45="",J45=""),"",MAX(IF(I45&lt;&gt;"",DATEVALUE(TRIM(RIGHT(SUBSTITUTE(I45,";",REPT(" ",50)),50))),0),IF(J45&lt;&gt;"",DATEVALUE(TRIM(RIGHT(SUBSTITUTE(J45,";",REPT(" ",50)),50))),0)))</f>
        <v>45986</v>
      </c>
      <c r="L45" s="24">
        <f ca="1">IF(K45="","",TODAY()-K45)</f>
        <v>13</v>
      </c>
      <c r="M45" t="s">
        <v>167</v>
      </c>
      <c r="N45">
        <f ca="1">IF(M45="","",IF(L45="",INDEX($F$69:$F$72,MATCH(M45,$C$69:$C$72,0)),IF(L45&lt;=INDEX($D$69:$D$72,MATCH(M45,$C$69:$C$72,0)),0,IF(L45&lt;=INDEX($E$69:$E$72,MATCH(M45,$C$69:$C$72,0)),INDEX($F$69:$F$72,MATCH(M45,$C$69:$C$72,0)),INDEX($G$69:$G$72,MATCH(M45,$C$69:$C$72,0))))))</f>
        <v>0</v>
      </c>
      <c r="O45">
        <f ca="1">G45+N45</f>
        <v>0</v>
      </c>
      <c r="P45" t="s">
        <v>168</v>
      </c>
      <c r="Q45" t="s">
        <v>350</v>
      </c>
      <c r="R45" t="s">
        <v>711</v>
      </c>
    </row>
    <row r="46" spans="1:18" x14ac:dyDescent="0.2">
      <c r="A46" s="3"/>
      <c r="B46" s="42"/>
      <c r="C46" s="43"/>
      <c r="D46" s="43"/>
      <c r="E46" s="43"/>
      <c r="F46" s="43"/>
      <c r="G46" s="43"/>
      <c r="H46" s="43"/>
      <c r="I46" s="43"/>
      <c r="J46" s="43"/>
      <c r="K46" s="44"/>
      <c r="L46" s="44"/>
      <c r="M46" s="43"/>
      <c r="N46" s="43"/>
      <c r="O46" s="43"/>
      <c r="P46" s="43"/>
      <c r="Q46" s="43"/>
      <c r="R46" s="43"/>
    </row>
    <row r="47" spans="1:18" x14ac:dyDescent="0.2">
      <c r="A47" t="s">
        <v>472</v>
      </c>
      <c r="B47" t="s">
        <v>473</v>
      </c>
      <c r="C47" t="s">
        <v>474</v>
      </c>
      <c r="D47" t="s">
        <v>174</v>
      </c>
      <c r="E47">
        <f>IF($AA$1="BTC",0,IFERROR(IF(C47="Unknown",20,IF(VALUE(SUBSTITUTE(C47,"%",""))&lt;=15,0,IF(VALUE(SUBSTITUTE(C47,"%",""))&lt;=30,10,20))),""))</f>
        <v>0</v>
      </c>
      <c r="F47">
        <f t="shared" ref="F47:F52" si="19">IF(D47="High",0,IF(D47="Medium",0.05,IF(D47="Low",0.1,IF(D47="Unknown",0.15,""))))</f>
        <v>0.05</v>
      </c>
      <c r="G47">
        <f t="shared" ref="G47:G52" si="20">E47*(1+F47)</f>
        <v>0</v>
      </c>
      <c r="H47" t="s">
        <v>475</v>
      </c>
      <c r="I47" t="s">
        <v>712</v>
      </c>
      <c r="J47" t="s">
        <v>402</v>
      </c>
      <c r="K47" s="24">
        <f t="shared" ref="K47:K52" si="21">IF(AND(I47="",J47=""),"",MAX(IF(I47&lt;&gt;"",DATEVALUE(TRIM(RIGHT(SUBSTITUTE(I47,";",REPT(" ",50)),50))),0),IF(J47&lt;&gt;"",DATEVALUE(TRIM(RIGHT(SUBSTITUTE(J47,";",REPT(" ",50)),50))),0)))</f>
        <v>45986</v>
      </c>
      <c r="L47" s="24">
        <f t="shared" ref="L47:L52" ca="1" si="22">IF(K47="","",TODAY()-K47)</f>
        <v>13</v>
      </c>
      <c r="M47" t="s">
        <v>167</v>
      </c>
      <c r="N47">
        <f t="shared" ref="N47:N52" ca="1" si="23">IF(M47="","",IF(L47="",INDEX($F$69:$F$72,MATCH(M47,$C$69:$C$72,0)),IF(L47&lt;=INDEX($D$69:$D$72,MATCH(M47,$C$69:$C$72,0)),0,IF(L47&lt;=INDEX($E$69:$E$72,MATCH(M47,$C$69:$C$72,0)),INDEX($F$69:$F$72,MATCH(M47,$C$69:$C$72,0)),INDEX($G$69:$G$72,MATCH(M47,$C$69:$C$72,0))))))</f>
        <v>0</v>
      </c>
      <c r="O47">
        <f t="shared" ref="O47:O52" ca="1" si="24">G47+N47</f>
        <v>0</v>
      </c>
      <c r="P47" t="str">
        <f>IF($AA$1="BTC","No Review","No Review")</f>
        <v>No Review</v>
      </c>
      <c r="R47" t="s">
        <v>713</v>
      </c>
    </row>
    <row r="48" spans="1:18" x14ac:dyDescent="0.2">
      <c r="A48" t="s">
        <v>477</v>
      </c>
      <c r="B48" t="s">
        <v>478</v>
      </c>
      <c r="C48" t="s">
        <v>714</v>
      </c>
      <c r="D48" t="s">
        <v>174</v>
      </c>
      <c r="E48">
        <f>IF($AA$1="BTC",0,IFERROR(IF(C48="Unknown",20,IF(VALUE(SUBSTITUTE(C48,"%",""))&lt;=20,0,IF(VALUE(SUBSTITUTE(C48,"%",""))&lt;=40,10,20))),""))</f>
        <v>0</v>
      </c>
      <c r="F48">
        <f t="shared" si="19"/>
        <v>0.05</v>
      </c>
      <c r="G48">
        <f t="shared" si="20"/>
        <v>0</v>
      </c>
      <c r="H48" t="s">
        <v>482</v>
      </c>
      <c r="I48" t="s">
        <v>715</v>
      </c>
      <c r="J48" t="s">
        <v>250</v>
      </c>
      <c r="K48" s="24">
        <f t="shared" si="21"/>
        <v>45986</v>
      </c>
      <c r="L48" s="24">
        <f t="shared" ca="1" si="22"/>
        <v>13</v>
      </c>
      <c r="M48" t="s">
        <v>167</v>
      </c>
      <c r="N48">
        <f t="shared" ca="1" si="23"/>
        <v>0</v>
      </c>
      <c r="O48">
        <f t="shared" ca="1" si="24"/>
        <v>0</v>
      </c>
      <c r="P48" t="str">
        <f>IF($AA$1="BTC","No Review","No Review")</f>
        <v>No Review</v>
      </c>
      <c r="R48" t="s">
        <v>716</v>
      </c>
    </row>
    <row r="49" spans="1:18" x14ac:dyDescent="0.2">
      <c r="A49" t="s">
        <v>480</v>
      </c>
      <c r="B49" t="s">
        <v>481</v>
      </c>
      <c r="C49" t="s">
        <v>717</v>
      </c>
      <c r="D49" t="s">
        <v>163</v>
      </c>
      <c r="E49">
        <f>IF($AA$1="BTC",0,IFERROR(IF(C49="Unknown",10,IF(VALUE(SUBSTITUTE(C49,"%",""))&lt;=15,0,IF(VALUE(SUBSTITUTE(C49,"%",""))&lt;=30,10,20))),""))</f>
        <v>10</v>
      </c>
      <c r="F49">
        <f t="shared" si="19"/>
        <v>0</v>
      </c>
      <c r="G49">
        <f t="shared" si="20"/>
        <v>10</v>
      </c>
      <c r="H49" t="s">
        <v>718</v>
      </c>
      <c r="I49" t="s">
        <v>719</v>
      </c>
      <c r="J49" t="s">
        <v>250</v>
      </c>
      <c r="K49" s="24">
        <f t="shared" si="21"/>
        <v>45986</v>
      </c>
      <c r="L49" s="24">
        <f t="shared" ca="1" si="22"/>
        <v>13</v>
      </c>
      <c r="M49" t="s">
        <v>167</v>
      </c>
      <c r="N49">
        <f t="shared" ca="1" si="23"/>
        <v>0</v>
      </c>
      <c r="O49">
        <f t="shared" ca="1" si="24"/>
        <v>10</v>
      </c>
      <c r="P49" t="str">
        <f>IF($AA$1="BTC","No Review","No Review")</f>
        <v>No Review</v>
      </c>
      <c r="R49" t="s">
        <v>720</v>
      </c>
    </row>
    <row r="50" spans="1:18" x14ac:dyDescent="0.2">
      <c r="A50" t="s">
        <v>485</v>
      </c>
      <c r="B50" t="s">
        <v>486</v>
      </c>
      <c r="C50" t="s">
        <v>181</v>
      </c>
      <c r="D50" t="s">
        <v>174</v>
      </c>
      <c r="E50">
        <f t="array" ref="E50">IF($AA$1="BTC",0,IF(C50="Yes",0,IF(C50="Partial",10,IF(C50="No",20,""))))</f>
        <v>10</v>
      </c>
      <c r="F50">
        <f t="shared" si="19"/>
        <v>0.05</v>
      </c>
      <c r="G50">
        <f t="shared" si="20"/>
        <v>10.5</v>
      </c>
      <c r="H50" t="s">
        <v>721</v>
      </c>
      <c r="I50" t="s">
        <v>722</v>
      </c>
      <c r="J50" t="s">
        <v>166</v>
      </c>
      <c r="K50" s="24">
        <f t="shared" si="21"/>
        <v>45986</v>
      </c>
      <c r="L50" s="24">
        <f t="shared" ca="1" si="22"/>
        <v>13</v>
      </c>
      <c r="M50" t="s">
        <v>167</v>
      </c>
      <c r="N50">
        <f t="shared" ca="1" si="23"/>
        <v>0</v>
      </c>
      <c r="O50">
        <f t="shared" ca="1" si="24"/>
        <v>10.5</v>
      </c>
      <c r="P50" t="str">
        <f>IF($AA$1="BTC","No Review","No Review")</f>
        <v>No Review</v>
      </c>
      <c r="R50" t="s">
        <v>723</v>
      </c>
    </row>
    <row r="51" spans="1:18" x14ac:dyDescent="0.2">
      <c r="A51" t="s">
        <v>490</v>
      </c>
      <c r="B51" t="s">
        <v>491</v>
      </c>
      <c r="C51" t="s">
        <v>275</v>
      </c>
      <c r="D51" t="s">
        <v>163</v>
      </c>
      <c r="E51">
        <f>IF($AA$1="BTC",0,IFERROR(IF(C51="Unknown",10,IF(VALUE(SUBSTITUTE(C51,"%",""))&lt;=5,0,IF(VALUE(SUBSTITUTE(C51,"%",""))&lt;=15,10,20))),""))</f>
        <v>10</v>
      </c>
      <c r="F51">
        <f t="shared" si="19"/>
        <v>0</v>
      </c>
      <c r="G51">
        <f t="shared" si="20"/>
        <v>10</v>
      </c>
      <c r="H51" t="s">
        <v>724</v>
      </c>
      <c r="I51" t="s">
        <v>725</v>
      </c>
      <c r="J51" t="s">
        <v>166</v>
      </c>
      <c r="K51" s="24">
        <f t="shared" si="21"/>
        <v>45986</v>
      </c>
      <c r="L51" s="24">
        <f t="shared" ca="1" si="22"/>
        <v>13</v>
      </c>
      <c r="M51" t="s">
        <v>276</v>
      </c>
      <c r="N51">
        <f t="shared" ca="1" si="23"/>
        <v>0</v>
      </c>
      <c r="O51">
        <f t="shared" ca="1" si="24"/>
        <v>10</v>
      </c>
      <c r="P51" t="str">
        <f>IF($AA$1="BTC","No Review",IF(AND(IFERROR(VALUE(SUBSTITUTE(#REF!,"%","")),0)+IFERROR(VALUE(SUBSTITUTE(#REF!,"%","")),0)&gt;45,IFERROR(VALUE(SUBSTITUTE($C$10,"%","")),0)&gt;15),"Review","No Review"))</f>
        <v>No Review</v>
      </c>
      <c r="Q51" t="s">
        <v>494</v>
      </c>
      <c r="R51" t="s">
        <v>726</v>
      </c>
    </row>
    <row r="52" spans="1:18" x14ac:dyDescent="0.2">
      <c r="A52" t="s">
        <v>496</v>
      </c>
      <c r="B52" t="s">
        <v>497</v>
      </c>
      <c r="C52" t="s">
        <v>727</v>
      </c>
      <c r="D52" t="s">
        <v>163</v>
      </c>
      <c r="E52">
        <f>IF($AA$1="BTC",0,0)</f>
        <v>0</v>
      </c>
      <c r="F52">
        <f t="shared" si="19"/>
        <v>0</v>
      </c>
      <c r="G52">
        <f t="shared" si="20"/>
        <v>0</v>
      </c>
      <c r="H52" t="s">
        <v>728</v>
      </c>
      <c r="I52" t="s">
        <v>729</v>
      </c>
      <c r="J52" t="s">
        <v>166</v>
      </c>
      <c r="K52" s="24">
        <f t="shared" si="21"/>
        <v>45986</v>
      </c>
      <c r="L52" s="24">
        <f t="shared" ca="1" si="22"/>
        <v>13</v>
      </c>
      <c r="M52" t="s">
        <v>305</v>
      </c>
      <c r="N52">
        <f t="shared" ca="1" si="23"/>
        <v>0</v>
      </c>
      <c r="O52">
        <f t="shared" ca="1" si="24"/>
        <v>0</v>
      </c>
      <c r="P52" t="str">
        <f>IF($AA$1="BTC","No Review","No Review")</f>
        <v>No Review</v>
      </c>
      <c r="Q52" t="s">
        <v>350</v>
      </c>
      <c r="R52" t="s">
        <v>730</v>
      </c>
    </row>
    <row r="53" spans="1:18" x14ac:dyDescent="0.2">
      <c r="A53" s="3"/>
      <c r="B53" s="42"/>
      <c r="C53" s="43"/>
      <c r="D53" s="43"/>
      <c r="E53" s="43"/>
      <c r="F53" s="43"/>
      <c r="G53" s="43"/>
      <c r="H53" s="43"/>
      <c r="I53" s="43"/>
      <c r="J53" s="43"/>
      <c r="K53" s="44"/>
      <c r="L53" s="44"/>
      <c r="M53" s="43"/>
      <c r="N53" s="43"/>
      <c r="O53" s="43"/>
      <c r="P53" s="43"/>
      <c r="Q53" s="43"/>
      <c r="R53" s="43"/>
    </row>
    <row r="54" spans="1:18" x14ac:dyDescent="0.2">
      <c r="A54" t="s">
        <v>502</v>
      </c>
      <c r="B54" t="s">
        <v>503</v>
      </c>
      <c r="C54" t="s">
        <v>275</v>
      </c>
      <c r="D54" t="s">
        <v>315</v>
      </c>
      <c r="E54">
        <f>IFERROR(
  IF(C54="Unknown",10,
    IF(OR($C$41="L1",$C$41="L2"),
       IF(VALUE(SUBSTITUTE(C54,"%",""))&lt;=4,0,
          IF(VALUE(SUBSTITUTE(C54,"%",""))&lt;=8,10,20)),
       IF(VALUE(SUBSTITUTE(C54,"%",""))&lt;=3,0,
          IF(VALUE(SUBSTITUTE(C54,"%",""))&lt;=6,10,20))
    )
  ),
"")</f>
        <v>10</v>
      </c>
      <c r="F54">
        <f>IF(D54="High",0,IF(D54="Medium",0.05,IF(D54="Low",0.1,IF(D54="Unknown",0.15,""))))</f>
        <v>0.1</v>
      </c>
      <c r="G54">
        <f>E54*(1+F54)</f>
        <v>11</v>
      </c>
      <c r="H54" t="s">
        <v>731</v>
      </c>
      <c r="J54" t="s">
        <v>166</v>
      </c>
      <c r="K54" s="24">
        <f>IF(AND(I54="",J54=""),"",MAX(IF(I54&lt;&gt;"",DATEVALUE(TRIM(RIGHT(SUBSTITUTE(I54,";",REPT(" ",50)),50))),0),IF(J54&lt;&gt;"",DATEVALUE(TRIM(RIGHT(SUBSTITUTE(J54,";",REPT(" ",50)),50))),0)))</f>
        <v>45986</v>
      </c>
      <c r="L54" s="24">
        <f ca="1">IF(K54="","",TODAY()-K54)</f>
        <v>13</v>
      </c>
      <c r="M54" t="s">
        <v>184</v>
      </c>
      <c r="N54">
        <f ca="1">IF(M54="","",IF(L54="",INDEX($F$69:$F$72,MATCH(M54,$C$69:$C$72,0)),IF(L54&lt;=INDEX($D$69:$D$72,MATCH(M54,$C$69:$C$72,0)),0,IF(L54&lt;=INDEX($E$69:$E$72,MATCH(M54,$C$69:$C$72,0)),INDEX($F$69:$F$72,MATCH(M54,$C$69:$C$72,0)),INDEX($G$69:$G$72,MATCH(M54,$C$69:$C$72,0))))))</f>
        <v>0</v>
      </c>
      <c r="O54">
        <f ca="1">G54+N54</f>
        <v>11</v>
      </c>
      <c r="P54" t="str">
        <f>IF($AA$1="BTC","No Review",IF(OR(AND(OR(C41="L1",C41="L2"), IFERROR(VALUE(SUBSTITUTE($C$13,"%","")),0)&gt;8),AND(NOT(OR(C41="L1",C41="L2")), IFERROR(VALUE(SUBSTITUTE($C$13,"%","")),0)&gt;6)),"Review","No Review"))</f>
        <v>No Review</v>
      </c>
      <c r="Q54" t="s">
        <v>506</v>
      </c>
      <c r="R54" t="s">
        <v>732</v>
      </c>
    </row>
    <row r="55" spans="1:18" x14ac:dyDescent="0.2">
      <c r="A55" t="s">
        <v>508</v>
      </c>
      <c r="B55" t="s">
        <v>509</v>
      </c>
      <c r="C55" t="s">
        <v>510</v>
      </c>
      <c r="D55" t="s">
        <v>174</v>
      </c>
      <c r="E55">
        <f t="array" ref="E55">IF($AA$1="BTC",0,IF(C55="Gradual",0,IF(C55="Mixed",10,IF(C55="Cliff",20,IF(C55="Unknown",10,"")))))</f>
        <v>10</v>
      </c>
      <c r="F55">
        <f>IF(D55="High",0,IF(D55="Medium",0.05,IF(D55="Low",0.1,IF(D55="Unknown",0.15,""))))</f>
        <v>0.05</v>
      </c>
      <c r="G55">
        <f>E55*(1+F55)</f>
        <v>10.5</v>
      </c>
      <c r="H55" t="s">
        <v>733</v>
      </c>
      <c r="I55" t="s">
        <v>734</v>
      </c>
      <c r="J55" t="s">
        <v>166</v>
      </c>
      <c r="K55" s="24">
        <f>IF(AND(I55="",J55=""),"",MAX(IF(I55&lt;&gt;"",DATEVALUE(TRIM(RIGHT(SUBSTITUTE(I55,";",REPT(" ",50)),50))),0),IF(J55&lt;&gt;"",DATEVALUE(TRIM(RIGHT(SUBSTITUTE(J55,";",REPT(" ",50)),50))),0)))</f>
        <v>45986</v>
      </c>
      <c r="L55" s="24">
        <f ca="1">IF(K55="","",TODAY()-K55)</f>
        <v>13</v>
      </c>
      <c r="M55" t="s">
        <v>184</v>
      </c>
      <c r="N55">
        <f ca="1">IF(M55="","",IF(L55="",INDEX($F$69:$F$72,MATCH(M55,$C$69:$C$72,0)),IF(L55&lt;=INDEX($D$69:$D$72,MATCH(M55,$C$69:$C$72,0)),0,IF(L55&lt;=INDEX($E$69:$E$72,MATCH(M55,$C$69:$C$72,0)),INDEX($F$69:$F$72,MATCH(M55,$C$69:$C$72,0)),INDEX($G$69:$G$72,MATCH(M55,$C$69:$C$72,0))))))</f>
        <v>0</v>
      </c>
      <c r="O55">
        <f ca="1">G55+N55</f>
        <v>10.5</v>
      </c>
      <c r="P55" t="str">
        <f>IF($AA$1="BTC","No Review","No Review")</f>
        <v>No Review</v>
      </c>
      <c r="R55" t="s">
        <v>735</v>
      </c>
    </row>
    <row r="56" spans="1:18" x14ac:dyDescent="0.2">
      <c r="A56" t="s">
        <v>514</v>
      </c>
      <c r="B56" t="s">
        <v>515</v>
      </c>
      <c r="C56" t="s">
        <v>210</v>
      </c>
      <c r="D56" t="s">
        <v>163</v>
      </c>
      <c r="E56">
        <f t="array" ref="E56">IF($AA$1="BTC",0,IF(C56="Yes",0,IF(C56="Unclear",10,IF(C56="No",20,""))))</f>
        <v>20</v>
      </c>
      <c r="F56">
        <f>IF(D56="High",0,IF(D56="Medium",0.05,IF(D56="Low",0.1,IF(D56="Unknown",0.15,""))))</f>
        <v>0</v>
      </c>
      <c r="G56">
        <f>E56*(1+F56)</f>
        <v>20</v>
      </c>
      <c r="H56" t="s">
        <v>736</v>
      </c>
      <c r="I56" t="s">
        <v>737</v>
      </c>
      <c r="J56" t="s">
        <v>166</v>
      </c>
      <c r="K56" s="24">
        <f>IF(AND(I56="",J56=""),"",MAX(IF(I56&lt;&gt;"",DATEVALUE(TRIM(RIGHT(SUBSTITUTE(I56,";",REPT(" ",50)),50))),0),IF(J56&lt;&gt;"",DATEVALUE(TRIM(RIGHT(SUBSTITUTE(J56,";",REPT(" ",50)),50))),0)))</f>
        <v>45986</v>
      </c>
      <c r="L56" s="24">
        <f ca="1">IF(K56="","",TODAY()-K56)</f>
        <v>13</v>
      </c>
      <c r="M56" t="s">
        <v>184</v>
      </c>
      <c r="N56">
        <f ca="1">IF(M56="","",IF(L56="",INDEX($F$69:$F$72,MATCH(M56,$C$69:$C$72,0)),IF(L56&lt;=INDEX($D$69:$D$72,MATCH(M56,$C$69:$C$72,0)),0,IF(L56&lt;=INDEX($E$69:$E$72,MATCH(M56,$C$69:$C$72,0)),INDEX($F$69:$F$72,MATCH(M56,$C$69:$C$72,0)),INDEX($G$69:$G$72,MATCH(M56,$C$69:$C$72,0))))))</f>
        <v>0</v>
      </c>
      <c r="O56">
        <f ca="1">G56+N56</f>
        <v>20</v>
      </c>
      <c r="P56" t="str">
        <f>IF($AA$1="BTC","No Review","No Review")</f>
        <v>No Review</v>
      </c>
      <c r="R56" t="s">
        <v>738</v>
      </c>
    </row>
    <row r="57" spans="1:18" x14ac:dyDescent="0.2">
      <c r="A57" t="s">
        <v>517</v>
      </c>
      <c r="B57" t="s">
        <v>518</v>
      </c>
      <c r="C57" t="s">
        <v>739</v>
      </c>
      <c r="D57" t="s">
        <v>174</v>
      </c>
      <c r="E57">
        <f>IF($AA$1="BTC",0,0)</f>
        <v>0</v>
      </c>
      <c r="F57">
        <f>IF(D57="High",0,IF(D57="Medium",0.05,IF(D57="Low",0.1,IF(D57="Unknown",0.15,""))))</f>
        <v>0.05</v>
      </c>
      <c r="G57">
        <f>E57*(1+F57)</f>
        <v>0</v>
      </c>
      <c r="H57" t="s">
        <v>740</v>
      </c>
      <c r="I57" t="s">
        <v>741</v>
      </c>
      <c r="J57" t="s">
        <v>166</v>
      </c>
      <c r="K57" s="24">
        <f>IF(AND(I57="",J57=""),"",MAX(IF(I57&lt;&gt;"",DATEVALUE(TRIM(RIGHT(SUBSTITUTE(I57,";",REPT(" ",50)),50))),0),IF(J57&lt;&gt;"",DATEVALUE(TRIM(RIGHT(SUBSTITUTE(J57,";",REPT(" ",50)),50))),0)))</f>
        <v>45986</v>
      </c>
      <c r="L57" s="24">
        <f ca="1">IF(K57="","",TODAY()-K57)</f>
        <v>13</v>
      </c>
      <c r="M57" t="s">
        <v>305</v>
      </c>
      <c r="N57">
        <f ca="1">IF(M57="","",IF(L57="",INDEX($F$69:$F$72,MATCH(M57,$C$69:$C$72,0)),IF(L57&lt;=INDEX($D$69:$D$72,MATCH(M57,$C$69:$C$72,0)),0,IF(L57&lt;=INDEX($E$69:$E$72,MATCH(M57,$C$69:$C$72,0)),INDEX($F$69:$F$72,MATCH(M57,$C$69:$C$72,0)),INDEX($G$69:$G$72,MATCH(M57,$C$69:$C$72,0))))))</f>
        <v>0</v>
      </c>
      <c r="O57">
        <f ca="1">G57+N57</f>
        <v>0</v>
      </c>
      <c r="P57" t="str">
        <f>IF($AA$1="BTC","No Review","No Review")</f>
        <v>No Review</v>
      </c>
      <c r="Q57" t="s">
        <v>350</v>
      </c>
      <c r="R57" t="s">
        <v>742</v>
      </c>
    </row>
    <row r="58" spans="1:18" x14ac:dyDescent="0.2">
      <c r="A58" s="3"/>
      <c r="B58" s="42"/>
      <c r="C58" s="43"/>
      <c r="D58" s="43"/>
      <c r="E58" s="43"/>
      <c r="F58" s="43"/>
      <c r="G58" s="43"/>
      <c r="H58" s="43"/>
      <c r="I58" s="43"/>
      <c r="J58" s="43"/>
      <c r="K58" s="44"/>
      <c r="L58" s="44"/>
      <c r="M58" s="43"/>
      <c r="N58" s="43"/>
      <c r="O58" s="43"/>
      <c r="P58" s="43"/>
      <c r="Q58" s="43"/>
      <c r="R58" s="43"/>
    </row>
    <row r="59" spans="1:18" x14ac:dyDescent="0.2">
      <c r="A59" t="s">
        <v>523</v>
      </c>
      <c r="B59" t="s">
        <v>524</v>
      </c>
      <c r="C59" t="s">
        <v>743</v>
      </c>
      <c r="D59" t="s">
        <v>174</v>
      </c>
      <c r="E59">
        <f>IF(C59="Fee",0,IF(C59="Mix",10,IF(C59="Emissions",20,IF(C59="Unknown",10,""))))</f>
        <v>0</v>
      </c>
      <c r="F59">
        <f>IF(D59="High",0,IF(D59="Medium",0.05,IF(D59="Low",0.1,IF(D59="Unknown",0.15,""))))</f>
        <v>0.05</v>
      </c>
      <c r="G59">
        <f>E59*(1+F59)</f>
        <v>0</v>
      </c>
      <c r="H59" t="s">
        <v>744</v>
      </c>
      <c r="I59" t="s">
        <v>745</v>
      </c>
      <c r="J59" t="s">
        <v>166</v>
      </c>
      <c r="K59" s="24">
        <f>IF(AND(I59="",J59=""),"",MAX(IF(I59&lt;&gt;"",DATEVALUE(TRIM(RIGHT(SUBSTITUTE(I59,";",REPT(" ",50)),50))),0),IF(J59&lt;&gt;"",DATEVALUE(TRIM(RIGHT(SUBSTITUTE(J59,";",REPT(" ",50)),50))),0)))</f>
        <v>45986</v>
      </c>
      <c r="L59" s="24">
        <f ca="1">IF(K59="","",TODAY()-K59)</f>
        <v>13</v>
      </c>
      <c r="M59" t="s">
        <v>167</v>
      </c>
      <c r="N59">
        <f ca="1">IF(M59="","",IF(L59="",INDEX($F$69:$F$72,MATCH(M59,$C$69:$C$72,0)),IF(L59&lt;=INDEX($D$69:$D$72,MATCH(M59,$C$69:$C$72,0)),0,IF(L59&lt;=INDEX($E$69:$E$72,MATCH(M59,$C$69:$C$72,0)),INDEX($F$69:$F$72,MATCH(M59,$C$69:$C$72,0)),INDEX($G$69:$G$72,MATCH(M59,$C$69:$C$72,0))))))</f>
        <v>0</v>
      </c>
      <c r="O59">
        <f ca="1">G59+N59</f>
        <v>0</v>
      </c>
      <c r="P59" t="s">
        <v>168</v>
      </c>
      <c r="Q59" t="s">
        <v>528</v>
      </c>
      <c r="R59" t="s">
        <v>746</v>
      </c>
    </row>
    <row r="60" spans="1:18" x14ac:dyDescent="0.2">
      <c r="A60" t="s">
        <v>530</v>
      </c>
      <c r="B60" t="s">
        <v>531</v>
      </c>
      <c r="C60" t="s">
        <v>532</v>
      </c>
      <c r="D60" t="s">
        <v>174</v>
      </c>
      <c r="E60">
        <f>IFERROR(IF(C60="Unknown",10,IF(VALUE(SUBSTITUTE(C60,"%",""))&lt;=10,0,IF(VALUE(SUBSTITUTE(C60,"%",""))&lt;=20,10,20))),"")</f>
        <v>20</v>
      </c>
      <c r="F60">
        <f>IF(D60="High",0,IF(D60="Medium",0.05,IF(D60="Low",0.1,IF(D60="Unknown",0.15,""))))</f>
        <v>0.05</v>
      </c>
      <c r="G60">
        <f>E60*(1+F60)</f>
        <v>21</v>
      </c>
      <c r="H60" t="s">
        <v>747</v>
      </c>
      <c r="I60" t="s">
        <v>748</v>
      </c>
      <c r="J60" t="s">
        <v>250</v>
      </c>
      <c r="K60" s="24">
        <f>IF(AND(I60="",J60=""),"",MAX(IF(I60&lt;&gt;"",DATEVALUE(TRIM(RIGHT(SUBSTITUTE(I60,";",REPT(" ",50)),50))),0),IF(J60&lt;&gt;"",DATEVALUE(TRIM(RIGHT(SUBSTITUTE(J60,";",REPT(" ",50)),50))),0)))</f>
        <v>45986</v>
      </c>
      <c r="L60" s="24">
        <f ca="1">IF(K60="","",TODAY()-K60)</f>
        <v>13</v>
      </c>
      <c r="M60" t="s">
        <v>184</v>
      </c>
      <c r="N60">
        <f ca="1">IF(M60="","",IF(L60="",INDEX($F$69:$F$72,MATCH(M60,$C$69:$C$72,0)),IF(L60&lt;=INDEX($D$69:$D$72,MATCH(M60,$C$69:$C$72,0)),0,IF(L60&lt;=INDEX($E$69:$E$72,MATCH(M60,$C$69:$C$72,0)),INDEX($F$69:$F$72,MATCH(M60,$C$69:$C$72,0)),INDEX($G$69:$G$72,MATCH(M60,$C$69:$C$72,0))))))</f>
        <v>0</v>
      </c>
      <c r="O60">
        <f ca="1">G60+N60</f>
        <v>21</v>
      </c>
      <c r="P60" t="str">
        <f>IF(AND($C$18="Emissions", IFERROR(VALUE(SUBSTITUTE(C60,"%","")),0)&gt;20),"Review","No Review")</f>
        <v>No Review</v>
      </c>
      <c r="Q60" t="s">
        <v>535</v>
      </c>
      <c r="R60" t="s">
        <v>749</v>
      </c>
    </row>
    <row r="61" spans="1:18" x14ac:dyDescent="0.2">
      <c r="A61" t="s">
        <v>537</v>
      </c>
      <c r="B61" t="s">
        <v>538</v>
      </c>
      <c r="C61" t="s">
        <v>210</v>
      </c>
      <c r="D61" t="s">
        <v>174</v>
      </c>
      <c r="E61">
        <f>IF(C61="Yes",0,IF(C61="Unclear",10,IF(C61="No",20,"")))</f>
        <v>20</v>
      </c>
      <c r="F61">
        <f>IF(D61="High",0,IF(D61="Medium",0.05,IF(D61="Low",0.1,IF(D61="Unknown",0.15,""))))</f>
        <v>0.05</v>
      </c>
      <c r="G61">
        <f>E61*(1+F61)</f>
        <v>21</v>
      </c>
      <c r="H61" t="s">
        <v>750</v>
      </c>
      <c r="I61" t="s">
        <v>751</v>
      </c>
      <c r="J61" t="s">
        <v>166</v>
      </c>
      <c r="K61" s="24">
        <f>IF(AND(I61="",J61=""),"",MAX(IF(I61&lt;&gt;"",DATEVALUE(TRIM(RIGHT(SUBSTITUTE(I61,";",REPT(" ",50)),50))),0),IF(J61&lt;&gt;"",DATEVALUE(TRIM(RIGHT(SUBSTITUTE(J61,";",REPT(" ",50)),50))),0)))</f>
        <v>45986</v>
      </c>
      <c r="L61" s="24">
        <f ca="1">IF(K61="","",TODAY()-K61)</f>
        <v>13</v>
      </c>
      <c r="M61" t="s">
        <v>167</v>
      </c>
      <c r="N61">
        <f ca="1">IF(M61="","",IF(L61="",INDEX($F$69:$F$72,MATCH(M61,$C$69:$C$72,0)),IF(L61&lt;=INDEX($D$69:$D$72,MATCH(M61,$C$69:$C$72,0)),0,IF(L61&lt;=INDEX($E$69:$E$72,MATCH(M61,$C$69:$C$72,0)),INDEX($F$69:$F$72,MATCH(M61,$C$69:$C$72,0)),INDEX($G$69:$G$72,MATCH(M61,$C$69:$C$72,0))))))</f>
        <v>0</v>
      </c>
      <c r="O61">
        <f ca="1">G61+N61</f>
        <v>21</v>
      </c>
      <c r="P61" t="s">
        <v>168</v>
      </c>
      <c r="R61" t="s">
        <v>752</v>
      </c>
    </row>
    <row r="62" spans="1:18" x14ac:dyDescent="0.2">
      <c r="A62" t="s">
        <v>542</v>
      </c>
      <c r="B62" t="s">
        <v>543</v>
      </c>
      <c r="C62" t="s">
        <v>753</v>
      </c>
      <c r="D62" t="s">
        <v>174</v>
      </c>
      <c r="E62">
        <v>0</v>
      </c>
      <c r="F62">
        <f>IF(D62="High",0,IF(D62="Medium",0.05,IF(D62="Low",0.1,IF(D62="Unknown",0.15,""))))</f>
        <v>0.05</v>
      </c>
      <c r="G62">
        <f>E62*(1+F62)</f>
        <v>0</v>
      </c>
      <c r="H62" t="s">
        <v>754</v>
      </c>
      <c r="I62" t="s">
        <v>755</v>
      </c>
      <c r="J62" t="s">
        <v>166</v>
      </c>
      <c r="K62" s="24">
        <f>IF(AND(I62="",J62=""),"",MAX(IF(I62&lt;&gt;"",DATEVALUE(TRIM(RIGHT(SUBSTITUTE(I62,";",REPT(" ",50)),50))),0),IF(J62&lt;&gt;"",DATEVALUE(TRIM(RIGHT(SUBSTITUTE(J62,";",REPT(" ",50)),50))),0)))</f>
        <v>45986</v>
      </c>
      <c r="L62" s="24">
        <f ca="1">IF(K62="","",TODAY()-K62)</f>
        <v>13</v>
      </c>
      <c r="M62" t="s">
        <v>167</v>
      </c>
      <c r="N62">
        <f ca="1">IF(M62="","",IF(L62="",INDEX($F$69:$F$72,MATCH(M62,$C$69:$C$72,0)),IF(L62&lt;=INDEX($D$69:$D$72,MATCH(M62,$C$69:$C$72,0)),0,IF(L62&lt;=INDEX($E$69:$E$72,MATCH(M62,$C$69:$C$72,0)),INDEX($F$69:$F$72,MATCH(M62,$C$69:$C$72,0)),INDEX($G$69:$G$72,MATCH(M62,$C$69:$C$72,0))))))</f>
        <v>0</v>
      </c>
      <c r="O62">
        <f ca="1">G62+N62</f>
        <v>0</v>
      </c>
      <c r="P62" t="s">
        <v>168</v>
      </c>
      <c r="Q62" t="s">
        <v>350</v>
      </c>
      <c r="R62" t="s">
        <v>756</v>
      </c>
    </row>
    <row r="67" spans="3:7" x14ac:dyDescent="0.2">
      <c r="C67" s="53" t="s">
        <v>548</v>
      </c>
      <c r="D67" s="39"/>
      <c r="E67" s="39"/>
      <c r="F67" s="39"/>
      <c r="G67" s="40"/>
    </row>
    <row r="68" spans="3:7" x14ac:dyDescent="0.2">
      <c r="C68" s="30" t="s">
        <v>152</v>
      </c>
      <c r="D68" s="30" t="s">
        <v>549</v>
      </c>
      <c r="E68" s="30" t="s">
        <v>550</v>
      </c>
      <c r="F68" s="30" t="s">
        <v>551</v>
      </c>
      <c r="G68" s="28" t="s">
        <v>552</v>
      </c>
    </row>
    <row r="69" spans="3:7" x14ac:dyDescent="0.2">
      <c r="C69" s="7" t="s">
        <v>276</v>
      </c>
      <c r="D69" s="27">
        <v>90</v>
      </c>
      <c r="E69" s="27">
        <v>180</v>
      </c>
      <c r="F69" s="27">
        <v>5</v>
      </c>
      <c r="G69" s="29">
        <v>10</v>
      </c>
    </row>
    <row r="70" spans="3:7" x14ac:dyDescent="0.2">
      <c r="C70" s="8" t="s">
        <v>184</v>
      </c>
      <c r="D70">
        <v>180</v>
      </c>
      <c r="E70">
        <v>365</v>
      </c>
      <c r="F70">
        <v>3</v>
      </c>
      <c r="G70" s="14">
        <v>6</v>
      </c>
    </row>
    <row r="71" spans="3:7" x14ac:dyDescent="0.2">
      <c r="C71" s="8" t="s">
        <v>305</v>
      </c>
      <c r="D71">
        <v>365</v>
      </c>
      <c r="E71">
        <v>730</v>
      </c>
      <c r="F71">
        <v>2</v>
      </c>
      <c r="G71" s="14">
        <v>4</v>
      </c>
    </row>
    <row r="72" spans="3:7" x14ac:dyDescent="0.2">
      <c r="C72" s="9" t="s">
        <v>167</v>
      </c>
      <c r="D72" s="16">
        <v>9999</v>
      </c>
      <c r="E72" s="16">
        <v>9999</v>
      </c>
      <c r="F72" s="16">
        <v>0</v>
      </c>
      <c r="G72" s="17">
        <v>0</v>
      </c>
    </row>
    <row r="76" spans="3:7" ht="16" customHeight="1" thickBot="1" x14ac:dyDescent="0.25"/>
    <row r="77" spans="3:7" ht="16" customHeight="1" thickBot="1" x14ac:dyDescent="0.25">
      <c r="C77" s="48" t="s">
        <v>553</v>
      </c>
      <c r="D77" s="49"/>
      <c r="E77" s="50"/>
    </row>
    <row r="78" spans="3:7" x14ac:dyDescent="0.2">
      <c r="C78" s="45" t="s">
        <v>554</v>
      </c>
      <c r="D78" s="46"/>
      <c r="E78" s="8">
        <f ca="1">IF(COUNTIFS($A$4:$A$62,"A*",$C$4:$C$62,"&lt;&gt;")=0,"",AVERAGEIFS($O$4:$O$62,$A$4:$A$62,"A*",$C$4:$C$62,"&lt;&gt;"))</f>
        <v>6.3</v>
      </c>
    </row>
    <row r="79" spans="3:7" x14ac:dyDescent="0.2">
      <c r="C79" s="45" t="s">
        <v>555</v>
      </c>
      <c r="D79" s="46"/>
      <c r="E79" s="8">
        <f ca="1">IF(COUNTIFS($A$4:$A$62,"B*",$C$4:$C$62,"&lt;&gt;")=0,"",AVERAGEIFS($O$4:$O$62,$A$4:$A$62,"B*",$C$4:$C$62,"&lt;&gt;"))</f>
        <v>8.8125</v>
      </c>
    </row>
    <row r="80" spans="3:7" x14ac:dyDescent="0.2">
      <c r="C80" s="45" t="s">
        <v>556</v>
      </c>
      <c r="D80" s="46"/>
      <c r="E80" s="8">
        <f ca="1">IF(COUNTIFS($A$4:$A$62,"C*",$C$4:$C$62,"&lt;&gt;")=0,"",AVERAGEIFS($O$4:$O$62,$A$4:$A$62,"C*",$C$4:$C$62,"&lt;&gt;"))</f>
        <v>12.375</v>
      </c>
    </row>
    <row r="81" spans="3:5" x14ac:dyDescent="0.2">
      <c r="C81" s="45" t="s">
        <v>557</v>
      </c>
      <c r="D81" s="46"/>
      <c r="E81" s="8">
        <f ca="1">IF(COUNTIFS($A$4:$A$62,"D*",$C$4:$C$62,"&lt;&gt;")=0,"",AVERAGEIFS($O$4:$O$62,$A$4:$A$62,"D*",$C$4:$C$62,"&lt;&gt;"))</f>
        <v>1.3125</v>
      </c>
    </row>
    <row r="82" spans="3:5" x14ac:dyDescent="0.2">
      <c r="C82" s="45" t="s">
        <v>558</v>
      </c>
      <c r="D82" s="46"/>
      <c r="E82" s="8">
        <f ca="1">IF(COUNTIFS($A$4:$A$62,"E*",$C$4:$C$62,"&lt;&gt;")=0,"",AVERAGEIFS($O$4:$O$62,$A$4:$A$62,"E*",$C$4:$C$62,"&lt;&gt;"))</f>
        <v>7.6315789473684212</v>
      </c>
    </row>
    <row r="83" spans="3:5" x14ac:dyDescent="0.2">
      <c r="C83" s="45" t="s">
        <v>559</v>
      </c>
      <c r="D83" s="46"/>
      <c r="E83" s="8">
        <f ca="1">IF(COUNTIF($C$4:$C$62,"&lt;&gt;")=0,"",AVERAGEIFS($O$4:$O$62,$C$4:$C$62,"&lt;&gt;"))</f>
        <v>7.427083333333333</v>
      </c>
    </row>
    <row r="84" spans="3:5" x14ac:dyDescent="0.2">
      <c r="C84" s="45" t="s">
        <v>560</v>
      </c>
      <c r="D84" s="46"/>
      <c r="E84" s="8" t="str">
        <f ca="1">IF(E83="","",IF(E83&lt;3,"Very Low",IF(E83&lt;6,"Low",IF(E83&lt;9,"Medium",IF(E83&lt;12,"Medium-High","High")))))</f>
        <v>Medium</v>
      </c>
    </row>
    <row r="85" spans="3:5" x14ac:dyDescent="0.2">
      <c r="C85" s="51" t="s">
        <v>561</v>
      </c>
      <c r="D85" s="52"/>
      <c r="E85" s="9" t="str">
        <f ca="1">IF(COUNT($E$78:$E$82)=0,"",IF($E$78=MIN($E$78:$E$82),"A",IF($E$79=MIN($E$78:$E$82),"B",IF($E$80=MIN($E$78:$E$82),"C",IF($E$81=MIN($E$78:$E$82),"D","E")))))</f>
        <v>D</v>
      </c>
    </row>
  </sheetData>
  <mergeCells count="18">
    <mergeCell ref="C85:D85"/>
    <mergeCell ref="C82:D82"/>
    <mergeCell ref="C67:G67"/>
    <mergeCell ref="C80:D80"/>
    <mergeCell ref="C81:D81"/>
    <mergeCell ref="C84:D84"/>
    <mergeCell ref="C83:D83"/>
    <mergeCell ref="B40:R40"/>
    <mergeCell ref="B58:R58"/>
    <mergeCell ref="B10:R10"/>
    <mergeCell ref="B3:R3"/>
    <mergeCell ref="C77:E77"/>
    <mergeCell ref="C78:D78"/>
    <mergeCell ref="C79:D79"/>
    <mergeCell ref="B46:R46"/>
    <mergeCell ref="B20:D20"/>
    <mergeCell ref="B30:R30"/>
    <mergeCell ref="B53:R53"/>
  </mergeCells>
  <conditionalFormatting sqref="O3:O70">
    <cfRule type="colorScale" priority="3">
      <colorScale>
        <cfvo type="num" val="0"/>
        <cfvo type="percentile" val="50"/>
        <cfvo type="num" val="25"/>
        <color rgb="FF73FB79"/>
        <color rgb="FFFFFD78"/>
        <color rgb="FFFF2600"/>
      </colorScale>
    </cfRule>
  </conditionalFormatting>
  <conditionalFormatting sqref="P4:P62">
    <cfRule type="cellIs" dxfId="21" priority="8" stopIfTrue="1" operator="equal">
      <formula>"No Review"</formula>
    </cfRule>
    <cfRule type="cellIs" dxfId="20" priority="9" operator="equal">
      <formula>"Review Required"</formula>
    </cfRule>
  </conditionalFormatting>
  <dataValidations count="1">
    <dataValidation type="list" showInputMessage="1" showErrorMessage="1" sqref="M3:M8 M10:M18 M20:M28 M31:M38 M40:M62" xr:uid="{00000000-0002-0000-0200-000000000000}">
      <formula1>"Critical–Fast,Operational–Medium,Background–Slow,Evergreen–No Penalty"</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79"/>
  <sheetViews>
    <sheetView topLeftCell="G1" workbookViewId="0">
      <selection activeCell="K38" sqref="K38"/>
    </sheetView>
  </sheetViews>
  <sheetFormatPr baseColWidth="10" defaultColWidth="8.83203125" defaultRowHeight="15" x14ac:dyDescent="0.2"/>
  <cols>
    <col min="1" max="1" width="13" customWidth="1"/>
    <col min="2" max="2" width="235.5" customWidth="1"/>
    <col min="3" max="5" width="14.1640625" customWidth="1"/>
    <col min="6" max="6" width="17.5" customWidth="1"/>
    <col min="7" max="7" width="23.83203125" customWidth="1"/>
    <col min="8" max="10" width="14.1640625" customWidth="1"/>
    <col min="11" max="11" width="24" style="24" customWidth="1"/>
    <col min="12" max="12" width="18.33203125" customWidth="1"/>
    <col min="13" max="13" width="17.83203125" customWidth="1"/>
    <col min="14" max="14" width="16.33203125" customWidth="1"/>
    <col min="15" max="15" width="14.1640625" customWidth="1"/>
    <col min="16" max="16" width="18.5" customWidth="1"/>
    <col min="17" max="17" width="95.6640625" customWidth="1"/>
    <col min="18" max="18" width="66.6640625" customWidth="1"/>
    <col min="20" max="23" width="17.6640625" customWidth="1"/>
  </cols>
  <sheetData>
    <row r="1" spans="1:19" x14ac:dyDescent="0.2">
      <c r="A1" s="1" t="s">
        <v>140</v>
      </c>
      <c r="B1" s="1" t="s">
        <v>141</v>
      </c>
      <c r="C1" s="1" t="s">
        <v>142</v>
      </c>
      <c r="D1" s="1" t="s">
        <v>143</v>
      </c>
      <c r="E1" s="1" t="s">
        <v>144</v>
      </c>
      <c r="F1" s="1" t="s">
        <v>145</v>
      </c>
      <c r="G1" s="1" t="s">
        <v>146</v>
      </c>
      <c r="H1" s="1" t="s">
        <v>147</v>
      </c>
      <c r="I1" s="1" t="s">
        <v>148</v>
      </c>
      <c r="J1" s="1" t="s">
        <v>149</v>
      </c>
      <c r="K1" s="22" t="s">
        <v>150</v>
      </c>
      <c r="L1" s="1" t="s">
        <v>151</v>
      </c>
      <c r="M1" s="1" t="s">
        <v>152</v>
      </c>
      <c r="N1" s="1" t="s">
        <v>153</v>
      </c>
      <c r="O1" s="1" t="s">
        <v>154</v>
      </c>
      <c r="P1" s="1" t="s">
        <v>155</v>
      </c>
      <c r="Q1" s="1" t="s">
        <v>156</v>
      </c>
      <c r="R1" s="1" t="s">
        <v>157</v>
      </c>
      <c r="S1" t="s">
        <v>158</v>
      </c>
    </row>
    <row r="2" spans="1:19" x14ac:dyDescent="0.2">
      <c r="A2" s="4"/>
      <c r="B2" s="5" t="s">
        <v>757</v>
      </c>
      <c r="C2" s="4"/>
      <c r="D2" s="4"/>
      <c r="E2" s="4"/>
      <c r="F2" s="4"/>
      <c r="G2" s="4"/>
      <c r="H2" s="4"/>
      <c r="I2" s="4"/>
      <c r="J2" s="4"/>
      <c r="K2" s="23"/>
      <c r="L2" s="4"/>
      <c r="M2" s="4"/>
      <c r="N2" s="4"/>
      <c r="O2" s="4"/>
      <c r="P2" s="4"/>
      <c r="Q2" s="4"/>
      <c r="R2" s="4"/>
    </row>
    <row r="3" spans="1:19" x14ac:dyDescent="0.2">
      <c r="A3" s="3"/>
      <c r="B3" s="42"/>
      <c r="C3" s="43"/>
      <c r="D3" s="43"/>
      <c r="E3" s="43"/>
      <c r="F3" s="43"/>
      <c r="G3" s="43"/>
      <c r="H3" s="43"/>
      <c r="I3" s="43"/>
      <c r="J3" s="43"/>
      <c r="K3" s="44"/>
      <c r="L3" s="43"/>
      <c r="M3" s="43"/>
      <c r="N3" s="43"/>
      <c r="O3" s="43"/>
      <c r="P3" s="43"/>
      <c r="Q3" s="43"/>
      <c r="R3" s="43"/>
    </row>
    <row r="4" spans="1:19" x14ac:dyDescent="0.2">
      <c r="A4" t="s">
        <v>160</v>
      </c>
      <c r="B4" t="s">
        <v>758</v>
      </c>
      <c r="C4" t="s">
        <v>759</v>
      </c>
      <c r="D4" t="s">
        <v>163</v>
      </c>
      <c r="E4">
        <f>IF(C4="Transparent",0,IF(C4="Optional privacy",10,IF(C4="Native privacy coin",20,IF(C4="Unknown",10,""))))</f>
        <v>0</v>
      </c>
      <c r="F4">
        <f>IF(D4="High",0,IF(D4="Medium",0.05,IF(D4="Low",0.1,IF(D4="Unknown",0.15,""))))</f>
        <v>0</v>
      </c>
      <c r="G4">
        <f>E4*(1+F4)</f>
        <v>0</v>
      </c>
      <c r="H4" t="s">
        <v>760</v>
      </c>
      <c r="I4" t="s">
        <v>761</v>
      </c>
      <c r="J4" t="s">
        <v>166</v>
      </c>
      <c r="K4" s="24">
        <f>IF(AND(I4="",J4=""),"",MAX(IF(I4&lt;&gt;"",DATEVALUE(TRIM(RIGHT(SUBSTITUTE(I4,";",REPT(" ",50)),50))),0),IF(J4&lt;&gt;"",DATEVALUE(TRIM(RIGHT(SUBSTITUTE(J4,";",REPT(" ",50)),50))),0)))</f>
        <v>45986</v>
      </c>
      <c r="L4">
        <f ca="1">IF(K4="","",TODAY()-K4)</f>
        <v>13</v>
      </c>
      <c r="M4" t="s">
        <v>167</v>
      </c>
      <c r="N4">
        <f ca="1">IF(M4="","",IF(L4="",INDEX($F$63:$F$66,MATCH(M4,$C$63:$C$66,0)),IF(L4&lt;=INDEX($D$63:$D$66,MATCH(M4,$C$63:$C$66,0)),0,IF(L4&lt;=INDEX($E$63:$E$66,MATCH(M4,$C$63:$C$66,0)),INDEX($F$63:$F$66,MATCH(M4,$C$63:$C$66,0)),INDEX($G$63:$G$66,MATCH(M4,$C$63:$C$66,0))))))</f>
        <v>0</v>
      </c>
      <c r="O4">
        <f ca="1">G4+N4</f>
        <v>0</v>
      </c>
      <c r="P4" t="str">
        <f>IF(C4="Native privacy coin","Review Required","No Review")</f>
        <v>No Review</v>
      </c>
      <c r="Q4" t="s">
        <v>762</v>
      </c>
      <c r="R4" t="s">
        <v>763</v>
      </c>
    </row>
    <row r="5" spans="1:19" x14ac:dyDescent="0.2">
      <c r="A5" t="s">
        <v>171</v>
      </c>
      <c r="B5" t="s">
        <v>764</v>
      </c>
      <c r="C5" t="s">
        <v>765</v>
      </c>
      <c r="D5" t="s">
        <v>174</v>
      </c>
      <c r="E5">
        <f>IF(C5="None",0,IF(C5="Limited",10,IF(C5="Structural",20,IF(C5="Unknown",10,""))))</f>
        <v>0</v>
      </c>
      <c r="F5">
        <f>IF(D5="High",0,IF(D5="Medium",0.05,IF(D5="Low",0.1,IF(D5="Unknown",0.15,""))))</f>
        <v>0.05</v>
      </c>
      <c r="G5">
        <f>E5*(1+F5)</f>
        <v>0</v>
      </c>
      <c r="H5" t="s">
        <v>766</v>
      </c>
      <c r="I5" t="s">
        <v>767</v>
      </c>
      <c r="J5" t="s">
        <v>166</v>
      </c>
      <c r="K5" s="24">
        <f>IF(AND(I5="",J5=""),"",MAX(IF(I5&lt;&gt;"",DATEVALUE(TRIM(RIGHT(SUBSTITUTE(I5,";",REPT(" ",50)),50))),0),IF(J5&lt;&gt;"",DATEVALUE(TRIM(RIGHT(SUBSTITUTE(J5,";",REPT(" ",50)),50))),0)))</f>
        <v>45986</v>
      </c>
      <c r="L5">
        <f ca="1">IF(K5="","",TODAY()-K5)</f>
        <v>13</v>
      </c>
      <c r="M5" t="s">
        <v>167</v>
      </c>
      <c r="N5">
        <f ca="1">IF(M5="","",IF(L5="",INDEX($F$63:$F$66,MATCH(M5,$C$63:$C$66,0)),IF(L5&lt;=INDEX($D$63:$D$66,MATCH(M5,$C$63:$C$66,0)),0,IF(L5&lt;=INDEX($E$63:$E$66,MATCH(M5,$C$63:$C$66,0)),INDEX($F$63:$F$66,MATCH(M5,$C$63:$C$66,0)),INDEX($G$63:$G$66,MATCH(M5,$C$63:$C$66,0))))))</f>
        <v>0</v>
      </c>
      <c r="O5">
        <f ca="1">G5+N5</f>
        <v>0</v>
      </c>
      <c r="P5" t="str">
        <f>IF(C5="Structural","Review Required","No Review")</f>
        <v>No Review</v>
      </c>
      <c r="Q5" t="s">
        <v>768</v>
      </c>
      <c r="R5" t="s">
        <v>769</v>
      </c>
    </row>
    <row r="6" spans="1:19" x14ac:dyDescent="0.2">
      <c r="A6" t="s">
        <v>179</v>
      </c>
      <c r="B6" t="s">
        <v>770</v>
      </c>
      <c r="C6" t="s">
        <v>771</v>
      </c>
      <c r="D6" t="s">
        <v>174</v>
      </c>
      <c r="E6">
        <f>IF(C6="Full coverage",0,IF(C6="Partial coverage",10,IF(C6="Low coverage",20,IF(C6="Unknown",10,""))))</f>
        <v>0</v>
      </c>
      <c r="F6">
        <f>IF(D6="High",0,IF(D6="Medium",0.05,IF(D6="Low",0.1,IF(D6="Unknown",0.15,""))))</f>
        <v>0.05</v>
      </c>
      <c r="G6">
        <f>E6*(1+F6)</f>
        <v>0</v>
      </c>
      <c r="H6" t="s">
        <v>772</v>
      </c>
      <c r="J6" t="s">
        <v>250</v>
      </c>
      <c r="K6" s="24">
        <f>IF(AND(I6="",J6=""),"",MAX(IF(I6&lt;&gt;"",DATEVALUE(TRIM(RIGHT(SUBSTITUTE(I6,";",REPT(" ",50)),50))),0),IF(J6&lt;&gt;"",DATEVALUE(TRIM(RIGHT(SUBSTITUTE(J6,";",REPT(" ",50)),50))),0)))</f>
        <v>45986</v>
      </c>
      <c r="L6">
        <f ca="1">IF(K6="","",TODAY()-K6)</f>
        <v>13</v>
      </c>
      <c r="M6" t="s">
        <v>184</v>
      </c>
      <c r="N6">
        <f ca="1">IF(M6="","",IF(L6="",INDEX($F$63:$F$66,MATCH(M6,$C$63:$C$66,0)),IF(L6&lt;=INDEX($D$63:$D$66,MATCH(M6,$C$63:$C$66,0)),0,IF(L6&lt;=INDEX($E$63:$E$66,MATCH(M6,$C$63:$C$66,0)),INDEX($F$63:$F$66,MATCH(M6,$C$63:$C$66,0)),INDEX($G$63:$G$66,MATCH(M6,$C$63:$C$66,0))))))</f>
        <v>0</v>
      </c>
      <c r="O6">
        <f ca="1">G6+N6</f>
        <v>0</v>
      </c>
      <c r="P6" t="s">
        <v>168</v>
      </c>
      <c r="R6" t="s">
        <v>773</v>
      </c>
    </row>
    <row r="7" spans="1:19" x14ac:dyDescent="0.2">
      <c r="A7" t="s">
        <v>201</v>
      </c>
      <c r="B7" t="s">
        <v>774</v>
      </c>
      <c r="C7" t="s">
        <v>775</v>
      </c>
      <c r="D7" t="s">
        <v>174</v>
      </c>
      <c r="E7">
        <v>0</v>
      </c>
      <c r="F7">
        <f>IF(D7="High",0,IF(D7="Medium",0.05,IF(D7="Low",0.1,IF(D7="Unknown",0.15,""))))</f>
        <v>0.05</v>
      </c>
      <c r="G7">
        <f>E7*(1+F7)</f>
        <v>0</v>
      </c>
      <c r="H7" t="s">
        <v>776</v>
      </c>
      <c r="J7" t="s">
        <v>250</v>
      </c>
      <c r="K7" s="24">
        <f>IF(AND(I7="",J7=""),"",MAX(IF(I7&lt;&gt;"",DATEVALUE(TRIM(RIGHT(SUBSTITUTE(I7,";",REPT(" ",50)),50))),0),IF(J7&lt;&gt;"",DATEVALUE(TRIM(RIGHT(SUBSTITUTE(J7,";",REPT(" ",50)),50))),0)))</f>
        <v>45986</v>
      </c>
      <c r="L7">
        <f ca="1">IF(K7="","",TODAY()-K7)</f>
        <v>13</v>
      </c>
      <c r="M7" t="s">
        <v>305</v>
      </c>
      <c r="N7">
        <f ca="1">IF(M7="","",IF(L7="",INDEX($F$63:$F$66,MATCH(M7,$C$63:$C$66,0)),IF(L7&lt;=INDEX($D$63:$D$66,MATCH(M7,$C$63:$C$66,0)),0,IF(L7&lt;=INDEX($E$63:$E$66,MATCH(M7,$C$63:$C$66,0)),INDEX($F$63:$F$66,MATCH(M7,$C$63:$C$66,0)),INDEX($G$63:$G$66,MATCH(M7,$C$63:$C$66,0))))))</f>
        <v>0</v>
      </c>
      <c r="O7">
        <f ca="1">G7+N7</f>
        <v>0</v>
      </c>
      <c r="P7" t="s">
        <v>168</v>
      </c>
      <c r="Q7" t="s">
        <v>441</v>
      </c>
      <c r="R7" t="s">
        <v>777</v>
      </c>
    </row>
    <row r="8" spans="1:19" x14ac:dyDescent="0.2">
      <c r="A8" s="3"/>
      <c r="B8" s="42"/>
      <c r="C8" s="43"/>
      <c r="D8" s="43"/>
      <c r="E8" s="43"/>
      <c r="F8" s="43"/>
      <c r="G8" s="43"/>
      <c r="H8" s="43"/>
      <c r="I8" s="43"/>
      <c r="J8" s="43"/>
      <c r="K8" s="44"/>
      <c r="L8" s="43"/>
      <c r="M8" s="43"/>
      <c r="N8" s="43"/>
      <c r="O8" s="43"/>
      <c r="P8" s="43"/>
      <c r="Q8" s="43"/>
      <c r="R8" s="43"/>
    </row>
    <row r="9" spans="1:19" x14ac:dyDescent="0.2">
      <c r="A9" t="s">
        <v>208</v>
      </c>
      <c r="B9" t="s">
        <v>778</v>
      </c>
      <c r="C9" t="s">
        <v>779</v>
      </c>
      <c r="D9" t="s">
        <v>174</v>
      </c>
      <c r="E9">
        <f>IF(C9="On-chain dominant",0,IF(C9="Mixed",10,IF(C9="Off-chain/opaque dominant",20,IF(C9="Unknown",10,""))))</f>
        <v>20</v>
      </c>
      <c r="F9">
        <f>IF(D9="High",0,IF(D9="Medium",0.05,IF(D9="Low",0.1,IF(D9="Unknown",0.15,""))))</f>
        <v>0.05</v>
      </c>
      <c r="G9">
        <f>E9*(1+F9)</f>
        <v>21</v>
      </c>
      <c r="H9" t="s">
        <v>780</v>
      </c>
      <c r="I9" t="s">
        <v>781</v>
      </c>
      <c r="J9" t="s">
        <v>166</v>
      </c>
      <c r="K9" s="24">
        <f>IF(AND(I9="",J9=""),"",MAX(IF(I9&lt;&gt;"",DATEVALUE(TRIM(RIGHT(SUBSTITUTE(I9,";",REPT(" ",50)),50))),0),IF(J9&lt;&gt;"",DATEVALUE(TRIM(RIGHT(SUBSTITUTE(J9,";",REPT(" ",50)),50))),0)))</f>
        <v>45986</v>
      </c>
      <c r="L9">
        <f ca="1">IF(K9="","",TODAY()-K9)</f>
        <v>13</v>
      </c>
      <c r="M9" t="s">
        <v>184</v>
      </c>
      <c r="N9">
        <f ca="1">IF(M9="","",IF(L9="",INDEX($F$63:$F$66,MATCH(M9,$C$63:$C$66,0)),IF(L9&lt;=INDEX($D$63:$D$66,MATCH(M9,$C$63:$C$66,0)),0,IF(L9&lt;=INDEX($E$63:$E$66,MATCH(M9,$C$63:$C$66,0)),INDEX($F$63:$F$66,MATCH(M9,$C$63:$C$66,0)),INDEX($G$63:$G$66,MATCH(M9,$C$63:$C$66,0))))))</f>
        <v>0</v>
      </c>
      <c r="O9">
        <f ca="1">G9+N9</f>
        <v>21</v>
      </c>
      <c r="P9" t="s">
        <v>168</v>
      </c>
      <c r="Q9" t="s">
        <v>782</v>
      </c>
      <c r="R9" t="s">
        <v>783</v>
      </c>
    </row>
    <row r="10" spans="1:19" x14ac:dyDescent="0.2">
      <c r="A10" t="s">
        <v>214</v>
      </c>
      <c r="B10" t="s">
        <v>784</v>
      </c>
      <c r="C10" t="s">
        <v>785</v>
      </c>
      <c r="D10" t="s">
        <v>174</v>
      </c>
      <c r="E10">
        <f>IF(C10="Rare",0,IF(C10="Occasional",10,IF(C10="Frequent/structural",20,IF(C10="Unknown",10,""))))</f>
        <v>0</v>
      </c>
      <c r="F10">
        <f>IF(D10="High",0,IF(D10="Medium",0.05,IF(D10="Low",0.1,IF(D10="Unknown",0.15,""))))</f>
        <v>0.05</v>
      </c>
      <c r="G10">
        <f>E10*(1+F10)</f>
        <v>0</v>
      </c>
      <c r="H10" t="s">
        <v>786</v>
      </c>
      <c r="I10" t="s">
        <v>787</v>
      </c>
      <c r="J10" t="s">
        <v>250</v>
      </c>
      <c r="K10" s="24">
        <f>IF(AND(I10="",J10=""),"",MAX(IF(I10&lt;&gt;"",DATEVALUE(TRIM(RIGHT(SUBSTITUTE(I10,";",REPT(" ",50)),50))),0),IF(J10&lt;&gt;"",DATEVALUE(TRIM(RIGHT(SUBSTITUTE(J10,";",REPT(" ",50)),50))),0)))</f>
        <v>45986</v>
      </c>
      <c r="L10">
        <f ca="1">IF(K10="","",TODAY()-K10)</f>
        <v>13</v>
      </c>
      <c r="M10" t="s">
        <v>184</v>
      </c>
      <c r="N10">
        <f ca="1">IF(M10="","",IF(L10="",INDEX($F$63:$F$66,MATCH(M10,$C$63:$C$66,0)),IF(L10&lt;=INDEX($D$63:$D$66,MATCH(M10,$C$63:$C$66,0)),0,IF(L10&lt;=INDEX($E$63:$E$66,MATCH(M10,$C$63:$C$66,0)),INDEX($F$63:$F$66,MATCH(M10,$C$63:$C$66,0)),INDEX($G$63:$G$66,MATCH(M10,$C$63:$C$66,0))))))</f>
        <v>0</v>
      </c>
      <c r="O10">
        <f ca="1">G10+N10</f>
        <v>0</v>
      </c>
      <c r="P10" t="s">
        <v>168</v>
      </c>
      <c r="Q10" t="s">
        <v>788</v>
      </c>
      <c r="R10" t="s">
        <v>789</v>
      </c>
    </row>
    <row r="11" spans="1:19" x14ac:dyDescent="0.2">
      <c r="A11" t="s">
        <v>220</v>
      </c>
      <c r="B11" t="s">
        <v>790</v>
      </c>
      <c r="C11" t="s">
        <v>791</v>
      </c>
      <c r="D11" t="s">
        <v>174</v>
      </c>
      <c r="E11">
        <f>IF(C11="No material usage",0,IF(C11="Some usage",10,IF(C11="Heavy/structural usage",20,IF(C11="Unknown",10,""))))</f>
        <v>0</v>
      </c>
      <c r="F11">
        <f>IF(D11="High",0,IF(D11="Medium",0.05,IF(D11="Low",0.1,IF(D11="Unknown",0.15,""))))</f>
        <v>0.05</v>
      </c>
      <c r="G11">
        <f>E11*(1+F11)</f>
        <v>0</v>
      </c>
      <c r="H11" t="s">
        <v>792</v>
      </c>
      <c r="I11" t="s">
        <v>793</v>
      </c>
      <c r="J11" t="s">
        <v>166</v>
      </c>
      <c r="K11" s="24">
        <f>IF(AND(I11="",J11=""),"",MAX(IF(I11&lt;&gt;"",DATEVALUE(TRIM(RIGHT(SUBSTITUTE(I11,";",REPT(" ",50)),50))),0),IF(J11&lt;&gt;"",DATEVALUE(TRIM(RIGHT(SUBSTITUTE(J11,";",REPT(" ",50)),50))),0)))</f>
        <v>45986</v>
      </c>
      <c r="L11">
        <f ca="1">IF(K11="","",TODAY()-K11)</f>
        <v>13</v>
      </c>
      <c r="M11" t="s">
        <v>184</v>
      </c>
      <c r="N11">
        <f ca="1">IF(M11="","",IF(L11="",INDEX($F$63:$F$66,MATCH(M11,$C$63:$C$66,0)),IF(L11&lt;=INDEX($D$63:$D$66,MATCH(M11,$C$63:$C$66,0)),0,IF(L11&lt;=INDEX($E$63:$E$66,MATCH(M11,$C$63:$C$66,0)),INDEX($F$63:$F$66,MATCH(M11,$C$63:$C$66,0)),INDEX($G$63:$G$66,MATCH(M11,$C$63:$C$66,0))))))</f>
        <v>0</v>
      </c>
      <c r="O11">
        <f ca="1">G11+N11</f>
        <v>0</v>
      </c>
      <c r="P11" t="str">
        <f>IF(C11="Heavy/structural usage","Review Required","No Review")</f>
        <v>No Review</v>
      </c>
      <c r="Q11" t="s">
        <v>794</v>
      </c>
      <c r="R11" t="s">
        <v>795</v>
      </c>
    </row>
    <row r="12" spans="1:19" x14ac:dyDescent="0.2">
      <c r="A12" t="s">
        <v>225</v>
      </c>
      <c r="B12" t="s">
        <v>796</v>
      </c>
      <c r="C12" t="s">
        <v>797</v>
      </c>
      <c r="D12" t="s">
        <v>174</v>
      </c>
      <c r="E12">
        <v>0</v>
      </c>
      <c r="F12">
        <f>IF(D12="High",0,IF(D12="Medium",0.05,IF(D12="Low",0.1,IF(D12="Unknown",0.15,""))))</f>
        <v>0.05</v>
      </c>
      <c r="G12">
        <f>E12*(1+F12)</f>
        <v>0</v>
      </c>
      <c r="H12" t="s">
        <v>798</v>
      </c>
      <c r="I12" t="s">
        <v>799</v>
      </c>
      <c r="J12" t="s">
        <v>166</v>
      </c>
      <c r="K12" s="24">
        <f>IF(AND(I12="",J12=""),"",MAX(IF(I12&lt;&gt;"",DATEVALUE(TRIM(RIGHT(SUBSTITUTE(I12,";",REPT(" ",50)),50))),0),IF(J12&lt;&gt;"",DATEVALUE(TRIM(RIGHT(SUBSTITUTE(J12,";",REPT(" ",50)),50))),0)))</f>
        <v>45986</v>
      </c>
      <c r="L12">
        <f ca="1">IF(K12="","",TODAY()-K12)</f>
        <v>13</v>
      </c>
      <c r="M12" t="s">
        <v>305</v>
      </c>
      <c r="N12">
        <f ca="1">IF(M12="","",IF(L12="",INDEX($F$63:$F$66,MATCH(M12,$C$63:$C$66,0)),IF(L12&lt;=INDEX($D$63:$D$66,MATCH(M12,$C$63:$C$66,0)),0,IF(L12&lt;=INDEX($E$63:$E$66,MATCH(M12,$C$63:$C$66,0)),INDEX($F$63:$F$66,MATCH(M12,$C$63:$C$66,0)),INDEX($G$63:$G$66,MATCH(M12,$C$63:$C$66,0))))))</f>
        <v>0</v>
      </c>
      <c r="O12">
        <f ca="1">G12+N12</f>
        <v>0</v>
      </c>
      <c r="P12" t="s">
        <v>168</v>
      </c>
      <c r="Q12" t="s">
        <v>441</v>
      </c>
      <c r="R12" t="s">
        <v>800</v>
      </c>
    </row>
    <row r="13" spans="1:19" x14ac:dyDescent="0.2">
      <c r="A13" s="4"/>
      <c r="B13" s="5" t="s">
        <v>801</v>
      </c>
      <c r="C13" s="4"/>
      <c r="D13" s="4"/>
      <c r="E13" s="4"/>
      <c r="F13" s="4"/>
      <c r="G13" s="4"/>
      <c r="H13" s="4"/>
      <c r="I13" s="4"/>
      <c r="J13" s="4"/>
      <c r="K13" s="23"/>
      <c r="L13" s="4"/>
      <c r="M13" s="4"/>
      <c r="N13" s="4" t="str">
        <f>IF(M13="","",IF(L13="",INDEX($F$63:$F$66,MATCH(M13,$C$63:$C$66,0)),IF(L13&lt;=INDEX($D$63:$D$66,MATCH(M13,$C$63:$C$66,0)),0,IF(L13&lt;=INDEX($E$63:$E$66,MATCH(M13,$C$63:$C$66,0)),INDEX($F$63:$F$66,MATCH(M13,$C$63:$C$66,0)),INDEX($G$63:$G$66,MATCH(M13,$C$63:$C$66,0))))))</f>
        <v/>
      </c>
      <c r="O13" s="4"/>
      <c r="P13" s="4"/>
      <c r="Q13" s="4"/>
      <c r="R13" s="4"/>
    </row>
    <row r="14" spans="1:19" x14ac:dyDescent="0.2">
      <c r="A14" s="3"/>
      <c r="B14" s="42"/>
      <c r="C14" s="43"/>
      <c r="D14" s="43"/>
      <c r="E14" s="43"/>
      <c r="F14" s="43"/>
      <c r="G14" s="43"/>
      <c r="H14" s="43"/>
      <c r="I14" s="43"/>
      <c r="J14" s="43"/>
      <c r="K14" s="44"/>
      <c r="L14" s="43"/>
      <c r="M14" s="43"/>
      <c r="N14" s="43"/>
      <c r="O14" s="43"/>
      <c r="P14" s="43"/>
      <c r="Q14" s="43"/>
      <c r="R14" s="43"/>
    </row>
    <row r="15" spans="1:19" x14ac:dyDescent="0.2">
      <c r="A15" t="s">
        <v>245</v>
      </c>
      <c r="B15" t="s">
        <v>802</v>
      </c>
      <c r="C15" t="s">
        <v>210</v>
      </c>
      <c r="D15" t="s">
        <v>174</v>
      </c>
      <c r="E15">
        <f>IF(C15="No",0,IF(C15="Indirect association only",10,IF(C15="Direct listing / designation",20,IF(C15="Unknown",10,""))))</f>
        <v>0</v>
      </c>
      <c r="F15">
        <f>IF(D15="High",0,IF(D15="Medium",0.05,IF(D15="Low",0.1,IF(D15="Unknown",0.15,""))))</f>
        <v>0.05</v>
      </c>
      <c r="G15">
        <f>E15*(1+F15)</f>
        <v>0</v>
      </c>
      <c r="H15" t="s">
        <v>803</v>
      </c>
      <c r="I15" t="s">
        <v>804</v>
      </c>
      <c r="J15" t="s">
        <v>166</v>
      </c>
      <c r="K15" s="24">
        <f>IF(AND(I15="",J15=""),"",MAX(IF(I15&lt;&gt;"",DATEVALUE(TRIM(RIGHT(SUBSTITUTE(I15,";",REPT(" ",50)),50))),0),IF(J15&lt;&gt;"",DATEVALUE(TRIM(RIGHT(SUBSTITUTE(J15,";",REPT(" ",50)),50))),0)))</f>
        <v>45986</v>
      </c>
      <c r="L15">
        <f ca="1">IF(K15="","",TODAY()-K15)</f>
        <v>13</v>
      </c>
      <c r="M15" t="s">
        <v>276</v>
      </c>
      <c r="N15">
        <f ca="1">IF(M15="","",IF(L15="",INDEX($F$63:$F$66,MATCH(M15,$C$63:$C$66,0)),IF(L15&lt;=INDEX($D$63:$D$66,MATCH(M15,$C$63:$C$66,0)),0,IF(L15&lt;=INDEX($E$63:$E$66,MATCH(M15,$C$63:$C$66,0)),INDEX($F$63:$F$66,MATCH(M15,$C$63:$C$66,0)),INDEX($G$63:$G$66,MATCH(M15,$C$63:$C$66,0))))))</f>
        <v>0</v>
      </c>
      <c r="O15">
        <f ca="1">G15+N15</f>
        <v>0</v>
      </c>
      <c r="P15" t="str">
        <f>IF(C15="Direct listing / designation","Review Required","No Review")</f>
        <v>No Review</v>
      </c>
      <c r="Q15" t="s">
        <v>805</v>
      </c>
      <c r="R15" t="s">
        <v>806</v>
      </c>
    </row>
    <row r="16" spans="1:19" x14ac:dyDescent="0.2">
      <c r="A16" t="s">
        <v>252</v>
      </c>
      <c r="B16" t="s">
        <v>807</v>
      </c>
      <c r="C16" t="s">
        <v>808</v>
      </c>
      <c r="D16" t="s">
        <v>174</v>
      </c>
      <c r="E16">
        <f>IF(C16="None disclosed",0,IF(C16="Under investigation / warning",10,IF(C16="Fined / enforcement for sanctions issues",20,IF(C16="Unknown",10,""))))</f>
        <v>0</v>
      </c>
      <c r="F16">
        <f>IF(D16="High",0,IF(D16="Medium",0.05,IF(D16="Low",0.1,IF(D16="Unknown",0.15,""))))</f>
        <v>0.05</v>
      </c>
      <c r="G16">
        <f>E16*(1+F16)</f>
        <v>0</v>
      </c>
      <c r="H16" t="s">
        <v>809</v>
      </c>
      <c r="I16" t="s">
        <v>810</v>
      </c>
      <c r="J16" t="s">
        <v>166</v>
      </c>
      <c r="K16" s="24">
        <f>IF(AND(I16="",J16=""),"",MAX(IF(I16&lt;&gt;"",DATEVALUE(TRIM(RIGHT(SUBSTITUTE(I16,";",REPT(" ",50)),50))),0),IF(J16&lt;&gt;"",DATEVALUE(TRIM(RIGHT(SUBSTITUTE(J16,";",REPT(" ",50)),50))),0)))</f>
        <v>45986</v>
      </c>
      <c r="L16">
        <f ca="1">IF(K16="","",TODAY()-K16)</f>
        <v>13</v>
      </c>
      <c r="M16" t="s">
        <v>276</v>
      </c>
      <c r="N16">
        <f ca="1">IF(M16="","",IF(L16="",INDEX($F$63:$F$66,MATCH(M16,$C$63:$C$66,0)),IF(L16&lt;=INDEX($D$63:$D$66,MATCH(M16,$C$63:$C$66,0)),0,IF(L16&lt;=INDEX($E$63:$E$66,MATCH(M16,$C$63:$C$66,0)),INDEX($F$63:$F$66,MATCH(M16,$C$63:$C$66,0)),INDEX($G$63:$G$66,MATCH(M16,$C$63:$C$66,0))))))</f>
        <v>0</v>
      </c>
      <c r="O16">
        <f ca="1">G16+N16</f>
        <v>0</v>
      </c>
      <c r="P16" t="str">
        <f>IF(C16="Fined / enforcement for sanctions issues","Review Required","No Review")</f>
        <v>No Review</v>
      </c>
      <c r="Q16" t="s">
        <v>811</v>
      </c>
      <c r="R16" t="s">
        <v>812</v>
      </c>
    </row>
    <row r="17" spans="1:18" x14ac:dyDescent="0.2">
      <c r="A17" t="s">
        <v>257</v>
      </c>
      <c r="B17" t="s">
        <v>813</v>
      </c>
      <c r="C17" t="s">
        <v>814</v>
      </c>
      <c r="D17" t="s">
        <v>174</v>
      </c>
      <c r="E17">
        <f>IF(C17="No material link",0,IF(C17="Some flagged flows",10,IF(C17="Heavy / structural involvement",20,IF(C17="Unknown",10,""))))</f>
        <v>0</v>
      </c>
      <c r="F17">
        <f>IF(D17="High",0,IF(D17="Medium",0.05,IF(D17="Low",0.1,IF(D17="Unknown",0.15,""))))</f>
        <v>0.05</v>
      </c>
      <c r="G17">
        <f>E17*(1+F17)</f>
        <v>0</v>
      </c>
      <c r="H17" t="s">
        <v>815</v>
      </c>
      <c r="I17" t="s">
        <v>816</v>
      </c>
      <c r="J17" t="s">
        <v>166</v>
      </c>
      <c r="K17" s="24">
        <f>IF(AND(I17="",J17=""),"",MAX(IF(I17&lt;&gt;"",DATEVALUE(TRIM(RIGHT(SUBSTITUTE(I17,";",REPT(" ",50)),50))),0),IF(J17&lt;&gt;"",DATEVALUE(TRIM(RIGHT(SUBSTITUTE(J17,";",REPT(" ",50)),50))),0)))</f>
        <v>45986</v>
      </c>
      <c r="L17">
        <f ca="1">IF(K17="","",TODAY()-K17)</f>
        <v>13</v>
      </c>
      <c r="M17" t="s">
        <v>276</v>
      </c>
      <c r="N17">
        <f ca="1">IF(M17="","",IF(L17="",INDEX($F$63:$F$66,MATCH(M17,$C$63:$C$66,0)),IF(L17&lt;=INDEX($D$63:$D$66,MATCH(M17,$C$63:$C$66,0)),0,IF(L17&lt;=INDEX($E$63:$E$66,MATCH(M17,$C$63:$C$66,0)),INDEX($F$63:$F$66,MATCH(M17,$C$63:$C$66,0)),INDEX($G$63:$G$66,MATCH(M17,$C$63:$C$66,0))))))</f>
        <v>0</v>
      </c>
      <c r="O17">
        <f ca="1">G17+N17</f>
        <v>0</v>
      </c>
      <c r="P17" t="str">
        <f>IF(C17="Heavy / structural involvement","Review Required","No Review")</f>
        <v>No Review</v>
      </c>
      <c r="Q17" t="s">
        <v>817</v>
      </c>
      <c r="R17" t="s">
        <v>818</v>
      </c>
    </row>
    <row r="18" spans="1:18" x14ac:dyDescent="0.2">
      <c r="A18" t="s">
        <v>621</v>
      </c>
      <c r="B18" t="s">
        <v>819</v>
      </c>
      <c r="C18" t="s">
        <v>820</v>
      </c>
      <c r="D18" t="s">
        <v>174</v>
      </c>
      <c r="E18">
        <v>0</v>
      </c>
      <c r="F18">
        <f>IF(D18="High",0,IF(D18="Medium",0.05,IF(D18="Low",0.1,IF(D18="Unknown",0.15,""))))</f>
        <v>0.05</v>
      </c>
      <c r="G18">
        <f>E18*(1+F18)</f>
        <v>0</v>
      </c>
      <c r="H18" t="s">
        <v>821</v>
      </c>
      <c r="I18" t="s">
        <v>822</v>
      </c>
      <c r="J18" t="s">
        <v>166</v>
      </c>
      <c r="K18" s="24">
        <f>IF(AND(I18="",J18=""),"",MAX(IF(I18&lt;&gt;"",DATEVALUE(TRIM(RIGHT(SUBSTITUTE(I18,";",REPT(" ",50)),50))),0),IF(J18&lt;&gt;"",DATEVALUE(TRIM(RIGHT(SUBSTITUTE(J18,";",REPT(" ",50)),50))),0)))</f>
        <v>45986</v>
      </c>
      <c r="L18">
        <f ca="1">IF(K18="","",TODAY()-K18)</f>
        <v>13</v>
      </c>
      <c r="M18" t="s">
        <v>276</v>
      </c>
      <c r="N18">
        <f ca="1">IF(M18="","",IF(L18="",INDEX($F$63:$F$66,MATCH(M18,$C$63:$C$66,0)),IF(L18&lt;=INDEX($D$63:$D$66,MATCH(M18,$C$63:$C$66,0)),0,IF(L18&lt;=INDEX($E$63:$E$66,MATCH(M18,$C$63:$C$66,0)),INDEX($F$63:$F$66,MATCH(M18,$C$63:$C$66,0)),INDEX($G$63:$G$66,MATCH(M18,$C$63:$C$66,0))))))</f>
        <v>0</v>
      </c>
      <c r="O18">
        <f ca="1">G18+N18</f>
        <v>0</v>
      </c>
      <c r="P18" t="s">
        <v>168</v>
      </c>
      <c r="Q18" t="s">
        <v>823</v>
      </c>
      <c r="R18" t="s">
        <v>824</v>
      </c>
    </row>
    <row r="19" spans="1:18" x14ac:dyDescent="0.2">
      <c r="A19" s="3"/>
      <c r="B19" s="42"/>
      <c r="C19" s="43"/>
      <c r="D19" s="43"/>
      <c r="E19" s="43"/>
      <c r="F19" s="43"/>
      <c r="G19" s="43"/>
      <c r="H19" s="43"/>
      <c r="I19" s="43"/>
      <c r="J19" s="43"/>
      <c r="K19" s="44"/>
      <c r="L19" s="43"/>
      <c r="M19" s="43"/>
      <c r="N19" s="43"/>
      <c r="O19" s="43"/>
      <c r="P19" s="43"/>
      <c r="Q19" s="43"/>
      <c r="R19" s="43"/>
    </row>
    <row r="20" spans="1:18" x14ac:dyDescent="0.2">
      <c r="A20" t="s">
        <v>273</v>
      </c>
      <c r="B20" t="s">
        <v>825</v>
      </c>
      <c r="C20" t="s">
        <v>275</v>
      </c>
      <c r="D20" t="s">
        <v>174</v>
      </c>
      <c r="E20">
        <f>IF(C20="Low (&lt;5%)",0,IF(C20="Moderate (5–20%)",10,IF(C20="High (&gt;20%)",20,IF(C20="Unknown",10,""))))</f>
        <v>10</v>
      </c>
      <c r="F20">
        <f>IF(D20="High",0,IF(D20="Medium",0.05,IF(D20="Low",0.1,IF(D20="Unknown",0.15,""))))</f>
        <v>0.05</v>
      </c>
      <c r="G20">
        <f>E20*(1+F20)</f>
        <v>10.5</v>
      </c>
      <c r="H20" t="s">
        <v>826</v>
      </c>
      <c r="I20" t="s">
        <v>827</v>
      </c>
      <c r="J20" t="s">
        <v>166</v>
      </c>
      <c r="K20" s="24">
        <f>IF(AND(I20="",J20=""),"",MAX(IF(I20&lt;&gt;"",DATEVALUE(TRIM(RIGHT(SUBSTITUTE(I20,";",REPT(" ",50)),50))),0),IF(J20&lt;&gt;"",DATEVALUE(TRIM(RIGHT(SUBSTITUTE(J20,";",REPT(" ",50)),50))),0)))</f>
        <v>45986</v>
      </c>
      <c r="L20">
        <f ca="1">IF(K20="","",TODAY()-K20)</f>
        <v>13</v>
      </c>
      <c r="M20" t="s">
        <v>184</v>
      </c>
      <c r="N20">
        <f ca="1">IF(M20="","",IF(L20="",INDEX($F$63:$F$66,MATCH(M20,$C$63:$C$66,0)),IF(L20&lt;=INDEX($D$63:$D$66,MATCH(M20,$C$63:$C$66,0)),0,IF(L20&lt;=INDEX($E$63:$E$66,MATCH(M20,$C$63:$C$66,0)),INDEX($F$63:$F$66,MATCH(M20,$C$63:$C$66,0)),INDEX($G$63:$G$66,MATCH(M20,$C$63:$C$66,0))))))</f>
        <v>0</v>
      </c>
      <c r="O20">
        <f ca="1">G20+N20</f>
        <v>10.5</v>
      </c>
      <c r="P20" t="str">
        <f>IF(C20="High (&gt;20%)","Review Required","No Review")</f>
        <v>No Review</v>
      </c>
      <c r="Q20" t="s">
        <v>828</v>
      </c>
      <c r="R20" t="s">
        <v>829</v>
      </c>
    </row>
    <row r="21" spans="1:18" x14ac:dyDescent="0.2">
      <c r="A21" t="s">
        <v>280</v>
      </c>
      <c r="B21" t="s">
        <v>830</v>
      </c>
      <c r="C21" t="s">
        <v>831</v>
      </c>
      <c r="D21" t="s">
        <v>174</v>
      </c>
      <c r="E21">
        <f>IF(C21="No material presence",0,IF(C21="Some presence",10,IF(C21="Primary base / heavy presence",20,IF(C21="Unknown",10,""))))</f>
        <v>0</v>
      </c>
      <c r="F21">
        <f>IF(D21="High",0,IF(D21="Medium",0.05,IF(D21="Low",0.1,IF(D21="Unknown",0.15,""))))</f>
        <v>0.05</v>
      </c>
      <c r="G21">
        <f>E21*(1+F21)</f>
        <v>0</v>
      </c>
      <c r="H21" t="s">
        <v>832</v>
      </c>
      <c r="I21" t="s">
        <v>833</v>
      </c>
      <c r="J21" t="s">
        <v>166</v>
      </c>
      <c r="K21" s="24">
        <f>IF(AND(I21="",J21=""),"",MAX(IF(I21&lt;&gt;"",DATEVALUE(TRIM(RIGHT(SUBSTITUTE(I21,";",REPT(" ",50)),50))),0),IF(J21&lt;&gt;"",DATEVALUE(TRIM(RIGHT(SUBSTITUTE(J21,";",REPT(" ",50)),50))),0)))</f>
        <v>45986</v>
      </c>
      <c r="L21">
        <f ca="1">IF(K21="","",TODAY()-K21)</f>
        <v>13</v>
      </c>
      <c r="M21" t="s">
        <v>184</v>
      </c>
      <c r="N21">
        <f ca="1">IF(M21="","",IF(L21="",INDEX($F$63:$F$66,MATCH(M21,$C$63:$C$66,0)),IF(L21&lt;=INDEX($D$63:$D$66,MATCH(M21,$C$63:$C$66,0)),0,IF(L21&lt;=INDEX($E$63:$E$66,MATCH(M21,$C$63:$C$66,0)),INDEX($F$63:$F$66,MATCH(M21,$C$63:$C$66,0)),INDEX($G$63:$G$66,MATCH(M21,$C$63:$C$66,0))))))</f>
        <v>0</v>
      </c>
      <c r="O21">
        <f ca="1">G21+N21</f>
        <v>0</v>
      </c>
      <c r="P21" t="str">
        <f>IF(C21="Primary base / heavy presence","Review Required","No Review")</f>
        <v>No Review</v>
      </c>
      <c r="Q21" t="s">
        <v>834</v>
      </c>
      <c r="R21" t="s">
        <v>835</v>
      </c>
    </row>
    <row r="22" spans="1:18" x14ac:dyDescent="0.2">
      <c r="A22" t="s">
        <v>285</v>
      </c>
      <c r="B22" t="s">
        <v>836</v>
      </c>
      <c r="C22" t="s">
        <v>837</v>
      </c>
      <c r="D22" t="s">
        <v>174</v>
      </c>
      <c r="E22">
        <f>IF(C22="Limited / none",0,IF(C22="Moderate exposure",10,IF(C22="High / structural exposure",20,IF(C22="Unknown",10,""))))</f>
        <v>20</v>
      </c>
      <c r="F22">
        <f>IF(D22="High",0,IF(D22="Medium",0.05,IF(D22="Low",0.1,IF(D22="Unknown",0.15,""))))</f>
        <v>0.05</v>
      </c>
      <c r="G22">
        <f>E22*(1+F22)</f>
        <v>21</v>
      </c>
      <c r="H22" t="s">
        <v>838</v>
      </c>
      <c r="I22" t="s">
        <v>839</v>
      </c>
      <c r="J22" t="s">
        <v>250</v>
      </c>
      <c r="K22" s="24">
        <f>IF(AND(I22="",J22=""),"",MAX(IF(I22&lt;&gt;"",DATEVALUE(TRIM(RIGHT(SUBSTITUTE(I22,";",REPT(" ",50)),50))),0),IF(J22&lt;&gt;"",DATEVALUE(TRIM(RIGHT(SUBSTITUTE(J22,";",REPT(" ",50)),50))),0)))</f>
        <v>45986</v>
      </c>
      <c r="L22">
        <f ca="1">IF(K22="","",TODAY()-K22)</f>
        <v>13</v>
      </c>
      <c r="M22" t="s">
        <v>184</v>
      </c>
      <c r="N22">
        <f ca="1">IF(M22="","",IF(L22="",INDEX($F$63:$F$66,MATCH(M22,$C$63:$C$66,0)),IF(L22&lt;=INDEX($D$63:$D$66,MATCH(M22,$C$63:$C$66,0)),0,IF(L22&lt;=INDEX($E$63:$E$66,MATCH(M22,$C$63:$C$66,0)),INDEX($F$63:$F$66,MATCH(M22,$C$63:$C$66,0)),INDEX($G$63:$G$66,MATCH(M22,$C$63:$C$66,0))))))</f>
        <v>0</v>
      </c>
      <c r="O22">
        <f ca="1">G22+N22</f>
        <v>21</v>
      </c>
      <c r="P22" t="s">
        <v>168</v>
      </c>
      <c r="Q22" t="s">
        <v>840</v>
      </c>
      <c r="R22" t="s">
        <v>841</v>
      </c>
    </row>
    <row r="23" spans="1:18" x14ac:dyDescent="0.2">
      <c r="A23" t="s">
        <v>842</v>
      </c>
      <c r="B23" t="s">
        <v>843</v>
      </c>
      <c r="C23" t="s">
        <v>844</v>
      </c>
      <c r="D23" t="s">
        <v>174</v>
      </c>
      <c r="E23">
        <v>0</v>
      </c>
      <c r="F23">
        <f>IF(D23="High",0,IF(D23="Medium",0.05,IF(D23="Low",0.1,IF(D23="Unknown",0.15,""))))</f>
        <v>0.05</v>
      </c>
      <c r="G23">
        <f>E23*(1+F23)</f>
        <v>0</v>
      </c>
      <c r="H23" t="s">
        <v>845</v>
      </c>
      <c r="I23" t="s">
        <v>846</v>
      </c>
      <c r="J23" t="s">
        <v>166</v>
      </c>
      <c r="K23" s="24">
        <f>IF(AND(I23="",J23=""),"",MAX(IF(I23&lt;&gt;"",DATEVALUE(TRIM(RIGHT(SUBSTITUTE(I23,";",REPT(" ",50)),50))),0),IF(J23&lt;&gt;"",DATEVALUE(TRIM(RIGHT(SUBSTITUTE(J23,";",REPT(" ",50)),50))),0)))</f>
        <v>45986</v>
      </c>
      <c r="L23">
        <f ca="1">IF(K23="","",TODAY()-K23)</f>
        <v>13</v>
      </c>
      <c r="M23" t="s">
        <v>305</v>
      </c>
      <c r="N23">
        <f ca="1">IF(M23="","",IF(L23="",INDEX($F$63:$F$66,MATCH(M23,$C$63:$C$66,0)),IF(L23&lt;=INDEX($D$63:$D$66,MATCH(M23,$C$63:$C$66,0)),0,IF(L23&lt;=INDEX($E$63:$E$66,MATCH(M23,$C$63:$C$66,0)),INDEX($F$63:$F$66,MATCH(M23,$C$63:$C$66,0)),INDEX($G$63:$G$66,MATCH(M23,$C$63:$C$66,0))))))</f>
        <v>0</v>
      </c>
      <c r="O23">
        <f ca="1">G23+N23</f>
        <v>0</v>
      </c>
      <c r="P23" t="s">
        <v>168</v>
      </c>
      <c r="Q23" t="s">
        <v>823</v>
      </c>
      <c r="R23" t="s">
        <v>847</v>
      </c>
    </row>
    <row r="24" spans="1:18" x14ac:dyDescent="0.2">
      <c r="A24" s="4"/>
      <c r="B24" s="5" t="s">
        <v>848</v>
      </c>
      <c r="C24" s="4"/>
      <c r="D24" s="4"/>
      <c r="E24" s="4"/>
      <c r="F24" s="4"/>
      <c r="G24" s="4"/>
      <c r="H24" s="4"/>
      <c r="I24" s="4"/>
      <c r="J24" s="4"/>
      <c r="K24" s="23"/>
      <c r="L24" s="4"/>
      <c r="M24" s="4"/>
      <c r="N24" s="4" t="str">
        <f>IF(M24="","",IF(L24="",INDEX($F$63:$F$66,MATCH(M24,$C$63:$C$66,0)),IF(L24&lt;=INDEX($D$63:$D$66,MATCH(M24,$C$63:$C$66,0)),0,IF(L24&lt;=INDEX($E$63:$E$66,MATCH(M24,$C$63:$C$66,0)),INDEX($F$63:$F$66,MATCH(M24,$C$63:$C$66,0)),INDEX($G$63:$G$66,MATCH(M24,$C$63:$C$66,0))))))</f>
        <v/>
      </c>
      <c r="O24" s="4"/>
      <c r="P24" s="4"/>
      <c r="Q24" s="4"/>
      <c r="R24" s="4"/>
    </row>
    <row r="25" spans="1:18" x14ac:dyDescent="0.2">
      <c r="A25" s="3"/>
      <c r="B25" s="42"/>
      <c r="C25" s="43"/>
      <c r="D25" s="43"/>
      <c r="E25" s="43"/>
      <c r="F25" s="43"/>
      <c r="G25" s="43"/>
      <c r="H25" s="43"/>
      <c r="I25" s="43"/>
      <c r="J25" s="43"/>
      <c r="K25" s="44"/>
      <c r="L25" s="43"/>
      <c r="M25" s="43"/>
      <c r="N25" s="43"/>
      <c r="O25" s="43"/>
      <c r="P25" s="43"/>
      <c r="Q25" s="43"/>
      <c r="R25" s="43"/>
    </row>
    <row r="26" spans="1:18" x14ac:dyDescent="0.2">
      <c r="A26" t="s">
        <v>628</v>
      </c>
      <c r="B26" t="s">
        <v>849</v>
      </c>
      <c r="C26" t="s">
        <v>850</v>
      </c>
      <c r="D26" t="s">
        <v>174</v>
      </c>
      <c r="E26">
        <f>IF(C26="Not mentioned",0,IF(C26="Minor / incidental mentions",10,IF(C26="Frequently highlighted as an illicit-usage asset",20,IF(C26="Unknown",10,""))))</f>
        <v>0</v>
      </c>
      <c r="F26">
        <f>IF(D26="High",0,IF(D26="Medium",0.05,IF(D26="Low",0.1,IF(D26="Unknown",0.15,""))))</f>
        <v>0.05</v>
      </c>
      <c r="G26">
        <f>E26*(1+F26)</f>
        <v>0</v>
      </c>
      <c r="H26" t="s">
        <v>851</v>
      </c>
      <c r="I26" t="s">
        <v>852</v>
      </c>
      <c r="J26" t="s">
        <v>166</v>
      </c>
      <c r="K26" s="24">
        <f>IF(AND(I26="",J26=""),"",MAX(IF(I26&lt;&gt;"",DATEVALUE(TRIM(RIGHT(SUBSTITUTE(I26,";",REPT(" ",50)),50))),0),IF(J26&lt;&gt;"",DATEVALUE(TRIM(RIGHT(SUBSTITUTE(J26,";",REPT(" ",50)),50))),0)))</f>
        <v>45986</v>
      </c>
      <c r="L26">
        <f ca="1">IF(K26="","",TODAY()-K26)</f>
        <v>13</v>
      </c>
      <c r="M26" t="s">
        <v>184</v>
      </c>
      <c r="N26">
        <f ca="1">IF(M26="","",IF(L26="",INDEX($F$63:$F$66,MATCH(M26,$C$63:$C$66,0)),IF(L26&lt;=INDEX($D$63:$D$66,MATCH(M26,$C$63:$C$66,0)),0,IF(L26&lt;=INDEX($E$63:$E$66,MATCH(M26,$C$63:$C$66,0)),INDEX($F$63:$F$66,MATCH(M26,$C$63:$C$66,0)),INDEX($G$63:$G$66,MATCH(M26,$C$63:$C$66,0))))))</f>
        <v>0</v>
      </c>
      <c r="O26">
        <f ca="1">G26+N26</f>
        <v>0</v>
      </c>
      <c r="P26" t="str">
        <f>IF(C26="Frequently highlighted as an illicit-usage asset","Review Required","No Review")</f>
        <v>No Review</v>
      </c>
      <c r="Q26" t="s">
        <v>853</v>
      </c>
      <c r="R26" t="s">
        <v>854</v>
      </c>
    </row>
    <row r="27" spans="1:18" x14ac:dyDescent="0.2">
      <c r="A27" t="s">
        <v>635</v>
      </c>
      <c r="B27" t="s">
        <v>855</v>
      </c>
      <c r="C27" t="s">
        <v>856</v>
      </c>
      <c r="D27" t="s">
        <v>174</v>
      </c>
      <c r="E27">
        <f>IF(C27="Limited / unexceptional",0,IF(C27="Some notable schemes",10,IF(C27="Frequently used in fraud / rug-pull typologies",20,IF(C27="Unknown",10,""))))</f>
        <v>10</v>
      </c>
      <c r="F27">
        <f>IF(D27="High",0,IF(D27="Medium",0.05,IF(D27="Low",0.1,IF(D27="Unknown",0.15,""))))</f>
        <v>0.05</v>
      </c>
      <c r="G27">
        <f>E27*(1+F27)</f>
        <v>10.5</v>
      </c>
      <c r="H27" t="s">
        <v>857</v>
      </c>
      <c r="I27" t="s">
        <v>858</v>
      </c>
      <c r="J27" t="s">
        <v>166</v>
      </c>
      <c r="K27" s="24">
        <f>IF(AND(I27="",J27=""),"",MAX(IF(I27&lt;&gt;"",DATEVALUE(TRIM(RIGHT(SUBSTITUTE(I27,";",REPT(" ",50)),50))),0),IF(J27&lt;&gt;"",DATEVALUE(TRIM(RIGHT(SUBSTITUTE(J27,";",REPT(" ",50)),50))),0)))</f>
        <v>45986</v>
      </c>
      <c r="L27">
        <f ca="1">IF(K27="","",TODAY()-K27)</f>
        <v>13</v>
      </c>
      <c r="M27" t="s">
        <v>184</v>
      </c>
      <c r="N27">
        <f ca="1">IF(M27="","",IF(L27="",INDEX($F$63:$F$66,MATCH(M27,$C$63:$C$66,0)),IF(L27&lt;=INDEX($D$63:$D$66,MATCH(M27,$C$63:$C$66,0)),0,IF(L27&lt;=INDEX($E$63:$E$66,MATCH(M27,$C$63:$C$66,0)),INDEX($F$63:$F$66,MATCH(M27,$C$63:$C$66,0)),INDEX($G$63:$G$66,MATCH(M27,$C$63:$C$66,0))))))</f>
        <v>0</v>
      </c>
      <c r="O27">
        <f ca="1">G27+N27</f>
        <v>10.5</v>
      </c>
      <c r="P27" t="str">
        <f>IF(C27="Frequently used in fraud / rug-pull typologies","Review Required","No Review")</f>
        <v>No Review</v>
      </c>
      <c r="Q27" t="s">
        <v>859</v>
      </c>
      <c r="R27" t="s">
        <v>860</v>
      </c>
    </row>
    <row r="28" spans="1:18" x14ac:dyDescent="0.2">
      <c r="A28" t="s">
        <v>638</v>
      </c>
      <c r="B28" t="s">
        <v>861</v>
      </c>
      <c r="C28" t="s">
        <v>862</v>
      </c>
      <c r="D28" t="s">
        <v>174</v>
      </c>
      <c r="E28">
        <f>IF(C28="No specific association",0,IF(C28="Some reported use",10,IF(C28="Significant / recurring association",20,IF(C28="Unknown",10,""))))</f>
        <v>0</v>
      </c>
      <c r="F28">
        <f>IF(D28="High",0,IF(D28="Medium",0.05,IF(D28="Low",0.1,IF(D28="Unknown",0.15,""))))</f>
        <v>0.05</v>
      </c>
      <c r="G28">
        <f>E28*(1+F28)</f>
        <v>0</v>
      </c>
      <c r="H28" t="s">
        <v>863</v>
      </c>
      <c r="I28" t="s">
        <v>864</v>
      </c>
      <c r="J28" t="s">
        <v>166</v>
      </c>
      <c r="K28" s="24">
        <f>IF(AND(I28="",J28=""),"",MAX(IF(I28&lt;&gt;"",DATEVALUE(TRIM(RIGHT(SUBSTITUTE(I28,";",REPT(" ",50)),50))),0),IF(J28&lt;&gt;"",DATEVALUE(TRIM(RIGHT(SUBSTITUTE(J28,";",REPT(" ",50)),50))),0)))</f>
        <v>45986</v>
      </c>
      <c r="L28">
        <f ca="1">IF(K28="","",TODAY()-K28)</f>
        <v>13</v>
      </c>
      <c r="M28" t="s">
        <v>276</v>
      </c>
      <c r="N28">
        <f ca="1">IF(M28="","",IF(L28="",INDEX($F$63:$F$66,MATCH(M28,$C$63:$C$66,0)),IF(L28&lt;=INDEX($D$63:$D$66,MATCH(M28,$C$63:$C$66,0)),0,IF(L28&lt;=INDEX($E$63:$E$66,MATCH(M28,$C$63:$C$66,0)),INDEX($F$63:$F$66,MATCH(M28,$C$63:$C$66,0)),INDEX($G$63:$G$66,MATCH(M28,$C$63:$C$66,0))))))</f>
        <v>0</v>
      </c>
      <c r="O28">
        <f ca="1">G28+N28</f>
        <v>0</v>
      </c>
      <c r="P28" t="str">
        <f>IF(C28="Significant / recurring association","Review Required","No Review")</f>
        <v>No Review</v>
      </c>
      <c r="Q28" t="s">
        <v>865</v>
      </c>
      <c r="R28" t="s">
        <v>866</v>
      </c>
    </row>
    <row r="29" spans="1:18" x14ac:dyDescent="0.2">
      <c r="A29" t="s">
        <v>665</v>
      </c>
      <c r="B29" t="s">
        <v>867</v>
      </c>
      <c r="C29" t="s">
        <v>868</v>
      </c>
      <c r="D29" t="s">
        <v>174</v>
      </c>
      <c r="E29">
        <v>0</v>
      </c>
      <c r="F29">
        <f>IF(D29="High",0,IF(D29="Medium",0.05,IF(D29="Low",0.1,IF(D29="Unknown",0.15,""))))</f>
        <v>0.05</v>
      </c>
      <c r="G29">
        <f>E29*(1+F29)</f>
        <v>0</v>
      </c>
      <c r="H29" t="s">
        <v>869</v>
      </c>
      <c r="I29" t="s">
        <v>870</v>
      </c>
      <c r="J29" t="s">
        <v>166</v>
      </c>
      <c r="K29" s="24">
        <f>IF(AND(I29="",J29=""),"",MAX(IF(I29&lt;&gt;"",DATEVALUE(TRIM(RIGHT(SUBSTITUTE(I29,";",REPT(" ",50)),50))),0),IF(J29&lt;&gt;"",DATEVALUE(TRIM(RIGHT(SUBSTITUTE(J29,";",REPT(" ",50)),50))),0)))</f>
        <v>45986</v>
      </c>
      <c r="L29">
        <f ca="1">IF(K29="","",TODAY()-K29)</f>
        <v>13</v>
      </c>
      <c r="M29" t="s">
        <v>184</v>
      </c>
      <c r="N29">
        <f ca="1">IF(M29="","",IF(L29="",INDEX($F$63:$F$66,MATCH(M29,$C$63:$C$66,0)),IF(L29&lt;=INDEX($D$63:$D$66,MATCH(M29,$C$63:$C$66,0)),0,IF(L29&lt;=INDEX($E$63:$E$66,MATCH(M29,$C$63:$C$66,0)),INDEX($F$63:$F$66,MATCH(M29,$C$63:$C$66,0)),INDEX($G$63:$G$66,MATCH(M29,$C$63:$C$66,0))))))</f>
        <v>0</v>
      </c>
      <c r="O29">
        <f ca="1">G29+N29</f>
        <v>0</v>
      </c>
      <c r="P29" t="s">
        <v>168</v>
      </c>
      <c r="Q29" t="s">
        <v>871</v>
      </c>
      <c r="R29" t="s">
        <v>872</v>
      </c>
    </row>
    <row r="30" spans="1:18" x14ac:dyDescent="0.2">
      <c r="A30" s="3"/>
      <c r="B30" s="42"/>
      <c r="C30" s="43"/>
      <c r="D30" s="43"/>
      <c r="E30" s="43"/>
      <c r="F30" s="43"/>
      <c r="G30" s="43"/>
      <c r="H30" s="43"/>
      <c r="I30" s="43"/>
      <c r="J30" s="43"/>
      <c r="K30" s="44"/>
      <c r="L30" s="43"/>
      <c r="M30" s="43"/>
      <c r="N30" s="43"/>
      <c r="O30" s="43"/>
      <c r="P30" s="43"/>
      <c r="Q30" s="43"/>
      <c r="R30" s="43"/>
    </row>
    <row r="31" spans="1:18" x14ac:dyDescent="0.2">
      <c r="A31" t="s">
        <v>873</v>
      </c>
      <c r="B31" t="s">
        <v>874</v>
      </c>
      <c r="C31" t="s">
        <v>875</v>
      </c>
      <c r="D31" t="s">
        <v>174</v>
      </c>
      <c r="E31">
        <f>IF(C31="Not explicitly named",0,IF(C31="Named in isolated / incidental cases",10,IF(C31="Repeatedly named as relevant to typologies or cases",20,IF(C31="Unknown",10,""))))</f>
        <v>0</v>
      </c>
      <c r="F31">
        <f>IF(D31="High",0,IF(D31="Medium",0.05,IF(D31="Low",0.1,IF(D31="Unknown",0.15,""))))</f>
        <v>0.05</v>
      </c>
      <c r="G31">
        <f>E31*(1+F31)</f>
        <v>0</v>
      </c>
      <c r="H31" t="s">
        <v>876</v>
      </c>
      <c r="I31" t="s">
        <v>877</v>
      </c>
      <c r="J31" t="s">
        <v>166</v>
      </c>
      <c r="K31" s="24">
        <f>IF(AND(I31="",J31=""),"",MAX(IF(I31&lt;&gt;"",DATEVALUE(TRIM(RIGHT(SUBSTITUTE(I31,";",REPT(" ",50)),50))),0),IF(J31&lt;&gt;"",DATEVALUE(TRIM(RIGHT(SUBSTITUTE(J31,";",REPT(" ",50)),50))),0)))</f>
        <v>45986</v>
      </c>
      <c r="L31">
        <f ca="1">IF(K31="","",TODAY()-K31)</f>
        <v>13</v>
      </c>
      <c r="M31" t="s">
        <v>184</v>
      </c>
      <c r="N31">
        <f ca="1">IF(M31="","",IF(L31="",INDEX($F$63:$F$66,MATCH(M31,$C$63:$C$66,0)),IF(L31&lt;=INDEX($D$63:$D$66,MATCH(M31,$C$63:$C$66,0)),0,IF(L31&lt;=INDEX($E$63:$E$66,MATCH(M31,$C$63:$C$66,0)),INDEX($F$63:$F$66,MATCH(M31,$C$63:$C$66,0)),INDEX($G$63:$G$66,MATCH(M31,$C$63:$C$66,0))))))</f>
        <v>0</v>
      </c>
      <c r="O31">
        <f ca="1">G31+N31</f>
        <v>0</v>
      </c>
      <c r="P31" t="str">
        <f>IF(C31="Repeatedly named as relevant to typologies or cases","Review Required","No Review")</f>
        <v>No Review</v>
      </c>
      <c r="Q31" t="s">
        <v>878</v>
      </c>
      <c r="R31" t="s">
        <v>879</v>
      </c>
    </row>
    <row r="32" spans="1:18" x14ac:dyDescent="0.2">
      <c r="A32" t="s">
        <v>880</v>
      </c>
      <c r="B32" t="s">
        <v>881</v>
      </c>
      <c r="C32" t="s">
        <v>882</v>
      </c>
      <c r="D32" t="s">
        <v>174</v>
      </c>
      <c r="E32">
        <f>IF(C32="No significant seizures",0,IF(C32="Some notable seizures",10,IF(C32="Large / high-profile multi-case seizures",20,IF(C32="Unknown",10,""))))</f>
        <v>0</v>
      </c>
      <c r="F32">
        <f>IF(D32="High",0,IF(D32="Medium",0.05,IF(D32="Low",0.1,IF(D32="Unknown",0.15,""))))</f>
        <v>0.05</v>
      </c>
      <c r="G32">
        <f>E32*(1+F32)</f>
        <v>0</v>
      </c>
      <c r="H32" t="s">
        <v>883</v>
      </c>
      <c r="I32" t="s">
        <v>884</v>
      </c>
      <c r="J32" t="s">
        <v>166</v>
      </c>
      <c r="K32" s="24">
        <f>IF(AND(I32="",J32=""),"",MAX(IF(I32&lt;&gt;"",DATEVALUE(TRIM(RIGHT(SUBSTITUTE(I32,";",REPT(" ",50)),50))),0),IF(J32&lt;&gt;"",DATEVALUE(TRIM(RIGHT(SUBSTITUTE(J32,";",REPT(" ",50)),50))),0)))</f>
        <v>45986</v>
      </c>
      <c r="L32">
        <f ca="1">IF(K32="","",TODAY()-K32)</f>
        <v>13</v>
      </c>
      <c r="M32" t="s">
        <v>184</v>
      </c>
      <c r="N32">
        <f ca="1">IF(M32="","",IF(L32="",INDEX($F$63:$F$66,MATCH(M32,$C$63:$C$66,0)),IF(L32&lt;=INDEX($D$63:$D$66,MATCH(M32,$C$63:$C$66,0)),0,IF(L32&lt;=INDEX($E$63:$E$66,MATCH(M32,$C$63:$C$66,0)),INDEX($F$63:$F$66,MATCH(M32,$C$63:$C$66,0)),INDEX($G$63:$G$66,MATCH(M32,$C$63:$C$66,0))))))</f>
        <v>0</v>
      </c>
      <c r="O32">
        <f ca="1">G32+N32</f>
        <v>0</v>
      </c>
      <c r="P32" t="s">
        <v>168</v>
      </c>
      <c r="Q32" t="s">
        <v>885</v>
      </c>
      <c r="R32" t="s">
        <v>886</v>
      </c>
    </row>
    <row r="33" spans="1:18" x14ac:dyDescent="0.2">
      <c r="A33" t="s">
        <v>887</v>
      </c>
      <c r="B33" t="s">
        <v>888</v>
      </c>
      <c r="C33" t="s">
        <v>889</v>
      </c>
      <c r="D33" t="s">
        <v>163</v>
      </c>
      <c r="E33">
        <f>IF(C33="No TF-specific reference",0,IF(C33="Some TF-related references",10,IF(C33="Significant TF-related designation / repeated references",20,IF(C33="Unknown",10,""))))</f>
        <v>0</v>
      </c>
      <c r="F33">
        <f>IF(D33="High",0,IF(D33="Medium",0.05,IF(D33="Low",0.1,IF(D33="Unknown",0.15,""))))</f>
        <v>0</v>
      </c>
      <c r="G33">
        <f>E33*(1+F33)</f>
        <v>0</v>
      </c>
      <c r="H33" t="s">
        <v>890</v>
      </c>
      <c r="I33" t="s">
        <v>891</v>
      </c>
      <c r="J33" t="s">
        <v>166</v>
      </c>
      <c r="K33" s="24">
        <f>IF(AND(I33="",J33=""),"",MAX(IF(I33&lt;&gt;"",DATEVALUE(TRIM(RIGHT(SUBSTITUTE(I33,";",REPT(" ",50)),50))),0),IF(J33&lt;&gt;"",DATEVALUE(TRIM(RIGHT(SUBSTITUTE(J33,";",REPT(" ",50)),50))),0)))</f>
        <v>45986</v>
      </c>
      <c r="L33">
        <f ca="1">IF(K33="","",TODAY()-K33)</f>
        <v>13</v>
      </c>
      <c r="M33" t="s">
        <v>276</v>
      </c>
      <c r="N33">
        <f ca="1">IF(M33="","",IF(L33="",INDEX($F$63:$F$66,MATCH(M33,$C$63:$C$66,0)),IF(L33&lt;=INDEX($D$63:$D$66,MATCH(M33,$C$63:$C$66,0)),0,IF(L33&lt;=INDEX($E$63:$E$66,MATCH(M33,$C$63:$C$66,0)),INDEX($F$63:$F$66,MATCH(M33,$C$63:$C$66,0)),INDEX($G$63:$G$66,MATCH(M33,$C$63:$C$66,0))))))</f>
        <v>0</v>
      </c>
      <c r="O33">
        <f ca="1">G33+N33</f>
        <v>0</v>
      </c>
      <c r="P33" t="str">
        <f>IF(C33="Significant TF-related designation / repeated references","Review Required","No Review")</f>
        <v>No Review</v>
      </c>
      <c r="Q33" t="s">
        <v>892</v>
      </c>
      <c r="R33" t="s">
        <v>893</v>
      </c>
    </row>
    <row r="34" spans="1:18" x14ac:dyDescent="0.2">
      <c r="A34" t="s">
        <v>894</v>
      </c>
      <c r="B34" t="s">
        <v>895</v>
      </c>
      <c r="C34" t="s">
        <v>896</v>
      </c>
      <c r="D34" t="s">
        <v>174</v>
      </c>
      <c r="E34">
        <v>0</v>
      </c>
      <c r="F34">
        <f>IF(D34="High",0,IF(D34="Medium",0.05,IF(D34="Low",0.1,IF(D34="Unknown",0.15,""))))</f>
        <v>0.05</v>
      </c>
      <c r="G34">
        <f>E34*(1+F34)</f>
        <v>0</v>
      </c>
      <c r="H34" t="s">
        <v>897</v>
      </c>
      <c r="I34" t="s">
        <v>898</v>
      </c>
      <c r="J34" t="s">
        <v>166</v>
      </c>
      <c r="K34" s="24">
        <f>IF(AND(I34="",J34=""),"",MAX(IF(I34&lt;&gt;"",DATEVALUE(TRIM(RIGHT(SUBSTITUTE(I34,";",REPT(" ",50)),50))),0),IF(J34&lt;&gt;"",DATEVALUE(TRIM(RIGHT(SUBSTITUTE(J34,";",REPT(" ",50)),50))),0)))</f>
        <v>45986</v>
      </c>
      <c r="L34">
        <f ca="1">IF(K34="","",TODAY()-K34)</f>
        <v>13</v>
      </c>
      <c r="M34" t="s">
        <v>276</v>
      </c>
      <c r="N34">
        <f ca="1">IF(M34="","",IF(L34="",INDEX($F$63:$F$66,MATCH(M34,$C$63:$C$66,0)),IF(L34&lt;=INDEX($D$63:$D$66,MATCH(M34,$C$63:$C$66,0)),0,IF(L34&lt;=INDEX($E$63:$E$66,MATCH(M34,$C$63:$C$66,0)),INDEX($F$63:$F$66,MATCH(M34,$C$63:$C$66,0)),INDEX($G$63:$G$66,MATCH(M34,$C$63:$C$66,0))))))</f>
        <v>0</v>
      </c>
      <c r="O34">
        <f ca="1">G34+N34</f>
        <v>0</v>
      </c>
      <c r="P34" t="s">
        <v>168</v>
      </c>
      <c r="Q34" t="s">
        <v>871</v>
      </c>
      <c r="R34" t="s">
        <v>899</v>
      </c>
    </row>
    <row r="35" spans="1:18" x14ac:dyDescent="0.2">
      <c r="A35" s="4"/>
      <c r="B35" s="5" t="s">
        <v>900</v>
      </c>
      <c r="C35" s="4"/>
      <c r="D35" s="4"/>
      <c r="E35" s="4"/>
      <c r="F35" s="4"/>
      <c r="G35" s="4"/>
      <c r="H35" s="4"/>
      <c r="I35" s="4"/>
      <c r="J35" s="4"/>
      <c r="K35" s="23"/>
      <c r="L35" s="4"/>
      <c r="M35" s="4"/>
      <c r="N35" s="4" t="str">
        <f>IF(M35="","",IF(L35="",INDEX($F$63:$F$66,MATCH(M35,$C$63:$C$66,0)),IF(L35&lt;=INDEX($D$63:$D$66,MATCH(M35,$C$63:$C$66,0)),0,IF(L35&lt;=INDEX($E$63:$E$66,MATCH(M35,$C$63:$C$66,0)),INDEX($F$63:$F$66,MATCH(M35,$C$63:$C$66,0)),INDEX($G$63:$G$66,MATCH(M35,$C$63:$C$66,0))))))</f>
        <v/>
      </c>
      <c r="O35" s="4"/>
      <c r="P35" s="4"/>
      <c r="Q35" s="4"/>
      <c r="R35" s="4"/>
    </row>
    <row r="36" spans="1:18" x14ac:dyDescent="0.2">
      <c r="A36" s="3"/>
      <c r="B36" s="42"/>
      <c r="C36" s="43"/>
      <c r="D36" s="43"/>
      <c r="E36" s="43"/>
      <c r="F36" s="43"/>
      <c r="G36" s="43"/>
      <c r="H36" s="43"/>
      <c r="I36" s="43"/>
      <c r="J36" s="43"/>
      <c r="K36" s="44"/>
      <c r="L36" s="43"/>
      <c r="M36" s="43"/>
      <c r="N36" s="43"/>
      <c r="O36" s="43"/>
      <c r="P36" s="43"/>
      <c r="Q36" s="43"/>
      <c r="R36" s="43"/>
    </row>
    <row r="37" spans="1:18" x14ac:dyDescent="0.2">
      <c r="A37" t="s">
        <v>901</v>
      </c>
      <c r="B37" t="s">
        <v>902</v>
      </c>
      <c r="C37" t="s">
        <v>275</v>
      </c>
      <c r="D37" t="s">
        <v>174</v>
      </c>
      <c r="E37">
        <f>IF(C37="Integrated as a core feature",0,IF(C37="Some integrations via partners",10,IF(C37="No integration",20,IF(C37="Unknown",10,""))))</f>
        <v>10</v>
      </c>
      <c r="F37">
        <f>IF(D37="High",0,IF(D37="Medium",0.05,IF(D37="Low",0.1,IF(D37="Unknown",0.15,""))))</f>
        <v>0.05</v>
      </c>
      <c r="G37">
        <f>E37*(1+F37)</f>
        <v>10.5</v>
      </c>
      <c r="H37" t="s">
        <v>903</v>
      </c>
      <c r="I37" t="s">
        <v>904</v>
      </c>
      <c r="J37" t="s">
        <v>166</v>
      </c>
      <c r="K37" s="24">
        <f>IF(AND(I37="",J37=""),"",MAX(IF(I37&lt;&gt;"",DATEVALUE(TRIM(RIGHT(SUBSTITUTE(I37,";",REPT(" ",50)),50))),0),IF(J37&lt;&gt;"",DATEVALUE(TRIM(RIGHT(SUBSTITUTE(J37,";",REPT(" ",50)),50))),0)))</f>
        <v>45986</v>
      </c>
      <c r="L37">
        <f ca="1">IF(K37="","",TODAY()-K37)</f>
        <v>13</v>
      </c>
      <c r="M37" t="s">
        <v>184</v>
      </c>
      <c r="N37">
        <f ca="1">IF(M37="","",IF(L37="",INDEX($F$63:$F$66,MATCH(M37,$C$63:$C$66,0)),IF(L37&lt;=INDEX($D$63:$D$66,MATCH(M37,$C$63:$C$66,0)),0,IF(L37&lt;=INDEX($E$63:$E$66,MATCH(M37,$C$63:$C$66,0)),INDEX($F$63:$F$66,MATCH(M37,$C$63:$C$66,0)),INDEX($G$63:$G$66,MATCH(M37,$C$63:$C$66,0))))))</f>
        <v>0</v>
      </c>
      <c r="O37">
        <f ca="1">G37+N37</f>
        <v>10.5</v>
      </c>
      <c r="P37" t="s">
        <v>168</v>
      </c>
      <c r="Q37" t="s">
        <v>905</v>
      </c>
      <c r="R37" t="s">
        <v>906</v>
      </c>
    </row>
    <row r="38" spans="1:18" x14ac:dyDescent="0.2">
      <c r="A38" t="s">
        <v>907</v>
      </c>
      <c r="B38" t="s">
        <v>908</v>
      </c>
      <c r="C38" t="s">
        <v>909</v>
      </c>
      <c r="D38" t="s">
        <v>163</v>
      </c>
      <c r="E38">
        <f>IF(C38="Native / enforced screening",0,IF(C38="Partial screening via partners",10,IF(C38="No screening",20,IF(C38="Unknown",10,""))))</f>
        <v>10</v>
      </c>
      <c r="F38">
        <f>IF(D38="High",0,IF(D38="Medium",0.05,IF(D38="Low",0.1,IF(D38="Unknown",0.15,""))))</f>
        <v>0</v>
      </c>
      <c r="G38">
        <f>E38*(1+F38)</f>
        <v>10</v>
      </c>
      <c r="H38" t="s">
        <v>910</v>
      </c>
      <c r="I38" t="s">
        <v>604</v>
      </c>
      <c r="J38" t="s">
        <v>250</v>
      </c>
      <c r="K38" s="24">
        <f>IF(AND(I38="",J38=""),"",MAX(IF(I38&lt;&gt;"",DATEVALUE(TRIM(RIGHT(SUBSTITUTE(I38,";",REPT(" ",50)),50))),0),IF(J38&lt;&gt;"",DATEVALUE(TRIM(RIGHT(SUBSTITUTE(J38,";",REPT(" ",50)),50))),0)))</f>
        <v>45986</v>
      </c>
      <c r="L38">
        <f ca="1">IF(K38="","",TODAY()-K38)</f>
        <v>13</v>
      </c>
      <c r="M38" t="s">
        <v>276</v>
      </c>
      <c r="N38">
        <f ca="1">IF(M38="","",IF(L38="",INDEX($F$63:$F$66,MATCH(M38,$C$63:$C$66,0)),IF(L38&lt;=INDEX($D$63:$D$66,MATCH(M38,$C$63:$C$66,0)),0,IF(L38&lt;=INDEX($E$63:$E$66,MATCH(M38,$C$63:$C$66,0)),INDEX($F$63:$F$66,MATCH(M38,$C$63:$C$66,0)),INDEX($G$63:$G$66,MATCH(M38,$C$63:$C$66,0))))))</f>
        <v>0</v>
      </c>
      <c r="O38">
        <f ca="1">G38+N38</f>
        <v>10</v>
      </c>
      <c r="P38" t="s">
        <v>168</v>
      </c>
      <c r="Q38" t="s">
        <v>911</v>
      </c>
      <c r="R38" t="s">
        <v>912</v>
      </c>
    </row>
    <row r="39" spans="1:18" x14ac:dyDescent="0.2">
      <c r="A39" t="s">
        <v>913</v>
      </c>
      <c r="B39" t="s">
        <v>914</v>
      </c>
      <c r="C39" t="s">
        <v>915</v>
      </c>
      <c r="D39" t="s">
        <v>163</v>
      </c>
      <c r="E39">
        <f>IF(C39="Native / real-time monitoring",0,IF(C39="Partial / ecosystem-level",10,IF(C39="None",20,IF(C39="Unknown",10,""))))</f>
        <v>10</v>
      </c>
      <c r="F39">
        <f>IF(D39="High",0,IF(D39="Medium",0.05,IF(D39="Low",0.1,IF(D39="Unknown",0.15,""))))</f>
        <v>0</v>
      </c>
      <c r="G39">
        <f>E39*(1+F39)</f>
        <v>10</v>
      </c>
      <c r="H39" t="s">
        <v>916</v>
      </c>
      <c r="I39" t="s">
        <v>401</v>
      </c>
      <c r="J39" t="s">
        <v>166</v>
      </c>
      <c r="K39" s="24">
        <f>IF(AND(I39="",J39=""),"",MAX(IF(I39&lt;&gt;"",DATEVALUE(TRIM(RIGHT(SUBSTITUTE(I39,";",REPT(" ",50)),50))),0),IF(J39&lt;&gt;"",DATEVALUE(TRIM(RIGHT(SUBSTITUTE(J39,";",REPT(" ",50)),50))),0)))</f>
        <v>45986</v>
      </c>
      <c r="L39">
        <f ca="1">IF(K39="","",TODAY()-K39)</f>
        <v>13</v>
      </c>
      <c r="M39" t="s">
        <v>184</v>
      </c>
      <c r="N39">
        <f ca="1">IF(M39="","",IF(L39="",INDEX($F$63:$F$66,MATCH(M39,$C$63:$C$66,0)),IF(L39&lt;=INDEX($D$63:$D$66,MATCH(M39,$C$63:$C$66,0)),0,IF(L39&lt;=INDEX($E$63:$E$66,MATCH(M39,$C$63:$C$66,0)),INDEX($F$63:$F$66,MATCH(M39,$C$63:$C$66,0)),INDEX($G$63:$G$66,MATCH(M39,$C$63:$C$66,0))))))</f>
        <v>0</v>
      </c>
      <c r="O39">
        <f ca="1">G39+N39</f>
        <v>10</v>
      </c>
      <c r="P39" t="s">
        <v>168</v>
      </c>
      <c r="Q39" t="s">
        <v>917</v>
      </c>
      <c r="R39" t="s">
        <v>918</v>
      </c>
    </row>
    <row r="40" spans="1:18" x14ac:dyDescent="0.2">
      <c r="A40" t="s">
        <v>919</v>
      </c>
      <c r="B40" t="s">
        <v>920</v>
      </c>
      <c r="C40" t="s">
        <v>921</v>
      </c>
      <c r="D40" t="s">
        <v>174</v>
      </c>
      <c r="E40">
        <v>0</v>
      </c>
      <c r="F40">
        <f>IF(D40="High",0,IF(D40="Medium",0.05,IF(D40="Low",0.1,IF(D40="Unknown",0.15,""))))</f>
        <v>0.05</v>
      </c>
      <c r="G40">
        <f>E40*(1+F40)</f>
        <v>0</v>
      </c>
      <c r="H40" t="s">
        <v>922</v>
      </c>
      <c r="I40" t="s">
        <v>923</v>
      </c>
      <c r="J40" t="s">
        <v>166</v>
      </c>
      <c r="K40" s="24">
        <f>IF(AND(I40="",J40=""),"",MAX(IF(I40&lt;&gt;"",DATEVALUE(TRIM(RIGHT(SUBSTITUTE(I40,";",REPT(" ",50)),50))),0),IF(J40&lt;&gt;"",DATEVALUE(TRIM(RIGHT(SUBSTITUTE(J40,";",REPT(" ",50)),50))),0)))</f>
        <v>45986</v>
      </c>
      <c r="L40">
        <f ca="1">IF(K40="","",TODAY()-K40)</f>
        <v>13</v>
      </c>
      <c r="M40" t="s">
        <v>184</v>
      </c>
      <c r="N40">
        <f ca="1">IF(M40="","",IF(L40="",INDEX($F$63:$F$66,MATCH(M40,$C$63:$C$66,0)),IF(L40&lt;=INDEX($D$63:$D$66,MATCH(M40,$C$63:$C$66,0)),0,IF(L40&lt;=INDEX($E$63:$E$66,MATCH(M40,$C$63:$C$66,0)),INDEX($F$63:$F$66,MATCH(M40,$C$63:$C$66,0)),INDEX($G$63:$G$66,MATCH(M40,$C$63:$C$66,0))))))</f>
        <v>0</v>
      </c>
      <c r="O40">
        <f ca="1">G40+N40</f>
        <v>0</v>
      </c>
      <c r="P40" t="s">
        <v>168</v>
      </c>
      <c r="Q40" t="s">
        <v>441</v>
      </c>
      <c r="R40" t="s">
        <v>924</v>
      </c>
    </row>
    <row r="41" spans="1:18" x14ac:dyDescent="0.2">
      <c r="A41" s="3"/>
      <c r="B41" s="42"/>
      <c r="C41" s="43"/>
      <c r="D41" s="43"/>
      <c r="E41" s="43"/>
      <c r="F41" s="43"/>
      <c r="G41" s="43"/>
      <c r="H41" s="43"/>
      <c r="I41" s="43"/>
      <c r="J41" s="43"/>
      <c r="K41" s="44"/>
      <c r="L41" s="43"/>
      <c r="M41" s="43"/>
      <c r="N41" s="43"/>
      <c r="O41" s="43"/>
      <c r="P41" s="43"/>
      <c r="Q41" s="43"/>
      <c r="R41" s="43"/>
    </row>
    <row r="42" spans="1:18" x14ac:dyDescent="0.2">
      <c r="A42" t="s">
        <v>925</v>
      </c>
      <c r="B42" t="s">
        <v>926</v>
      </c>
      <c r="C42" t="s">
        <v>927</v>
      </c>
      <c r="D42" t="s">
        <v>163</v>
      </c>
      <c r="E42">
        <f>IF(C42="Detailed / comprehensive policy",0,IF(C42="High-level policy only",10,IF(C42="None published",20,IF(C42="Unknown",10,""))))</f>
        <v>10</v>
      </c>
      <c r="F42">
        <f>IF(D42="High",0,IF(D42="Medium",0.05,IF(D42="Low",0.1,IF(D42="Unknown",0.15,""))))</f>
        <v>0</v>
      </c>
      <c r="G42">
        <f>E42*(1+F42)</f>
        <v>10</v>
      </c>
      <c r="H42" t="s">
        <v>928</v>
      </c>
      <c r="I42" t="s">
        <v>929</v>
      </c>
      <c r="J42" t="s">
        <v>250</v>
      </c>
      <c r="K42" s="24">
        <f>IF(AND(I42="",J42=""),"",MAX(IF(I42&lt;&gt;"",DATEVALUE(TRIM(RIGHT(SUBSTITUTE(I42,";",REPT(" ",50)),50))),0),IF(J42&lt;&gt;"",DATEVALUE(TRIM(RIGHT(SUBSTITUTE(J42,";",REPT(" ",50)),50))),0)))</f>
        <v>45986</v>
      </c>
      <c r="L42">
        <f ca="1">IF(K42="","",TODAY()-K42)</f>
        <v>13</v>
      </c>
      <c r="M42" t="s">
        <v>305</v>
      </c>
      <c r="N42">
        <f ca="1">IF(M42="","",IF(L42="",INDEX($F$63:$F$66,MATCH(M42,$C$63:$C$66,0)),IF(L42&lt;=INDEX($D$63:$D$66,MATCH(M42,$C$63:$C$66,0)),0,IF(L42&lt;=INDEX($E$63:$E$66,MATCH(M42,$C$63:$C$66,0)),INDEX($F$63:$F$66,MATCH(M42,$C$63:$C$66,0)),INDEX($G$63:$G$66,MATCH(M42,$C$63:$C$66,0))))))</f>
        <v>0</v>
      </c>
      <c r="O42">
        <f ca="1">G42+N42</f>
        <v>10</v>
      </c>
      <c r="P42" t="s">
        <v>168</v>
      </c>
      <c r="Q42" t="s">
        <v>930</v>
      </c>
      <c r="R42" t="s">
        <v>931</v>
      </c>
    </row>
    <row r="43" spans="1:18" x14ac:dyDescent="0.2">
      <c r="A43" t="s">
        <v>932</v>
      </c>
      <c r="B43" t="s">
        <v>933</v>
      </c>
      <c r="C43" t="s">
        <v>934</v>
      </c>
      <c r="D43" t="s">
        <v>174</v>
      </c>
      <c r="E43">
        <f>IF(C43="Full / enforced geo-fencing",0,IF(C43="Partial geo-fencing",10,IF(C43="No geo-fencing",20,IF(C43="Unknown",10,""))))</f>
        <v>10</v>
      </c>
      <c r="F43">
        <f>IF(D43="High",0,IF(D43="Medium",0.05,IF(D43="Low",0.1,IF(D43="Unknown",0.15,""))))</f>
        <v>0.05</v>
      </c>
      <c r="G43">
        <f>E43*(1+F43)</f>
        <v>10.5</v>
      </c>
      <c r="H43" t="s">
        <v>935</v>
      </c>
      <c r="I43" t="s">
        <v>936</v>
      </c>
      <c r="J43" t="s">
        <v>250</v>
      </c>
      <c r="K43" s="24">
        <f>IF(AND(I43="",J43=""),"",MAX(IF(I43&lt;&gt;"",DATEVALUE(TRIM(RIGHT(SUBSTITUTE(I43,";",REPT(" ",50)),50))),0),IF(J43&lt;&gt;"",DATEVALUE(TRIM(RIGHT(SUBSTITUTE(J43,";",REPT(" ",50)),50))),0)))</f>
        <v>45986</v>
      </c>
      <c r="L43">
        <f ca="1">IF(K43="","",TODAY()-K43)</f>
        <v>13</v>
      </c>
      <c r="M43" t="s">
        <v>184</v>
      </c>
      <c r="N43">
        <f ca="1">IF(M43="","",IF(L43="",INDEX($F$63:$F$66,MATCH(M43,$C$63:$C$66,0)),IF(L43&lt;=INDEX($D$63:$D$66,MATCH(M43,$C$63:$C$66,0)),0,IF(L43&lt;=INDEX($E$63:$E$66,MATCH(M43,$C$63:$C$66,0)),INDEX($F$63:$F$66,MATCH(M43,$C$63:$C$66,0)),INDEX($G$63:$G$66,MATCH(M43,$C$63:$C$66,0))))))</f>
        <v>0</v>
      </c>
      <c r="O43">
        <f ca="1">G43+N43</f>
        <v>10.5</v>
      </c>
      <c r="P43" t="s">
        <v>168</v>
      </c>
      <c r="Q43" t="s">
        <v>937</v>
      </c>
      <c r="R43" t="s">
        <v>938</v>
      </c>
    </row>
    <row r="44" spans="1:18" x14ac:dyDescent="0.2">
      <c r="A44" t="s">
        <v>939</v>
      </c>
      <c r="B44" t="s">
        <v>940</v>
      </c>
      <c r="C44" t="s">
        <v>941</v>
      </c>
      <c r="D44" t="s">
        <v>163</v>
      </c>
      <c r="E44">
        <f>IF(C44="Multiple validated partnerships",0,IF(C44="Some partnerships",10,IF(C44="None disclosed",20,IF(C44="Unknown",10,""))))</f>
        <v>10</v>
      </c>
      <c r="F44">
        <f>IF(D44="High",0,IF(D44="Medium",0.05,IF(D44="Low",0.1,IF(D44="Unknown",0.15,""))))</f>
        <v>0</v>
      </c>
      <c r="G44">
        <f>E44*(1+F44)</f>
        <v>10</v>
      </c>
      <c r="H44" t="s">
        <v>942</v>
      </c>
      <c r="I44" t="s">
        <v>943</v>
      </c>
      <c r="J44" t="s">
        <v>166</v>
      </c>
      <c r="K44" s="24">
        <f>IF(AND(I44="",J44=""),"",MAX(IF(I44&lt;&gt;"",DATEVALUE(TRIM(RIGHT(SUBSTITUTE(I44,";",REPT(" ",50)),50))),0),IF(J44&lt;&gt;"",DATEVALUE(TRIM(RIGHT(SUBSTITUTE(J44,";",REPT(" ",50)),50))),0)))</f>
        <v>45986</v>
      </c>
      <c r="L44">
        <f ca="1">IF(K44="","",TODAY()-K44)</f>
        <v>13</v>
      </c>
      <c r="M44" t="s">
        <v>305</v>
      </c>
      <c r="N44">
        <f ca="1">IF(M44="","",IF(L44="",INDEX($F$63:$F$66,MATCH(M44,$C$63:$C$66,0)),IF(L44&lt;=INDEX($D$63:$D$66,MATCH(M44,$C$63:$C$66,0)),0,IF(L44&lt;=INDEX($E$63:$E$66,MATCH(M44,$C$63:$C$66,0)),INDEX($F$63:$F$66,MATCH(M44,$C$63:$C$66,0)),INDEX($G$63:$G$66,MATCH(M44,$C$63:$C$66,0))))))</f>
        <v>0</v>
      </c>
      <c r="O44">
        <f ca="1">G44+N44</f>
        <v>10</v>
      </c>
      <c r="P44" t="s">
        <v>168</v>
      </c>
      <c r="Q44" t="s">
        <v>944</v>
      </c>
      <c r="R44" t="s">
        <v>945</v>
      </c>
    </row>
    <row r="45" spans="1:18" x14ac:dyDescent="0.2">
      <c r="A45" t="s">
        <v>946</v>
      </c>
      <c r="B45" t="s">
        <v>947</v>
      </c>
      <c r="C45" t="s">
        <v>948</v>
      </c>
      <c r="D45" t="s">
        <v>174</v>
      </c>
      <c r="E45">
        <v>0</v>
      </c>
      <c r="F45">
        <f>IF(D45="High",0,IF(D45="Medium",0.05,IF(D45="Low",0.1,IF(D45="Unknown",0.15,""))))</f>
        <v>0.05</v>
      </c>
      <c r="G45">
        <f>E45*(1+F45)</f>
        <v>0</v>
      </c>
      <c r="H45" t="s">
        <v>949</v>
      </c>
      <c r="I45" t="s">
        <v>950</v>
      </c>
      <c r="J45" t="s">
        <v>166</v>
      </c>
      <c r="K45" s="24">
        <f>IF(AND(I45="",J45=""),"",MAX(IF(I45&lt;&gt;"",DATEVALUE(TRIM(RIGHT(SUBSTITUTE(I45,";",REPT(" ",50)),50))),0),IF(J45&lt;&gt;"",DATEVALUE(TRIM(RIGHT(SUBSTITUTE(J45,";",REPT(" ",50)),50))),0)))</f>
        <v>45986</v>
      </c>
      <c r="L45">
        <f ca="1">IF(K45="","",TODAY()-K45)</f>
        <v>13</v>
      </c>
      <c r="M45" t="s">
        <v>305</v>
      </c>
      <c r="N45">
        <f ca="1">IF(M45="","",IF(L45="",INDEX($F$63:$F$66,MATCH(M45,$C$63:$C$66,0)),IF(L45&lt;=INDEX($D$63:$D$66,MATCH(M45,$C$63:$C$66,0)),0,IF(L45&lt;=INDEX($E$63:$E$66,MATCH(M45,$C$63:$C$66,0)),INDEX($F$63:$F$66,MATCH(M45,$C$63:$C$66,0)),INDEX($G$63:$G$66,MATCH(M45,$C$63:$C$66,0))))))</f>
        <v>0</v>
      </c>
      <c r="O45">
        <f ca="1">G45+N45</f>
        <v>0</v>
      </c>
      <c r="P45" t="s">
        <v>168</v>
      </c>
      <c r="Q45" t="s">
        <v>441</v>
      </c>
      <c r="R45" t="s">
        <v>951</v>
      </c>
    </row>
    <row r="46" spans="1:18" x14ac:dyDescent="0.2">
      <c r="A46" s="4"/>
      <c r="B46" s="5" t="s">
        <v>952</v>
      </c>
      <c r="C46" s="4"/>
      <c r="D46" s="4"/>
      <c r="E46" s="4"/>
      <c r="F46" s="4"/>
      <c r="G46" s="4"/>
      <c r="H46" s="4"/>
      <c r="I46" s="4"/>
      <c r="J46" s="4"/>
      <c r="K46" s="23"/>
      <c r="L46" s="4"/>
      <c r="M46" s="4"/>
      <c r="N46" s="4" t="str">
        <f>IF(M46="","",IF(L46="",INDEX($F$63:$F$66,MATCH(M46,$C$63:$C$66,0)),IF(L46&lt;=INDEX($D$63:$D$66,MATCH(M46,$C$63:$C$66,0)),0,IF(L46&lt;=INDEX($E$63:$E$66,MATCH(M46,$C$63:$C$66,0)),INDEX($F$63:$F$66,MATCH(M46,$C$63:$C$66,0)),INDEX($G$63:$G$66,MATCH(M46,$C$63:$C$66,0))))))</f>
        <v/>
      </c>
      <c r="O46" s="4"/>
      <c r="P46" s="4"/>
      <c r="Q46" s="4"/>
      <c r="R46" s="4"/>
    </row>
    <row r="47" spans="1:18" x14ac:dyDescent="0.2">
      <c r="A47" s="3"/>
      <c r="B47" s="42"/>
      <c r="C47" s="43"/>
      <c r="D47" s="43"/>
      <c r="E47" s="43"/>
      <c r="F47" s="43"/>
      <c r="G47" s="43"/>
      <c r="H47" s="43"/>
      <c r="I47" s="43"/>
      <c r="J47" s="43"/>
      <c r="K47" s="44"/>
      <c r="L47" s="43"/>
      <c r="M47" s="43"/>
      <c r="N47" s="43"/>
      <c r="O47" s="43"/>
      <c r="P47" s="43"/>
      <c r="Q47" s="43"/>
      <c r="R47" s="43"/>
    </row>
    <row r="48" spans="1:18" x14ac:dyDescent="0.2">
      <c r="A48" t="s">
        <v>444</v>
      </c>
      <c r="B48" t="s">
        <v>953</v>
      </c>
      <c r="C48" t="s">
        <v>954</v>
      </c>
      <c r="D48" t="s">
        <v>174</v>
      </c>
      <c r="E48">
        <f>IF(C48="Mostly regulated (&gt;70%)",0,IF(C48="Mixed (30–70%)",10,IF(C48="Mostly unregulated (&gt;70%)",20,IF(C48="Unknown",10,""))))</f>
        <v>0</v>
      </c>
      <c r="F48">
        <f>IF(D48="High",0,IF(D48="Medium",0.05,IF(D48="Low",0.1,IF(D48="Unknown",0.15,""))))</f>
        <v>0.05</v>
      </c>
      <c r="G48">
        <f>E48*(1+F48)</f>
        <v>0</v>
      </c>
      <c r="H48" t="s">
        <v>955</v>
      </c>
      <c r="I48" t="s">
        <v>956</v>
      </c>
      <c r="J48" t="s">
        <v>166</v>
      </c>
      <c r="K48" s="24">
        <f>IF(AND(I48="",J48=""),"",MAX(IF(I48&lt;&gt;"",DATEVALUE(TRIM(RIGHT(SUBSTITUTE(I48,";",REPT(" ",50)),50))),0),IF(J48&lt;&gt;"",DATEVALUE(TRIM(RIGHT(SUBSTITUTE(J48,";",REPT(" ",50)),50))),0)))</f>
        <v>45986</v>
      </c>
      <c r="L48">
        <f ca="1">IF(K48="","",TODAY()-K48)</f>
        <v>13</v>
      </c>
      <c r="M48" t="s">
        <v>184</v>
      </c>
      <c r="N48">
        <f ca="1">IF(M48="","",IF(L48="",INDEX($F$63:$F$66,MATCH(M48,$C$63:$C$66,0)),IF(L48&lt;=INDEX($D$63:$D$66,MATCH(M48,$C$63:$C$66,0)),0,IF(L48&lt;=INDEX($E$63:$E$66,MATCH(M48,$C$63:$C$66,0)),INDEX($F$63:$F$66,MATCH(M48,$C$63:$C$66,0)),INDEX($G$63:$G$66,MATCH(M48,$C$63:$C$66,0))))))</f>
        <v>0</v>
      </c>
      <c r="O48">
        <f ca="1">G48+N48</f>
        <v>0</v>
      </c>
      <c r="P48" t="s">
        <v>168</v>
      </c>
      <c r="Q48" t="s">
        <v>957</v>
      </c>
      <c r="R48" t="s">
        <v>958</v>
      </c>
    </row>
    <row r="49" spans="1:18" x14ac:dyDescent="0.2">
      <c r="A49" t="s">
        <v>451</v>
      </c>
      <c r="B49" t="s">
        <v>959</v>
      </c>
      <c r="C49" t="s">
        <v>960</v>
      </c>
      <c r="D49" t="s">
        <v>174</v>
      </c>
      <c r="E49">
        <f>IF(C49="Limited (&lt;20%)",0,IF(C49="Moderate (20–60%)",10,IF(C49="High (&gt;60%) or privacy-DEX dominant",20,IF(C49="Unknown",10,""))))</f>
        <v>0</v>
      </c>
      <c r="F49">
        <f>IF(D49="High",0,IF(D49="Medium",0.05,IF(D49="Low",0.1,IF(D49="Unknown",0.15,""))))</f>
        <v>0.05</v>
      </c>
      <c r="G49">
        <f>E49*(1+F49)</f>
        <v>0</v>
      </c>
      <c r="H49" t="s">
        <v>961</v>
      </c>
      <c r="I49" t="s">
        <v>962</v>
      </c>
      <c r="J49" t="s">
        <v>250</v>
      </c>
      <c r="K49" s="24">
        <f>IF(AND(I49="",J49=""),"",MAX(IF(I49&lt;&gt;"",DATEVALUE(TRIM(RIGHT(SUBSTITUTE(I49,";",REPT(" ",50)),50))),0),IF(J49&lt;&gt;"",DATEVALUE(TRIM(RIGHT(SUBSTITUTE(J49,";",REPT(" ",50)),50))),0)))</f>
        <v>45986</v>
      </c>
      <c r="L49">
        <f ca="1">IF(K49="","",TODAY()-K49)</f>
        <v>13</v>
      </c>
      <c r="M49" t="s">
        <v>184</v>
      </c>
      <c r="N49">
        <f ca="1">IF(M49="","",IF(L49="",INDEX($F$63:$F$66,MATCH(M49,$C$63:$C$66,0)),IF(L49&lt;=INDEX($D$63:$D$66,MATCH(M49,$C$63:$C$66,0)),0,IF(L49&lt;=INDEX($E$63:$E$66,MATCH(M49,$C$63:$C$66,0)),INDEX($F$63:$F$66,MATCH(M49,$C$63:$C$66,0)),INDEX($G$63:$G$66,MATCH(M49,$C$63:$C$66,0))))))</f>
        <v>0</v>
      </c>
      <c r="O49">
        <f ca="1">G49+N49</f>
        <v>0</v>
      </c>
      <c r="P49" t="s">
        <v>168</v>
      </c>
      <c r="Q49" t="s">
        <v>963</v>
      </c>
      <c r="R49" t="s">
        <v>964</v>
      </c>
    </row>
    <row r="50" spans="1:18" x14ac:dyDescent="0.2">
      <c r="A50" t="s">
        <v>457</v>
      </c>
      <c r="B50" t="s">
        <v>965</v>
      </c>
      <c r="C50" t="s">
        <v>966</v>
      </c>
      <c r="D50" t="s">
        <v>163</v>
      </c>
      <c r="E50">
        <f>IF(C50="High quality / regulated ramps",0,IF(C50="Mixed quality",10,IF(C50="Mostly unregulated / crypto-only ramps",20,IF(C50="Unknown",10,""))))</f>
        <v>0</v>
      </c>
      <c r="F50">
        <f>IF(D50="High",0,IF(D50="Medium",0.05,IF(D50="Low",0.1,IF(D50="Unknown",0.15,""))))</f>
        <v>0</v>
      </c>
      <c r="G50">
        <f>E50*(1+F50)</f>
        <v>0</v>
      </c>
      <c r="H50" t="s">
        <v>967</v>
      </c>
      <c r="I50" t="s">
        <v>968</v>
      </c>
      <c r="J50" t="s">
        <v>250</v>
      </c>
      <c r="K50" s="24">
        <f>IF(AND(I50="",J50=""),"",MAX(IF(I50&lt;&gt;"",DATEVALUE(TRIM(RIGHT(SUBSTITUTE(I50,";",REPT(" ",50)),50))),0),IF(J50&lt;&gt;"",DATEVALUE(TRIM(RIGHT(SUBSTITUTE(J50,";",REPT(" ",50)),50))),0)))</f>
        <v>45986</v>
      </c>
      <c r="L50">
        <f ca="1">IF(K50="","",TODAY()-K50)</f>
        <v>13</v>
      </c>
      <c r="M50" t="s">
        <v>184</v>
      </c>
      <c r="N50">
        <f ca="1">IF(M50="","",IF(L50="",INDEX($F$63:$F$66,MATCH(M50,$C$63:$C$66,0)),IF(L50&lt;=INDEX($D$63:$D$66,MATCH(M50,$C$63:$C$66,0)),0,IF(L50&lt;=INDEX($E$63:$E$66,MATCH(M50,$C$63:$C$66,0)),INDEX($F$63:$F$66,MATCH(M50,$C$63:$C$66,0)),INDEX($G$63:$G$66,MATCH(M50,$C$63:$C$66,0))))))</f>
        <v>0</v>
      </c>
      <c r="O50">
        <f ca="1">G50+N50</f>
        <v>0</v>
      </c>
      <c r="P50" t="s">
        <v>168</v>
      </c>
      <c r="Q50" t="s">
        <v>969</v>
      </c>
      <c r="R50" t="s">
        <v>970</v>
      </c>
    </row>
    <row r="51" spans="1:18" x14ac:dyDescent="0.2">
      <c r="A51" t="s">
        <v>467</v>
      </c>
      <c r="B51" t="s">
        <v>971</v>
      </c>
      <c r="C51" t="s">
        <v>972</v>
      </c>
      <c r="D51" t="s">
        <v>174</v>
      </c>
      <c r="E51">
        <v>0</v>
      </c>
      <c r="F51">
        <f>IF(D51="High",0,IF(D51="Medium",0.05,IF(D51="Low",0.1,IF(D51="Unknown",0.15,""))))</f>
        <v>0.05</v>
      </c>
      <c r="G51">
        <f>E51*(1+F51)</f>
        <v>0</v>
      </c>
      <c r="H51" t="s">
        <v>973</v>
      </c>
      <c r="I51" t="s">
        <v>974</v>
      </c>
      <c r="J51" t="s">
        <v>166</v>
      </c>
      <c r="K51" s="24">
        <f>IF(AND(I51="",J51=""),"",MAX(IF(I51&lt;&gt;"",DATEVALUE(TRIM(RIGHT(SUBSTITUTE(I51,";",REPT(" ",50)),50))),0),IF(J51&lt;&gt;"",DATEVALUE(TRIM(RIGHT(SUBSTITUTE(J51,";",REPT(" ",50)),50))),0)))</f>
        <v>45986</v>
      </c>
      <c r="L51">
        <f ca="1">IF(K51="","",TODAY()-K51)</f>
        <v>13</v>
      </c>
      <c r="M51" t="s">
        <v>305</v>
      </c>
      <c r="N51">
        <f ca="1">IF(M51="","",IF(L51="",INDEX($F$63:$F$66,MATCH(M51,$C$63:$C$66,0)),IF(L51&lt;=INDEX($D$63:$D$66,MATCH(M51,$C$63:$C$66,0)),0,IF(L51&lt;=INDEX($E$63:$E$66,MATCH(M51,$C$63:$C$66,0)),INDEX($F$63:$F$66,MATCH(M51,$C$63:$C$66,0)),INDEX($G$63:$G$66,MATCH(M51,$C$63:$C$66,0))))))</f>
        <v>0</v>
      </c>
      <c r="O51">
        <f ca="1">G51+N51</f>
        <v>0</v>
      </c>
      <c r="P51" t="s">
        <v>168</v>
      </c>
      <c r="Q51" t="s">
        <v>823</v>
      </c>
      <c r="R51" t="s">
        <v>975</v>
      </c>
    </row>
    <row r="52" spans="1:18" x14ac:dyDescent="0.2">
      <c r="A52" s="3"/>
      <c r="B52" s="42"/>
      <c r="C52" s="43"/>
      <c r="D52" s="43"/>
      <c r="E52" s="43"/>
      <c r="F52" s="43"/>
      <c r="G52" s="43"/>
      <c r="H52" s="43"/>
      <c r="I52" s="43"/>
      <c r="J52" s="43"/>
      <c r="K52" s="44"/>
      <c r="L52" s="43"/>
      <c r="M52" s="43"/>
      <c r="N52" s="43"/>
      <c r="O52" s="43"/>
      <c r="P52" s="43"/>
      <c r="Q52" s="43"/>
      <c r="R52" s="43"/>
    </row>
    <row r="53" spans="1:18" x14ac:dyDescent="0.2">
      <c r="A53" t="s">
        <v>472</v>
      </c>
      <c r="B53" t="s">
        <v>976</v>
      </c>
      <c r="C53" t="s">
        <v>210</v>
      </c>
      <c r="D53" t="s">
        <v>174</v>
      </c>
      <c r="E53">
        <f>IF(C53="No",0,IF(C53="Rumoured / uncertain",10,IF(C53="Yes – explicitly AML/CTF-related",20,IF(C53="Unknown",10,""))))</f>
        <v>0</v>
      </c>
      <c r="F53">
        <f>IF(D53="High",0,IF(D53="Medium",0.05,IF(D53="Low",0.1,IF(D53="Unknown",0.15,""))))</f>
        <v>0.05</v>
      </c>
      <c r="G53">
        <f>E53*(1+F53)</f>
        <v>0</v>
      </c>
      <c r="H53" t="s">
        <v>977</v>
      </c>
      <c r="I53" t="s">
        <v>266</v>
      </c>
      <c r="J53" t="s">
        <v>166</v>
      </c>
      <c r="K53" s="24">
        <f>IF(AND(I53="",J53=""),"",MAX(IF(I53&lt;&gt;"",DATEVALUE(TRIM(RIGHT(SUBSTITUTE(I53,";",REPT(" ",50)),50))),0),IF(J53&lt;&gt;"",DATEVALUE(TRIM(RIGHT(SUBSTITUTE(J53,";",REPT(" ",50)),50))),0)))</f>
        <v>45986</v>
      </c>
      <c r="L53">
        <f ca="1">IF(K53="","",TODAY()-K53)</f>
        <v>13</v>
      </c>
      <c r="M53" t="s">
        <v>276</v>
      </c>
      <c r="N53">
        <f ca="1">IF(M53="","",IF(L53="",INDEX($F$63:$F$66,MATCH(M53,$C$63:$C$66,0)),IF(L53&lt;=INDEX($D$63:$D$66,MATCH(M53,$C$63:$C$66,0)),0,IF(L53&lt;=INDEX($E$63:$E$66,MATCH(M53,$C$63:$C$66,0)),INDEX($F$63:$F$66,MATCH(M53,$C$63:$C$66,0)),INDEX($G$63:$G$66,MATCH(M53,$C$63:$C$66,0))))))</f>
        <v>0</v>
      </c>
      <c r="O53">
        <f ca="1">G53+N53</f>
        <v>0</v>
      </c>
      <c r="P53" t="str">
        <f>IF(C53="Yes – explicitly AML/CTF-related","Review Required","No Review")</f>
        <v>No Review</v>
      </c>
      <c r="Q53" t="s">
        <v>978</v>
      </c>
      <c r="R53" t="s">
        <v>979</v>
      </c>
    </row>
    <row r="54" spans="1:18" x14ac:dyDescent="0.2">
      <c r="A54" t="s">
        <v>477</v>
      </c>
      <c r="B54" t="s">
        <v>980</v>
      </c>
      <c r="C54" t="s">
        <v>981</v>
      </c>
      <c r="D54" t="s">
        <v>174</v>
      </c>
      <c r="E54">
        <f>IF(C54="Limited presence",0,IF(C54="Some presence",10,IF(C54="Heavy / structural presence",20,IF(C54="Unknown",10,""))))</f>
        <v>10</v>
      </c>
      <c r="F54">
        <f>IF(D54="High",0,IF(D54="Medium",0.05,IF(D54="Low",0.1,IF(D54="Unknown",0.15,""))))</f>
        <v>0.05</v>
      </c>
      <c r="G54">
        <f>E54*(1+F54)</f>
        <v>10.5</v>
      </c>
      <c r="H54" t="s">
        <v>982</v>
      </c>
      <c r="I54" t="s">
        <v>983</v>
      </c>
      <c r="J54" t="s">
        <v>166</v>
      </c>
      <c r="K54" s="24">
        <f>IF(AND(I54="",J54=""),"",MAX(IF(I54&lt;&gt;"",DATEVALUE(TRIM(RIGHT(SUBSTITUTE(I54,";",REPT(" ",50)),50))),0),IF(J54&lt;&gt;"",DATEVALUE(TRIM(RIGHT(SUBSTITUTE(J54,";",REPT(" ",50)),50))),0)))</f>
        <v>45986</v>
      </c>
      <c r="L54">
        <f ca="1">IF(K54="","",TODAY()-K54)</f>
        <v>13</v>
      </c>
      <c r="M54" t="s">
        <v>184</v>
      </c>
      <c r="N54">
        <f ca="1">IF(M54="","",IF(L54="",INDEX($F$63:$F$66,MATCH(M54,$C$63:$C$66,0)),IF(L54&lt;=INDEX($D$63:$D$66,MATCH(M54,$C$63:$C$66,0)),0,IF(L54&lt;=INDEX($E$63:$E$66,MATCH(M54,$C$63:$C$66,0)),INDEX($F$63:$F$66,MATCH(M54,$C$63:$C$66,0)),INDEX($G$63:$G$66,MATCH(M54,$C$63:$C$66,0))))))</f>
        <v>0</v>
      </c>
      <c r="O54">
        <f ca="1">G54+N54</f>
        <v>10.5</v>
      </c>
      <c r="P54" t="s">
        <v>168</v>
      </c>
      <c r="Q54" t="s">
        <v>984</v>
      </c>
      <c r="R54" t="s">
        <v>985</v>
      </c>
    </row>
    <row r="55" spans="1:18" x14ac:dyDescent="0.2">
      <c r="A55" t="s">
        <v>480</v>
      </c>
      <c r="B55" t="s">
        <v>986</v>
      </c>
      <c r="C55" t="s">
        <v>987</v>
      </c>
      <c r="D55" t="s">
        <v>174</v>
      </c>
      <c r="E55">
        <f>IF(C55="Strong / regulated",0,IF(C55="Mixed",10,IF(C55="Weak",20,IF(C55="Unknown",10,""))))</f>
        <v>0</v>
      </c>
      <c r="F55">
        <f>IF(D55="High",0,IF(D55="Medium",0.05,IF(D55="Low",0.1,IF(D55="Unknown",0.15,""))))</f>
        <v>0.05</v>
      </c>
      <c r="G55">
        <f>E55*(1+F55)</f>
        <v>0</v>
      </c>
      <c r="H55" t="s">
        <v>988</v>
      </c>
      <c r="I55" t="s">
        <v>989</v>
      </c>
      <c r="J55" t="s">
        <v>166</v>
      </c>
      <c r="K55" s="24">
        <f>IF(AND(I55="",J55=""),"",MAX(IF(I55&lt;&gt;"",DATEVALUE(TRIM(RIGHT(SUBSTITUTE(I55,";",REPT(" ",50)),50))),0),IF(J55&lt;&gt;"",DATEVALUE(TRIM(RIGHT(SUBSTITUTE(J55,";",REPT(" ",50)),50))),0)))</f>
        <v>45986</v>
      </c>
      <c r="L55">
        <f ca="1">IF(K55="","",TODAY()-K55)</f>
        <v>13</v>
      </c>
      <c r="M55" t="s">
        <v>184</v>
      </c>
      <c r="N55">
        <f ca="1">IF(M55="","",IF(L55="",INDEX($F$63:$F$66,MATCH(M55,$C$63:$C$66,0)),IF(L55&lt;=INDEX($D$63:$D$66,MATCH(M55,$C$63:$C$66,0)),0,IF(L55&lt;=INDEX($E$63:$E$66,MATCH(M55,$C$63:$C$66,0)),INDEX($F$63:$F$66,MATCH(M55,$C$63:$C$66,0)),INDEX($G$63:$G$66,MATCH(M55,$C$63:$C$66,0))))))</f>
        <v>0</v>
      </c>
      <c r="O55">
        <f ca="1">G55+N55</f>
        <v>0</v>
      </c>
      <c r="P55" t="s">
        <v>168</v>
      </c>
      <c r="Q55" t="s">
        <v>990</v>
      </c>
      <c r="R55" t="s">
        <v>991</v>
      </c>
    </row>
    <row r="56" spans="1:18" x14ac:dyDescent="0.2">
      <c r="A56" t="s">
        <v>496</v>
      </c>
      <c r="B56" t="s">
        <v>992</v>
      </c>
      <c r="C56" t="s">
        <v>993</v>
      </c>
      <c r="D56" t="s">
        <v>174</v>
      </c>
      <c r="E56">
        <v>0</v>
      </c>
      <c r="F56">
        <f>IF(D56="High",0,IF(D56="Medium",0.05,IF(D56="Low",0.1,IF(D56="Unknown",0.15,""))))</f>
        <v>0.05</v>
      </c>
      <c r="G56">
        <f>E56*(1+F56)</f>
        <v>0</v>
      </c>
      <c r="H56" t="s">
        <v>994</v>
      </c>
      <c r="I56" t="s">
        <v>995</v>
      </c>
      <c r="J56" t="s">
        <v>166</v>
      </c>
      <c r="K56" s="24">
        <f>IF(AND(I56="",J56=""),"",MAX(IF(I56&lt;&gt;"",DATEVALUE(TRIM(RIGHT(SUBSTITUTE(I56,";",REPT(" ",50)),50))),0),IF(J56&lt;&gt;"",DATEVALUE(TRIM(RIGHT(SUBSTITUTE(J56,";",REPT(" ",50)),50))),0)))</f>
        <v>45986</v>
      </c>
      <c r="L56">
        <f ca="1">IF(K56="","",TODAY()-K56)</f>
        <v>13</v>
      </c>
      <c r="M56" t="s">
        <v>184</v>
      </c>
      <c r="N56">
        <f ca="1">IF(M56="","",IF(L56="",INDEX($F$63:$F$66,MATCH(M56,$C$63:$C$66,0)),IF(L56&lt;=INDEX($D$63:$D$66,MATCH(M56,$C$63:$C$66,0)),0,IF(L56&lt;=INDEX($E$63:$E$66,MATCH(M56,$C$63:$C$66,0)),INDEX($F$63:$F$66,MATCH(M56,$C$63:$C$66,0)),INDEX($G$63:$G$66,MATCH(M56,$C$63:$C$66,0))))))</f>
        <v>0</v>
      </c>
      <c r="O56">
        <f ca="1">G56+N56</f>
        <v>0</v>
      </c>
      <c r="P56" t="s">
        <v>168</v>
      </c>
      <c r="Q56" t="s">
        <v>823</v>
      </c>
      <c r="R56" t="s">
        <v>996</v>
      </c>
    </row>
    <row r="61" spans="1:18" x14ac:dyDescent="0.2">
      <c r="C61" s="53" t="s">
        <v>548</v>
      </c>
      <c r="D61" s="39"/>
      <c r="E61" s="39"/>
      <c r="F61" s="39"/>
      <c r="G61" s="40"/>
    </row>
    <row r="62" spans="1:18" x14ac:dyDescent="0.2">
      <c r="C62" s="30" t="s">
        <v>152</v>
      </c>
      <c r="D62" s="30" t="s">
        <v>549</v>
      </c>
      <c r="E62" s="30" t="s">
        <v>550</v>
      </c>
      <c r="F62" s="30" t="s">
        <v>551</v>
      </c>
      <c r="G62" s="28" t="s">
        <v>552</v>
      </c>
    </row>
    <row r="63" spans="1:18" x14ac:dyDescent="0.2">
      <c r="C63" s="7" t="s">
        <v>276</v>
      </c>
      <c r="D63" s="27">
        <v>90</v>
      </c>
      <c r="E63" s="27">
        <v>180</v>
      </c>
      <c r="F63" s="27">
        <v>5</v>
      </c>
      <c r="G63" s="29">
        <v>10</v>
      </c>
    </row>
    <row r="64" spans="1:18" x14ac:dyDescent="0.2">
      <c r="C64" s="8" t="s">
        <v>184</v>
      </c>
      <c r="D64">
        <v>180</v>
      </c>
      <c r="E64">
        <v>365</v>
      </c>
      <c r="F64">
        <v>3</v>
      </c>
      <c r="G64" s="14">
        <v>6</v>
      </c>
    </row>
    <row r="65" spans="3:7" x14ac:dyDescent="0.2">
      <c r="C65" s="8" t="s">
        <v>305</v>
      </c>
      <c r="D65">
        <v>365</v>
      </c>
      <c r="E65">
        <v>730</v>
      </c>
      <c r="F65">
        <v>2</v>
      </c>
      <c r="G65" s="14">
        <v>4</v>
      </c>
    </row>
    <row r="66" spans="3:7" x14ac:dyDescent="0.2">
      <c r="C66" s="9" t="s">
        <v>167</v>
      </c>
      <c r="D66" s="16">
        <v>9999</v>
      </c>
      <c r="E66" s="16">
        <v>9999</v>
      </c>
      <c r="F66" s="16">
        <v>0</v>
      </c>
      <c r="G66" s="17">
        <v>0</v>
      </c>
    </row>
    <row r="70" spans="3:7" ht="16" customHeight="1" thickBot="1" x14ac:dyDescent="0.25"/>
    <row r="71" spans="3:7" ht="16" customHeight="1" thickBot="1" x14ac:dyDescent="0.25">
      <c r="C71" s="48" t="s">
        <v>553</v>
      </c>
      <c r="D71" s="49"/>
      <c r="E71" s="50"/>
    </row>
    <row r="72" spans="3:7" x14ac:dyDescent="0.2">
      <c r="C72" s="45" t="s">
        <v>554</v>
      </c>
      <c r="D72" s="46"/>
      <c r="E72" s="8">
        <f ca="1">IF(COUNTIFS($A$4:$A$56,"A*",$C$4:$C$56,"&lt;&gt;")=0,"",AVERAGEIFS($O$4:$O$56,$A$4:$A$56,"A*",$C$4:$C$56,"&lt;&gt;"))</f>
        <v>2.625</v>
      </c>
    </row>
    <row r="73" spans="3:7" x14ac:dyDescent="0.2">
      <c r="C73" s="45" t="s">
        <v>555</v>
      </c>
      <c r="D73" s="46"/>
      <c r="E73" s="8">
        <f ca="1">IF(COUNTIFS($A$4:$A$56,"B*",$C$4:$C$56,"&lt;&gt;")=0,"",AVERAGEIFS($O$4:$O$56,$A$4:$A$56,"B*",$C$4:$C$56,"&lt;&gt;"))</f>
        <v>3.9375</v>
      </c>
    </row>
    <row r="74" spans="3:7" x14ac:dyDescent="0.2">
      <c r="C74" s="45" t="s">
        <v>556</v>
      </c>
      <c r="D74" s="46"/>
      <c r="E74" s="8">
        <f ca="1">IF(COUNTIFS($A$4:$A$56,"C*",$C$4:$C$56,"&lt;&gt;")=0,"",AVERAGEIFS($O$4:$O$56,$A$4:$A$56,"C*",$C$4:$C$56,"&lt;&gt;"))</f>
        <v>1.3125</v>
      </c>
    </row>
    <row r="75" spans="3:7" x14ac:dyDescent="0.2">
      <c r="C75" s="45" t="s">
        <v>557</v>
      </c>
      <c r="D75" s="46"/>
      <c r="E75" s="8">
        <f ca="1">IF(COUNTIFS($A$4:$A$56,"D*",$C$4:$C$56,"&lt;&gt;")=0,"",AVERAGEIFS($O$4:$O$56,$A$4:$A$56,"D*",$C$4:$C$56,"&lt;&gt;"))</f>
        <v>7.625</v>
      </c>
    </row>
    <row r="76" spans="3:7" x14ac:dyDescent="0.2">
      <c r="C76" s="45" t="s">
        <v>558</v>
      </c>
      <c r="D76" s="46"/>
      <c r="E76" s="8">
        <f ca="1">IF(COUNTIFS($A$4:$A$56,"E*",$C$4:$C$56,"&lt;&gt;")=0,"",AVERAGEIFS($O$4:$O$56,$A$4:$A$56,"E*",$C$4:$C$56,"&lt;&gt;"))</f>
        <v>1.3125</v>
      </c>
    </row>
    <row r="77" spans="3:7" x14ac:dyDescent="0.2">
      <c r="C77" s="45" t="s">
        <v>559</v>
      </c>
      <c r="D77" s="46"/>
      <c r="E77" s="8">
        <f ca="1">IF(COUNTIF($C$4:$C$56,"&lt;&gt;")=0,"",AVERAGEIFS($O$4:$O$56,$C$4:$C$56,"&lt;&gt;"))</f>
        <v>3.3624999999999998</v>
      </c>
    </row>
    <row r="78" spans="3:7" x14ac:dyDescent="0.2">
      <c r="C78" s="45" t="s">
        <v>560</v>
      </c>
      <c r="D78" s="46"/>
      <c r="E78" s="8" t="str">
        <f ca="1">IF(E77="","",IF(E77&lt;3,"Very Low",IF(E77&lt;6,"Low",IF(E77&lt;9,"Medium",IF(E77&lt;12,"Medium-High","High")))))</f>
        <v>Low</v>
      </c>
    </row>
    <row r="79" spans="3:7" x14ac:dyDescent="0.2">
      <c r="C79" s="51" t="s">
        <v>561</v>
      </c>
      <c r="D79" s="52"/>
      <c r="E79" s="9" t="str">
        <f ca="1">IF(COUNT($E$72:$E$76)=0,"",IF($E$72=MIN($E$72:$E$76),"A",IF($E$73=MIN($E$72:$E$76),"B",IF($E$74=MIN($E$72:$E$76),"C",IF($E$75=MIN($E$72:$E$76),"D","E")))))</f>
        <v>C</v>
      </c>
    </row>
  </sheetData>
  <mergeCells count="20">
    <mergeCell ref="B47:R47"/>
    <mergeCell ref="B25:R25"/>
    <mergeCell ref="C74:D74"/>
    <mergeCell ref="B3:R3"/>
    <mergeCell ref="B8:R8"/>
    <mergeCell ref="B14:R14"/>
    <mergeCell ref="B19:R19"/>
    <mergeCell ref="B30:R30"/>
    <mergeCell ref="B41:R41"/>
    <mergeCell ref="B36:R36"/>
    <mergeCell ref="C79:D79"/>
    <mergeCell ref="C73:D73"/>
    <mergeCell ref="C71:E71"/>
    <mergeCell ref="B52:R52"/>
    <mergeCell ref="C75:D75"/>
    <mergeCell ref="C76:D76"/>
    <mergeCell ref="C61:G61"/>
    <mergeCell ref="C72:D72"/>
    <mergeCell ref="C78:D78"/>
    <mergeCell ref="C77:D77"/>
  </mergeCells>
  <conditionalFormatting sqref="O4:O56">
    <cfRule type="colorScale" priority="11">
      <colorScale>
        <cfvo type="num" val="0"/>
        <cfvo type="percentile" val="50"/>
        <cfvo type="num" val="25"/>
        <color rgb="FF73FB79"/>
        <color rgb="FFFFFD78"/>
        <color rgb="FFFF2600"/>
      </colorScale>
    </cfRule>
  </conditionalFormatting>
  <conditionalFormatting sqref="P4:P56">
    <cfRule type="cellIs" dxfId="19" priority="12" operator="equal">
      <formula>"No Review"</formula>
    </cfRule>
    <cfRule type="cellIs" dxfId="18" priority="13" operator="equal">
      <formula>"Review Required"</formula>
    </cfRule>
  </conditionalFormatting>
  <dataValidations count="1">
    <dataValidation type="list" showInputMessage="1" showErrorMessage="1" sqref="M3:M66" xr:uid="{00000000-0002-0000-0300-000000000000}">
      <formula1>"Critical–Fast,Operational–Medium,Background–Slow,Evergreen–No Penalty"</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126"/>
  <sheetViews>
    <sheetView topLeftCell="G47" zoomScale="125" workbookViewId="0">
      <selection activeCell="L14" sqref="L14"/>
    </sheetView>
  </sheetViews>
  <sheetFormatPr baseColWidth="10" defaultColWidth="8.83203125" defaultRowHeight="15" x14ac:dyDescent="0.2"/>
  <cols>
    <col min="1" max="1" width="13.5" customWidth="1"/>
    <col min="2" max="2" width="180.33203125" customWidth="1"/>
    <col min="3" max="6" width="16.5" customWidth="1"/>
    <col min="7" max="7" width="23" customWidth="1"/>
    <col min="8" max="10" width="16.5" customWidth="1"/>
    <col min="11" max="11" width="22.33203125" style="24" customWidth="1"/>
    <col min="12" max="15" width="16.5" customWidth="1"/>
    <col min="16" max="16" width="18.6640625" customWidth="1"/>
    <col min="17" max="17" width="85.6640625" customWidth="1"/>
    <col min="18" max="18" width="66.33203125" customWidth="1"/>
    <col min="20" max="23" width="16.83203125" customWidth="1"/>
  </cols>
  <sheetData>
    <row r="1" spans="1:19" x14ac:dyDescent="0.2">
      <c r="A1" s="1" t="s">
        <v>140</v>
      </c>
      <c r="B1" s="1" t="s">
        <v>141</v>
      </c>
      <c r="C1" s="1" t="s">
        <v>142</v>
      </c>
      <c r="D1" s="1" t="s">
        <v>143</v>
      </c>
      <c r="E1" s="1" t="s">
        <v>144</v>
      </c>
      <c r="F1" s="1" t="s">
        <v>145</v>
      </c>
      <c r="G1" s="1" t="s">
        <v>146</v>
      </c>
      <c r="H1" s="1" t="s">
        <v>147</v>
      </c>
      <c r="I1" s="1" t="s">
        <v>148</v>
      </c>
      <c r="J1" s="1" t="s">
        <v>149</v>
      </c>
      <c r="K1" s="22" t="s">
        <v>150</v>
      </c>
      <c r="L1" s="1" t="s">
        <v>151</v>
      </c>
      <c r="M1" s="1" t="s">
        <v>152</v>
      </c>
      <c r="N1" s="1" t="s">
        <v>153</v>
      </c>
      <c r="O1" s="1" t="s">
        <v>154</v>
      </c>
      <c r="P1" s="1" t="s">
        <v>155</v>
      </c>
      <c r="Q1" s="1" t="s">
        <v>156</v>
      </c>
      <c r="R1" s="1" t="s">
        <v>157</v>
      </c>
      <c r="S1" t="s">
        <v>158</v>
      </c>
    </row>
    <row r="2" spans="1:19" x14ac:dyDescent="0.2">
      <c r="A2" s="4"/>
      <c r="B2" s="5" t="s">
        <v>997</v>
      </c>
      <c r="C2" s="4"/>
      <c r="D2" s="4"/>
      <c r="E2" s="4"/>
      <c r="F2" s="4"/>
      <c r="G2" s="4"/>
      <c r="H2" s="4"/>
      <c r="I2" s="4"/>
      <c r="J2" s="4"/>
      <c r="K2" s="23"/>
      <c r="L2" s="4"/>
      <c r="M2" s="4"/>
      <c r="N2" s="4"/>
      <c r="O2" s="4"/>
      <c r="P2" s="4"/>
      <c r="Q2" s="4"/>
      <c r="R2" s="4"/>
    </row>
    <row r="3" spans="1:19" x14ac:dyDescent="0.2">
      <c r="A3" s="3"/>
      <c r="B3" s="42"/>
      <c r="C3" s="43"/>
      <c r="D3" s="43"/>
      <c r="E3" s="43"/>
      <c r="F3" s="43"/>
      <c r="G3" s="43"/>
      <c r="H3" s="43"/>
      <c r="I3" s="43"/>
      <c r="J3" s="43"/>
      <c r="K3" s="44"/>
      <c r="L3" s="43"/>
      <c r="M3" s="43"/>
      <c r="N3" s="43"/>
      <c r="O3" s="43"/>
      <c r="P3" s="43"/>
      <c r="Q3" s="43"/>
      <c r="R3" s="43"/>
    </row>
    <row r="4" spans="1:19" x14ac:dyDescent="0.2">
      <c r="A4" t="s">
        <v>160</v>
      </c>
      <c r="B4" t="s">
        <v>998</v>
      </c>
      <c r="C4" t="s">
        <v>999</v>
      </c>
      <c r="D4" t="s">
        <v>174</v>
      </c>
      <c r="E4">
        <f>IF(C4="Multiple audits",0,IF(C4="Single audit",10,IF(C4="No audit",20,IF(C4="Unknown",10,""))))</f>
        <v>10</v>
      </c>
      <c r="F4">
        <f t="shared" ref="F4:F9" si="0">IF(D4="High",0,IF(D4="Medium",0.05,IF(D4="Low",0.1,IF(D4="Unknown",0.15,""))))</f>
        <v>0.05</v>
      </c>
      <c r="G4">
        <f t="shared" ref="G4:G9" si="1">E4*(1+F4)</f>
        <v>10.5</v>
      </c>
      <c r="H4" t="s">
        <v>1000</v>
      </c>
      <c r="I4" t="s">
        <v>1001</v>
      </c>
      <c r="J4" t="s">
        <v>166</v>
      </c>
      <c r="K4" s="24">
        <f>IF(AND(I4="",J4=""),"",MAX(IF(I4&lt;&gt;"",DATEVALUE(TRIM(RIGHT(SUBSTITUTE(I4,";",REPT(" ",50)),50))),0),IF(J4&lt;&gt;"",DATEVALUE(TRIM(RIGHT(SUBSTITUTE(J4,";",REPT(" ",50)),50))),0)))</f>
        <v>45986</v>
      </c>
      <c r="L4">
        <f ca="1">IF(K4="","",TODAY()-K4)</f>
        <v>13</v>
      </c>
      <c r="M4" t="s">
        <v>305</v>
      </c>
      <c r="N4">
        <f t="shared" ref="N4:N9" ca="1" si="2">IF(M4="","",IF(L4="",INDEX($F$110:$F$113,MATCH(M4,$C$110:$C$113,0)),IF(L4&lt;=INDEX($D$110:$D$113,MATCH(M4,$C$110:$C$113,0)),0,IF(L4&lt;=INDEX($E$110:$E$113,MATCH(M4,$C$110:$C$113,0)),INDEX($F$110:$F$113,MATCH(M4,$C$110:$C$113,0)),INDEX($G$110:$G$113,MATCH(M4,$C$110:$C$113,0))))))</f>
        <v>0</v>
      </c>
      <c r="O4">
        <f>G4+N3</f>
        <v>10.5</v>
      </c>
      <c r="P4" t="str">
        <f>IF(AND(C4="No audit",OR(D4="High",D4="Medium")),"Review Required","No Review")</f>
        <v>No Review</v>
      </c>
      <c r="Q4" t="s">
        <v>1002</v>
      </c>
      <c r="R4" t="s">
        <v>1003</v>
      </c>
    </row>
    <row r="5" spans="1:19" x14ac:dyDescent="0.2">
      <c r="A5" t="s">
        <v>171</v>
      </c>
      <c r="B5" t="s">
        <v>1004</v>
      </c>
      <c r="C5" t="s">
        <v>1005</v>
      </c>
      <c r="D5" t="s">
        <v>174</v>
      </c>
      <c r="E5">
        <f>IF(C5="Tier-1",0,IF(C5="Tier-2",10,IF(C5="Low-tier or self-audited",20,IF(C5="Unknown",10,""))))</f>
        <v>10</v>
      </c>
      <c r="F5">
        <f t="shared" si="0"/>
        <v>0.05</v>
      </c>
      <c r="G5">
        <f t="shared" si="1"/>
        <v>10.5</v>
      </c>
      <c r="H5" t="s">
        <v>1006</v>
      </c>
      <c r="I5" t="s">
        <v>1007</v>
      </c>
      <c r="J5" t="s">
        <v>250</v>
      </c>
      <c r="K5" s="24">
        <f>IF(AND(I5="",J5=""),"",MAX(IF(I5&lt;&gt;"",DATEVALUE(TRIM(RIGHT(SUBSTITUTE(I5,";",REPT(" ",50)),50))),0),IF(J5&lt;&gt;"",DATEVALUE(TRIM(RIGHT(SUBSTITUTE(J5,";",REPT(" ",50)),50))),0)))</f>
        <v>45986</v>
      </c>
      <c r="L5">
        <f ca="1">IF(K5="","",TODAY()-K5)</f>
        <v>13</v>
      </c>
      <c r="M5" t="s">
        <v>167</v>
      </c>
      <c r="N5">
        <f t="shared" ca="1" si="2"/>
        <v>0</v>
      </c>
      <c r="O5">
        <f ca="1">G5+N4</f>
        <v>10.5</v>
      </c>
      <c r="P5" t="s">
        <v>168</v>
      </c>
      <c r="R5" t="s">
        <v>1008</v>
      </c>
    </row>
    <row r="6" spans="1:19" x14ac:dyDescent="0.2">
      <c r="A6" t="s">
        <v>179</v>
      </c>
      <c r="B6" t="s">
        <v>1009</v>
      </c>
      <c r="C6" t="s">
        <v>1010</v>
      </c>
      <c r="D6" t="s">
        <v>174</v>
      </c>
      <c r="E6">
        <f>IF(C6="&lt;12 months",0,IF(C6="12–24 months",10,IF(C6="&gt;24 months",20,IF(C6="Unknown",10,""))))</f>
        <v>0</v>
      </c>
      <c r="F6">
        <f t="shared" si="0"/>
        <v>0.05</v>
      </c>
      <c r="G6">
        <f t="shared" si="1"/>
        <v>0</v>
      </c>
      <c r="H6" t="s">
        <v>1011</v>
      </c>
      <c r="I6" t="s">
        <v>1012</v>
      </c>
      <c r="J6" t="s">
        <v>250</v>
      </c>
      <c r="K6" s="24">
        <f>IF(AND(I6="",J6=""),"",MAX(IF(I6&lt;&gt;"",DATEVALUE(TRIM(RIGHT(SUBSTITUTE(I6,";",REPT(" ",50)),50))),0),IF(J6&lt;&gt;"",DATEVALUE(TRIM(RIGHT(SUBSTITUTE(J6,";",REPT(" ",50)),50))),0)))</f>
        <v>45986</v>
      </c>
      <c r="L6">
        <f ca="1">IF(K6="","",TODAY()-K6)</f>
        <v>13</v>
      </c>
      <c r="M6" t="s">
        <v>184</v>
      </c>
      <c r="N6">
        <f t="shared" ca="1" si="2"/>
        <v>0</v>
      </c>
      <c r="O6">
        <f ca="1">G6+N6</f>
        <v>0</v>
      </c>
      <c r="P6" t="s">
        <v>168</v>
      </c>
      <c r="R6" t="s">
        <v>1013</v>
      </c>
    </row>
    <row r="7" spans="1:19" x14ac:dyDescent="0.2">
      <c r="A7" t="s">
        <v>187</v>
      </c>
      <c r="B7" t="s">
        <v>1014</v>
      </c>
      <c r="C7" t="s">
        <v>275</v>
      </c>
      <c r="D7" t="s">
        <v>315</v>
      </c>
      <c r="E7">
        <f>IF(C7="All upgrades re-audited",0,IF(C7="Some re-audited",10,IF(C7="No re-audit",20,IF(C7="Unknown",10,""))))</f>
        <v>10</v>
      </c>
      <c r="F7">
        <f t="shared" si="0"/>
        <v>0.1</v>
      </c>
      <c r="G7">
        <f t="shared" si="1"/>
        <v>11</v>
      </c>
      <c r="H7" t="s">
        <v>1015</v>
      </c>
      <c r="I7" t="s">
        <v>1016</v>
      </c>
      <c r="J7" t="s">
        <v>250</v>
      </c>
      <c r="K7" s="24">
        <f>IF(AND(I7="",J7=""),"",MAX(IF(I7&lt;&gt;"",DATEVALUE(TRIM(RIGHT(SUBSTITUTE(I7,";",REPT(" ",50)),50))),0),IF(J7&lt;&gt;"",DATEVALUE(TRIM(RIGHT(SUBSTITUTE(J7,";",REPT(" ",50)),50))),0)))</f>
        <v>45986</v>
      </c>
      <c r="L7">
        <f ca="1">IF(K7="","",TODAY()-K7)</f>
        <v>13</v>
      </c>
      <c r="M7" t="s">
        <v>184</v>
      </c>
      <c r="N7">
        <f t="shared" ca="1" si="2"/>
        <v>0</v>
      </c>
      <c r="O7">
        <f ca="1">G7+N7</f>
        <v>11</v>
      </c>
      <c r="P7" t="str">
        <f>IF(AND(C7="No re-audit",OR(D7="High",D7="Medium")),"Review Required","No Review")</f>
        <v>No Review</v>
      </c>
      <c r="Q7" t="s">
        <v>1017</v>
      </c>
      <c r="R7" t="s">
        <v>1018</v>
      </c>
    </row>
    <row r="8" spans="1:19" x14ac:dyDescent="0.2">
      <c r="A8" t="s">
        <v>194</v>
      </c>
      <c r="B8" t="s">
        <v>1019</v>
      </c>
      <c r="C8" t="s">
        <v>275</v>
      </c>
      <c r="D8" t="s">
        <v>174</v>
      </c>
      <c r="E8">
        <f>IF(C8="No high-severity",0,IF(C8="High findings remediated",10,IF(C8="High findings unremediated",20,IF(C8="Unknown",10,""))))</f>
        <v>10</v>
      </c>
      <c r="F8">
        <f t="shared" si="0"/>
        <v>0.05</v>
      </c>
      <c r="G8">
        <f t="shared" si="1"/>
        <v>10.5</v>
      </c>
      <c r="H8" t="s">
        <v>1020</v>
      </c>
      <c r="I8" t="s">
        <v>1021</v>
      </c>
      <c r="J8" t="s">
        <v>166</v>
      </c>
      <c r="K8" s="24">
        <f>IF(AND(I8="",J8=""),"",MAX(IF(I8&lt;&gt;"",DATEVALUE(TRIM(RIGHT(SUBSTITUTE(I8,";",REPT(" ",50)),50))),0),IF(J8&lt;&gt;"",DATEVALUE(TRIM(RIGHT(SUBSTITUTE(J8,";",REPT(" ",50)),50))),0)))</f>
        <v>45986</v>
      </c>
      <c r="L8">
        <f ca="1">IF(K8="","",TODAY()-K8)</f>
        <v>13</v>
      </c>
      <c r="M8" t="s">
        <v>184</v>
      </c>
      <c r="N8">
        <f t="shared" ca="1" si="2"/>
        <v>0</v>
      </c>
      <c r="O8">
        <f ca="1">G8+N8</f>
        <v>10.5</v>
      </c>
      <c r="P8" t="str">
        <f>IF(AND(C8="High findings unremediated",OR(D8="High",D8="Medium")),"Review Required","No Review")</f>
        <v>No Review</v>
      </c>
      <c r="Q8" t="s">
        <v>1022</v>
      </c>
      <c r="R8" t="s">
        <v>1023</v>
      </c>
    </row>
    <row r="9" spans="1:19" x14ac:dyDescent="0.2">
      <c r="A9" t="s">
        <v>201</v>
      </c>
      <c r="B9" t="s">
        <v>1024</v>
      </c>
      <c r="C9" t="s">
        <v>1025</v>
      </c>
      <c r="D9" t="s">
        <v>174</v>
      </c>
      <c r="E9">
        <v>0</v>
      </c>
      <c r="F9">
        <f t="shared" si="0"/>
        <v>0.05</v>
      </c>
      <c r="G9">
        <f t="shared" si="1"/>
        <v>0</v>
      </c>
      <c r="H9" t="s">
        <v>1026</v>
      </c>
      <c r="I9" t="s">
        <v>1027</v>
      </c>
      <c r="J9" t="s">
        <v>166</v>
      </c>
      <c r="M9" t="s">
        <v>305</v>
      </c>
      <c r="N9">
        <f t="shared" si="2"/>
        <v>2</v>
      </c>
      <c r="O9">
        <f>G9+N9</f>
        <v>2</v>
      </c>
      <c r="P9" t="s">
        <v>168</v>
      </c>
      <c r="Q9" t="s">
        <v>871</v>
      </c>
      <c r="R9" t="s">
        <v>1028</v>
      </c>
    </row>
    <row r="10" spans="1:19" x14ac:dyDescent="0.2">
      <c r="A10" s="3"/>
      <c r="B10" s="42"/>
      <c r="C10" s="43"/>
      <c r="D10" s="43"/>
      <c r="E10" s="43"/>
      <c r="F10" s="43"/>
      <c r="G10" s="43"/>
      <c r="H10" s="43"/>
      <c r="I10" s="43"/>
      <c r="J10" s="43"/>
      <c r="K10" s="44"/>
      <c r="L10" s="43"/>
      <c r="M10" s="43"/>
      <c r="N10" s="43"/>
      <c r="O10" s="43"/>
      <c r="P10" s="43"/>
      <c r="Q10" s="43"/>
      <c r="R10" s="43"/>
    </row>
    <row r="11" spans="1:19" x14ac:dyDescent="0.2">
      <c r="A11" t="s">
        <v>208</v>
      </c>
      <c r="B11" t="s">
        <v>1029</v>
      </c>
      <c r="C11" t="s">
        <v>1030</v>
      </c>
      <c r="D11" t="s">
        <v>163</v>
      </c>
      <c r="E11">
        <f>IF(C11="Mature (&gt;24 months)",0,IF(C11="Mid-stage (6–24 months)",10,IF(C11="Early (&lt;6 months)",20,IF(C11="Unknown",10,""))))</f>
        <v>20</v>
      </c>
      <c r="F11">
        <f>IF(D11="High",0,IF(D11="Medium",0.05,IF(D11="Low",0.1,IF(D11="Unknown",0.15,""))))</f>
        <v>0</v>
      </c>
      <c r="G11">
        <f>E11*(1+F11)</f>
        <v>20</v>
      </c>
      <c r="H11" t="s">
        <v>1031</v>
      </c>
      <c r="I11" t="s">
        <v>1032</v>
      </c>
      <c r="J11" t="s">
        <v>166</v>
      </c>
      <c r="K11" s="24">
        <f>IF(AND(I11="",J11=""),"",MAX(IF(I11&lt;&gt;"",DATEVALUE(TRIM(RIGHT(SUBSTITUTE(I11,";",REPT(" ",50)),50))),0),IF(J11&lt;&gt;"",DATEVALUE(TRIM(RIGHT(SUBSTITUTE(J11,";",REPT(" ",50)),50))),0)))</f>
        <v>45986</v>
      </c>
      <c r="L11">
        <f ca="1">IF(K11="","",TODAY()-K11)</f>
        <v>13</v>
      </c>
      <c r="M11" t="s">
        <v>167</v>
      </c>
      <c r="N11">
        <f ca="1">IF(M11="","",IF(L11="",INDEX($F$110:$F$113,MATCH(M11,$C$110:$C$113,0)),IF(L11&lt;=INDEX($D$110:$D$113,MATCH(M11,$C$110:$C$113,0)),0,IF(L11&lt;=INDEX($E$110:$E$113,MATCH(M11,$C$110:$C$113,0)),INDEX($F$110:$F$113,MATCH(M11,$C$110:$C$113,0)),INDEX($G$110:$G$113,MATCH(M11,$C$110:$C$113,0))))))</f>
        <v>0</v>
      </c>
      <c r="O11">
        <f ca="1">G11+N11</f>
        <v>20</v>
      </c>
      <c r="P11" t="s">
        <v>168</v>
      </c>
      <c r="R11" t="s">
        <v>1033</v>
      </c>
    </row>
    <row r="12" spans="1:19" x14ac:dyDescent="0.2">
      <c r="A12" t="s">
        <v>214</v>
      </c>
      <c r="B12" t="s">
        <v>1034</v>
      </c>
      <c r="C12" t="s">
        <v>1035</v>
      </c>
      <c r="D12" t="s">
        <v>174</v>
      </c>
      <c r="E12">
        <f>IF(C12="Fully open-source",0,IF(C12="Partially open-source",10,IF(C12="Closed-source",20,IF(C12="Unknown",10,""))))</f>
        <v>10</v>
      </c>
      <c r="F12">
        <f>IF(D12="High",0,IF(D12="Medium",0.05,IF(D12="Low",0.1,IF(D12="Unknown",0.15,""))))</f>
        <v>0.05</v>
      </c>
      <c r="G12">
        <f>E12*(1+F12)</f>
        <v>10.5</v>
      </c>
      <c r="H12" t="s">
        <v>1036</v>
      </c>
      <c r="J12" t="s">
        <v>250</v>
      </c>
      <c r="K12" s="24">
        <f>IF(AND(I12="",J12=""),"",MAX(IF(I12&lt;&gt;"",DATEVALUE(TRIM(RIGHT(SUBSTITUTE(I12,";",REPT(" ",50)),50))),0),IF(J12&lt;&gt;"",DATEVALUE(TRIM(RIGHT(SUBSTITUTE(J12,";",REPT(" ",50)),50))),0)))</f>
        <v>45986</v>
      </c>
      <c r="L12">
        <f ca="1">IF(K12="","",TODAY()-K12)</f>
        <v>13</v>
      </c>
      <c r="M12" t="s">
        <v>167</v>
      </c>
      <c r="N12">
        <f ca="1">IF(M12="","",IF(L12="",INDEX($F$110:$F$113,MATCH(M12,$C$110:$C$113,0)),IF(L12&lt;=INDEX($D$110:$D$113,MATCH(M12,$C$110:$C$113,0)),0,IF(L12&lt;=INDEX($E$110:$E$113,MATCH(M12,$C$110:$C$113,0)),INDEX($F$110:$F$113,MATCH(M12,$C$110:$C$113,0)),INDEX($G$110:$G$113,MATCH(M12,$C$110:$C$113,0))))))</f>
        <v>0</v>
      </c>
      <c r="O12">
        <f ca="1">G12+N12</f>
        <v>10.5</v>
      </c>
      <c r="P12" t="str">
        <f>IF(AND(C12="Closed-source",OR(D12="High",D12="Medium")),"Review Required","No Review")</f>
        <v>No Review</v>
      </c>
      <c r="Q12" t="s">
        <v>1037</v>
      </c>
      <c r="R12" t="s">
        <v>1038</v>
      </c>
    </row>
    <row r="13" spans="1:19" x14ac:dyDescent="0.2">
      <c r="A13" t="s">
        <v>220</v>
      </c>
      <c r="B13" t="s">
        <v>1039</v>
      </c>
      <c r="C13" t="s">
        <v>181</v>
      </c>
      <c r="D13" t="s">
        <v>174</v>
      </c>
      <c r="E13">
        <f>IF(C13="Comprehensive",0,IF(C13="Partial",10,IF(C13="Minimal/outdated",20,IF(C13="Unknown",10,""))))</f>
        <v>10</v>
      </c>
      <c r="F13">
        <f>IF(D13="High",0,IF(D13="Medium",0.05,IF(D13="Low",0.1,IF(D13="Unknown",0.15,""))))</f>
        <v>0.05</v>
      </c>
      <c r="G13">
        <f>E13*(1+F13)</f>
        <v>10.5</v>
      </c>
      <c r="H13" t="s">
        <v>1040</v>
      </c>
      <c r="I13" t="s">
        <v>672</v>
      </c>
      <c r="J13" t="s">
        <v>166</v>
      </c>
      <c r="K13" s="24">
        <f>IF(AND(I13="",J13=""),"",MAX(IF(I13&lt;&gt;"",DATEVALUE(TRIM(RIGHT(SUBSTITUTE(I13,";",REPT(" ",50)),50))),0),IF(J13&lt;&gt;"",DATEVALUE(TRIM(RIGHT(SUBSTITUTE(J13,";",REPT(" ",50)),50))),0)))</f>
        <v>45986</v>
      </c>
      <c r="L13">
        <f ca="1">IF(K13="","",TODAY()-K13)</f>
        <v>13</v>
      </c>
      <c r="M13" t="s">
        <v>167</v>
      </c>
      <c r="N13">
        <f ca="1">IF(M13="","",IF(L13="",INDEX($F$110:$F$113,MATCH(M13,$C$110:$C$113,0)),IF(L13&lt;=INDEX($D$110:$D$113,MATCH(M13,$C$110:$C$113,0)),0,IF(L13&lt;=INDEX($E$110:$E$113,MATCH(M13,$C$110:$C$113,0)),INDEX($F$110:$F$113,MATCH(M13,$C$110:$C$113,0)),INDEX($G$110:$G$113,MATCH(M13,$C$110:$C$113,0))))))</f>
        <v>0</v>
      </c>
      <c r="O13">
        <f ca="1">G13+N13</f>
        <v>10.5</v>
      </c>
      <c r="P13" t="s">
        <v>168</v>
      </c>
      <c r="R13" t="s">
        <v>1041</v>
      </c>
    </row>
    <row r="14" spans="1:19" x14ac:dyDescent="0.2">
      <c r="A14" t="s">
        <v>1042</v>
      </c>
      <c r="B14" t="s">
        <v>1043</v>
      </c>
      <c r="C14" t="s">
        <v>275</v>
      </c>
      <c r="D14" t="s">
        <v>174</v>
      </c>
      <c r="E14">
        <f>IF(C14="Yes – core components",0,IF(C14="Yes – limited components",10,IF(C14="No",20,IF(C14="Unknown",10,""))))</f>
        <v>10</v>
      </c>
      <c r="F14">
        <f>IF(D14="High",0,IF(D14="Medium",0.05,IF(D14="Low",0.1,IF(D14="Unknown",0.15,""))))</f>
        <v>0.05</v>
      </c>
      <c r="G14">
        <f>E14*(1+F14)</f>
        <v>10.5</v>
      </c>
      <c r="H14" t="s">
        <v>1044</v>
      </c>
      <c r="I14" t="s">
        <v>1045</v>
      </c>
      <c r="J14" t="s">
        <v>166</v>
      </c>
      <c r="K14" s="24">
        <f>IF(AND(I14="",J14=""),"",MAX(IF(I14&lt;&gt;"",DATEVALUE(TRIM(RIGHT(SUBSTITUTE(I14,";",REPT(" ",50)),50))),0),IF(J14&lt;&gt;"",DATEVALUE(TRIM(RIGHT(SUBSTITUTE(J14,";",REPT(" ",50)),50))),0)))</f>
        <v>45986</v>
      </c>
      <c r="L14">
        <f ca="1">IF(K14="","",TODAY()-K14)</f>
        <v>13</v>
      </c>
      <c r="M14" t="s">
        <v>167</v>
      </c>
      <c r="N14">
        <f ca="1">IF(M14="","",IF(L14="",INDEX($F$110:$F$113,MATCH(M14,$C$110:$C$113,0)),IF(L14&lt;=INDEX($D$110:$D$113,MATCH(M14,$C$110:$C$113,0)),0,IF(L14&lt;=INDEX($E$110:$E$113,MATCH(M14,$C$110:$C$113,0)),INDEX($F$110:$F$113,MATCH(M14,$C$110:$C$113,0)),INDEX($G$110:$G$113,MATCH(M14,$C$110:$C$113,0))))))</f>
        <v>0</v>
      </c>
      <c r="O14">
        <f ca="1">G14+N14</f>
        <v>10.5</v>
      </c>
      <c r="P14" t="s">
        <v>168</v>
      </c>
      <c r="R14" t="s">
        <v>1046</v>
      </c>
    </row>
    <row r="15" spans="1:19" x14ac:dyDescent="0.2">
      <c r="A15" t="s">
        <v>225</v>
      </c>
      <c r="B15" t="s">
        <v>1047</v>
      </c>
      <c r="C15" t="s">
        <v>1048</v>
      </c>
      <c r="D15" t="s">
        <v>174</v>
      </c>
      <c r="E15">
        <v>0</v>
      </c>
      <c r="F15">
        <f>IF(D15="High",0,IF(D15="Medium",0.05,IF(D15="Low",0.1,IF(D15="Unknown",0.15,""))))</f>
        <v>0.05</v>
      </c>
      <c r="G15">
        <f>E15*(1+F15)</f>
        <v>0</v>
      </c>
      <c r="H15" t="s">
        <v>1049</v>
      </c>
      <c r="I15" t="s">
        <v>1050</v>
      </c>
      <c r="J15" t="s">
        <v>166</v>
      </c>
      <c r="M15" t="s">
        <v>167</v>
      </c>
      <c r="N15">
        <f>IF(M15="","",IF(L15="",INDEX($F$110:$F$113,MATCH(M15,$C$110:$C$113,0)),IF(L15&lt;=INDEX($D$110:$D$113,MATCH(M15,$C$110:$C$113,0)),0,IF(L15&lt;=INDEX($E$110:$E$113,MATCH(M15,$C$110:$C$113,0)),INDEX($F$110:$F$113,MATCH(M15,$C$110:$C$113,0)),INDEX($G$110:$G$113,MATCH(M15,$C$110:$C$113,0))))))</f>
        <v>0</v>
      </c>
      <c r="O15">
        <f>G15+N15</f>
        <v>0</v>
      </c>
      <c r="P15" t="s">
        <v>168</v>
      </c>
      <c r="Q15" t="s">
        <v>871</v>
      </c>
      <c r="R15" t="s">
        <v>1051</v>
      </c>
    </row>
    <row r="16" spans="1:19" x14ac:dyDescent="0.2">
      <c r="A16" s="3"/>
      <c r="B16" s="42"/>
      <c r="C16" s="43"/>
      <c r="D16" s="43"/>
      <c r="E16" s="43"/>
      <c r="F16" s="43"/>
      <c r="G16" s="43"/>
      <c r="H16" s="43"/>
      <c r="I16" s="43"/>
      <c r="J16" s="43"/>
      <c r="K16" s="44"/>
      <c r="L16" s="43"/>
      <c r="M16" s="43"/>
      <c r="N16" s="43"/>
      <c r="O16" s="43"/>
      <c r="P16" s="43"/>
      <c r="Q16" s="43"/>
      <c r="R16" s="43"/>
    </row>
    <row r="17" spans="1:18" x14ac:dyDescent="0.2">
      <c r="A17" t="s">
        <v>231</v>
      </c>
      <c r="B17" t="s">
        <v>1052</v>
      </c>
      <c r="C17" t="s">
        <v>275</v>
      </c>
      <c r="D17" t="s">
        <v>174</v>
      </c>
      <c r="E17">
        <f>IF(C17="High coverage (&gt;80%)",0,IF(C17="Some coverage (20–80%)",10,IF(C17="Minimal/no coverage",20,IF(C17="Unknown",10,""))))</f>
        <v>10</v>
      </c>
      <c r="F17">
        <f>IF(D17="High",0,IF(D17="Medium",0.05,IF(D17="Low",0.1,IF(D17="Unknown",0.15,""))))</f>
        <v>0.05</v>
      </c>
      <c r="G17">
        <f>E17*(1+F17)</f>
        <v>10.5</v>
      </c>
      <c r="H17" t="s">
        <v>1053</v>
      </c>
      <c r="I17" t="s">
        <v>1054</v>
      </c>
      <c r="J17" t="s">
        <v>166</v>
      </c>
      <c r="K17" s="24">
        <f>IF(AND(I17="",J17=""),"",MAX(IF(I17&lt;&gt;"",DATEVALUE(TRIM(RIGHT(SUBSTITUTE(I17,";",REPT(" ",50)),50))),0),IF(J17&lt;&gt;"",DATEVALUE(TRIM(RIGHT(SUBSTITUTE(J17,";",REPT(" ",50)),50))),0)))</f>
        <v>45986</v>
      </c>
      <c r="L17">
        <f ca="1">IF(K17="","",TODAY()-K17)</f>
        <v>13</v>
      </c>
      <c r="M17" t="s">
        <v>184</v>
      </c>
      <c r="N17">
        <f ca="1">IF(M17="","",IF(L17="",INDEX($F$110:$F$113,MATCH(M17,$C$110:$C$113,0)),IF(L17&lt;=INDEX($D$110:$D$113,MATCH(M17,$C$110:$C$113,0)),0,IF(L17&lt;=INDEX($E$110:$E$113,MATCH(M17,$C$110:$C$113,0)),INDEX($F$110:$F$113,MATCH(M17,$C$110:$C$113,0)),INDEX($G$110:$G$113,MATCH(M17,$C$110:$C$113,0))))))</f>
        <v>0</v>
      </c>
      <c r="O17">
        <f ca="1">G17+N17</f>
        <v>10.5</v>
      </c>
      <c r="P17" t="s">
        <v>168</v>
      </c>
      <c r="R17" t="s">
        <v>1055</v>
      </c>
    </row>
    <row r="18" spans="1:18" x14ac:dyDescent="0.2">
      <c r="A18" t="s">
        <v>1056</v>
      </c>
      <c r="B18" t="s">
        <v>1057</v>
      </c>
      <c r="C18" t="s">
        <v>275</v>
      </c>
      <c r="D18" t="s">
        <v>174</v>
      </c>
      <c r="E18">
        <f>IF(C18="Stable with no major issues",0,IF(C18="Some issues but resolved",10,IF(C18="Frequent stability problems",20,IF(C18="Unknown",10,""))))</f>
        <v>10</v>
      </c>
      <c r="F18">
        <f>IF(D18="High",0,IF(D18="Medium",0.05,IF(D18="Low",0.1,IF(D18="Unknown",0.15,""))))</f>
        <v>0.05</v>
      </c>
      <c r="G18">
        <f>E18*(1+F18)</f>
        <v>10.5</v>
      </c>
      <c r="H18" t="s">
        <v>1058</v>
      </c>
      <c r="I18" t="s">
        <v>1059</v>
      </c>
      <c r="J18" t="s">
        <v>250</v>
      </c>
      <c r="K18" s="24">
        <f>IF(AND(I18="",J18=""),"",MAX(IF(I18&lt;&gt;"",DATEVALUE(TRIM(RIGHT(SUBSTITUTE(I18,";",REPT(" ",50)),50))),0),IF(J18&lt;&gt;"",DATEVALUE(TRIM(RIGHT(SUBSTITUTE(J18,";",REPT(" ",50)),50))),0)))</f>
        <v>45986</v>
      </c>
      <c r="L18">
        <f ca="1">IF(K18="","",TODAY()-K18)</f>
        <v>13</v>
      </c>
      <c r="M18" t="s">
        <v>184</v>
      </c>
      <c r="N18">
        <f ca="1">IF(M18="","",IF(L18="",INDEX($F$110:$F$113,MATCH(M18,$C$110:$C$113,0)),IF(L18&lt;=INDEX($D$110:$D$113,MATCH(M18,$C$110:$C$113,0)),0,IF(L18&lt;=INDEX($E$110:$E$113,MATCH(M18,$C$110:$C$113,0)),INDEX($F$110:$F$113,MATCH(M18,$C$110:$C$113,0)),INDEX($G$110:$G$113,MATCH(M18,$C$110:$C$113,0))))))</f>
        <v>0</v>
      </c>
      <c r="O18">
        <f ca="1">G18+N18</f>
        <v>10.5</v>
      </c>
      <c r="P18" t="s">
        <v>168</v>
      </c>
      <c r="R18" t="s">
        <v>1060</v>
      </c>
    </row>
    <row r="19" spans="1:18" x14ac:dyDescent="0.2">
      <c r="A19" t="s">
        <v>1061</v>
      </c>
      <c r="B19" t="s">
        <v>1062</v>
      </c>
      <c r="C19" t="s">
        <v>1063</v>
      </c>
      <c r="D19" t="s">
        <v>174</v>
      </c>
      <c r="E19">
        <f>IF(C19="Clear CI/CD pipeline documented",0,IF(C19="Partial visibility",10,IF(C19="No visible CI/CD process",20,IF(C19="Unknown",10,""))))</f>
        <v>20</v>
      </c>
      <c r="F19">
        <f>IF(D19="High",0,IF(D19="Medium",0.05,IF(D19="Low",0.1,IF(D19="Unknown",0.15,""))))</f>
        <v>0.05</v>
      </c>
      <c r="G19">
        <f>E19*(1+F19)</f>
        <v>21</v>
      </c>
      <c r="H19" t="s">
        <v>1064</v>
      </c>
      <c r="I19" t="s">
        <v>1065</v>
      </c>
      <c r="J19" t="s">
        <v>166</v>
      </c>
      <c r="K19" s="24">
        <f>IF(AND(I19="",J19=""),"",MAX(IF(I19&lt;&gt;"",DATEVALUE(TRIM(RIGHT(SUBSTITUTE(I19,";",REPT(" ",50)),50))),0),IF(J19&lt;&gt;"",DATEVALUE(TRIM(RIGHT(SUBSTITUTE(J19,";",REPT(" ",50)),50))),0)))</f>
        <v>45986</v>
      </c>
      <c r="L19">
        <f ca="1">IF(K19="","",TODAY()-K19)</f>
        <v>13</v>
      </c>
      <c r="M19" t="s">
        <v>184</v>
      </c>
      <c r="N19">
        <f ca="1">IF(M19="","",IF(L19="",INDEX($F$110:$F$113,MATCH(M19,$C$110:$C$113,0)),IF(L19&lt;=INDEX($D$110:$D$113,MATCH(M19,$C$110:$C$113,0)),0,IF(L19&lt;=INDEX($E$110:$E$113,MATCH(M19,$C$110:$C$113,0)),INDEX($F$110:$F$113,MATCH(M19,$C$110:$C$113,0)),INDEX($G$110:$G$113,MATCH(M19,$C$110:$C$113,0))))))</f>
        <v>0</v>
      </c>
      <c r="O19">
        <f ca="1">G19+N19</f>
        <v>21</v>
      </c>
      <c r="P19" t="s">
        <v>168</v>
      </c>
      <c r="R19" t="s">
        <v>1066</v>
      </c>
    </row>
    <row r="20" spans="1:18" x14ac:dyDescent="0.2">
      <c r="A20" t="s">
        <v>1067</v>
      </c>
      <c r="B20" t="s">
        <v>1068</v>
      </c>
      <c r="C20" t="s">
        <v>1069</v>
      </c>
      <c r="D20" t="s">
        <v>174</v>
      </c>
      <c r="E20">
        <f>IF(C20="No notable issues",0,IF(C20="Some issues flagged",10,IF(C20="Structural/recurring issues",20,IF(C20="Unknown",10,""))))</f>
        <v>20</v>
      </c>
      <c r="F20">
        <f>IF(D20="High",0,IF(D20="Medium",0.05,IF(D20="Low",0.1,IF(D20="Unknown",0.15,""))))</f>
        <v>0.05</v>
      </c>
      <c r="G20">
        <f>E20*(1+F20)</f>
        <v>21</v>
      </c>
      <c r="H20" t="s">
        <v>1070</v>
      </c>
      <c r="I20" t="s">
        <v>1071</v>
      </c>
      <c r="J20" t="s">
        <v>166</v>
      </c>
      <c r="K20" s="24">
        <f>IF(AND(I20="",J20=""),"",MAX(IF(I20&lt;&gt;"",DATEVALUE(TRIM(RIGHT(SUBSTITUTE(I20,";",REPT(" ",50)),50))),0),IF(J20&lt;&gt;"",DATEVALUE(TRIM(RIGHT(SUBSTITUTE(J20,";",REPT(" ",50)),50))),0)))</f>
        <v>45986</v>
      </c>
      <c r="L20">
        <f ca="1">IF(K20="","",TODAY()-K20)</f>
        <v>13</v>
      </c>
      <c r="M20" t="s">
        <v>305</v>
      </c>
      <c r="N20">
        <f ca="1">IF(M20="","",IF(L20="",INDEX($F$110:$F$113,MATCH(M20,$C$110:$C$113,0)),IF(L20&lt;=INDEX($D$110:$D$113,MATCH(M20,$C$110:$C$113,0)),0,IF(L20&lt;=INDEX($E$110:$E$113,MATCH(M20,$C$110:$C$113,0)),INDEX($F$110:$F$113,MATCH(M20,$C$110:$C$113,0)),INDEX($G$110:$G$113,MATCH(M20,$C$110:$C$113,0))))))</f>
        <v>0</v>
      </c>
      <c r="O20">
        <f ca="1">G20+N20</f>
        <v>21</v>
      </c>
      <c r="P20" t="str">
        <f>IF(AND(C20="Structural/recurring issues",OR(D20="High",D20="Medium")),"Review Required","No Review")</f>
        <v>Review Required</v>
      </c>
      <c r="Q20" t="s">
        <v>1072</v>
      </c>
      <c r="R20" t="s">
        <v>1073</v>
      </c>
    </row>
    <row r="21" spans="1:18" x14ac:dyDescent="0.2">
      <c r="A21" t="s">
        <v>238</v>
      </c>
      <c r="B21" t="s">
        <v>1074</v>
      </c>
      <c r="C21" t="s">
        <v>1075</v>
      </c>
      <c r="D21" t="s">
        <v>174</v>
      </c>
      <c r="E21">
        <v>0</v>
      </c>
      <c r="F21">
        <f>IF(D21="High",0,IF(D21="Medium",0.05,IF(D21="Low",0.1,IF(D21="Unknown",0.15,""))))</f>
        <v>0.05</v>
      </c>
      <c r="G21">
        <f>E21*(1+F21)</f>
        <v>0</v>
      </c>
      <c r="H21" t="s">
        <v>1076</v>
      </c>
      <c r="I21" t="s">
        <v>1077</v>
      </c>
      <c r="J21" t="s">
        <v>166</v>
      </c>
      <c r="M21" t="s">
        <v>305</v>
      </c>
      <c r="N21">
        <f>IF(M21="","",IF(L21="",INDEX($F$110:$F$113,MATCH(M21,$C$110:$C$113,0)),IF(L21&lt;=INDEX($D$110:$D$113,MATCH(M21,$C$110:$C$113,0)),0,IF(L21&lt;=INDEX($E$110:$E$113,MATCH(M21,$C$110:$C$113,0)),INDEX($F$110:$F$113,MATCH(M21,$C$110:$C$113,0)),INDEX($G$110:$G$113,MATCH(M21,$C$110:$C$113,0))))))</f>
        <v>2</v>
      </c>
      <c r="O21">
        <f>G21+N21</f>
        <v>2</v>
      </c>
      <c r="P21" t="s">
        <v>168</v>
      </c>
      <c r="Q21" t="s">
        <v>871</v>
      </c>
      <c r="R21" t="s">
        <v>1078</v>
      </c>
    </row>
    <row r="22" spans="1:18" x14ac:dyDescent="0.2">
      <c r="A22" s="3"/>
      <c r="B22" s="42"/>
      <c r="C22" s="43"/>
      <c r="D22" s="43"/>
      <c r="E22" s="43"/>
      <c r="F22" s="43"/>
      <c r="G22" s="43"/>
      <c r="H22" s="43"/>
      <c r="I22" s="43"/>
      <c r="J22" s="43"/>
      <c r="K22" s="44"/>
      <c r="L22" s="43"/>
      <c r="M22" s="43"/>
      <c r="N22" s="43"/>
      <c r="O22" s="43"/>
      <c r="P22" s="43"/>
      <c r="Q22" s="43"/>
      <c r="R22" s="43"/>
    </row>
    <row r="23" spans="1:18" x14ac:dyDescent="0.2">
      <c r="A23" t="s">
        <v>1079</v>
      </c>
      <c r="B23" t="s">
        <v>1080</v>
      </c>
      <c r="C23" t="s">
        <v>1081</v>
      </c>
      <c r="D23" t="s">
        <v>163</v>
      </c>
      <c r="E23">
        <f>IF(C23="Up-to-date reputable libraries",0,IF(C23="Some outdated components",10,IF(C23="High-risk/deprecated libraries",20,IF(C23="Unknown",10,""))))</f>
        <v>0</v>
      </c>
      <c r="F23">
        <f>IF(D23="High",0,IF(D23="Medium",0.05,IF(D23="Low",0.1,IF(D23="Unknown",0.15,""))))</f>
        <v>0</v>
      </c>
      <c r="G23">
        <f>E23*(1+F23)</f>
        <v>0</v>
      </c>
      <c r="H23" t="s">
        <v>1082</v>
      </c>
      <c r="I23" t="s">
        <v>1083</v>
      </c>
      <c r="J23" t="s">
        <v>250</v>
      </c>
      <c r="K23" s="24">
        <f>IF(AND(I23="",J23=""),"",MAX(IF(I23&lt;&gt;"",DATEVALUE(TRIM(RIGHT(SUBSTITUTE(I23,";",REPT(" ",50)),50))),0),IF(J23&lt;&gt;"",DATEVALUE(TRIM(RIGHT(SUBSTITUTE(J23,";",REPT(" ",50)),50))),0)))</f>
        <v>45986</v>
      </c>
      <c r="L23">
        <f ca="1">IF(K23="","",TODAY()-K23)</f>
        <v>13</v>
      </c>
      <c r="M23" t="s">
        <v>167</v>
      </c>
      <c r="N23">
        <f ca="1">IF(M23="","",IF(L23="",INDEX($F$110:$F$113,MATCH(M23,$C$110:$C$113,0)),IF(L23&lt;=INDEX($D$110:$D$113,MATCH(M23,$C$110:$C$113,0)),0,IF(L23&lt;=INDEX($E$110:$E$113,MATCH(M23,$C$110:$C$113,0)),INDEX($F$110:$F$113,MATCH(M23,$C$110:$C$113,0)),INDEX($G$110:$G$113,MATCH(M23,$C$110:$C$113,0))))))</f>
        <v>0</v>
      </c>
      <c r="O23">
        <f ca="1">G23+N23</f>
        <v>0</v>
      </c>
      <c r="P23" t="s">
        <v>168</v>
      </c>
      <c r="R23" t="s">
        <v>1084</v>
      </c>
    </row>
    <row r="24" spans="1:18" x14ac:dyDescent="0.2">
      <c r="A24" t="s">
        <v>1085</v>
      </c>
      <c r="B24" t="s">
        <v>1086</v>
      </c>
      <c r="C24" t="s">
        <v>275</v>
      </c>
      <c r="D24" t="s">
        <v>315</v>
      </c>
      <c r="E24">
        <f>IF(C24="Robust oracle (e.g., Chainlink)",0,IF(C24="Mixed/custom or multi-oracle",10,IF(C24="High-risk/unclear oracle design",20,IF(C24="Unknown",10,""))))</f>
        <v>10</v>
      </c>
      <c r="F24">
        <f>IF(D24="High",0,IF(D24="Medium",0.05,IF(D24="Low",0.1,IF(D24="Unknown",0.15,""))))</f>
        <v>0.1</v>
      </c>
      <c r="G24">
        <f>E24*(1+F24)</f>
        <v>11</v>
      </c>
      <c r="H24" t="s">
        <v>1087</v>
      </c>
      <c r="I24" t="s">
        <v>1088</v>
      </c>
      <c r="J24" t="s">
        <v>250</v>
      </c>
      <c r="K24" s="24">
        <f>IF(AND(I24="",J24=""),"",MAX(IF(I24&lt;&gt;"",DATEVALUE(TRIM(RIGHT(SUBSTITUTE(I24,";",REPT(" ",50)),50))),0),IF(J24&lt;&gt;"",DATEVALUE(TRIM(RIGHT(SUBSTITUTE(J24,";",REPT(" ",50)),50))),0)))</f>
        <v>45986</v>
      </c>
      <c r="L24">
        <f ca="1">IF(K24="","",TODAY()-K24)</f>
        <v>13</v>
      </c>
      <c r="M24" t="s">
        <v>184</v>
      </c>
      <c r="N24">
        <f ca="1">IF(M24="","",IF(L24="",INDEX($F$110:$F$113,MATCH(M24,$C$110:$C$113,0)),IF(L24&lt;=INDEX($D$110:$D$113,MATCH(M24,$C$110:$C$113,0)),0,IF(L24&lt;=INDEX($E$110:$E$113,MATCH(M24,$C$110:$C$113,0)),INDEX($F$110:$F$113,MATCH(M24,$C$110:$C$113,0)),INDEX($G$110:$G$113,MATCH(M24,$C$110:$C$113,0))))))</f>
        <v>0</v>
      </c>
      <c r="O24">
        <f ca="1">G24+N24</f>
        <v>11</v>
      </c>
      <c r="P24" t="str">
        <f>IF(AND(C24="High-risk/unclear oracle design",OR(D24="High",D24="Medium")),"Review Required","No Review")</f>
        <v>No Review</v>
      </c>
      <c r="Q24" t="s">
        <v>1089</v>
      </c>
      <c r="R24" t="s">
        <v>1090</v>
      </c>
    </row>
    <row r="25" spans="1:18" x14ac:dyDescent="0.2">
      <c r="A25" t="s">
        <v>1091</v>
      </c>
      <c r="B25" t="s">
        <v>1092</v>
      </c>
      <c r="C25" t="s">
        <v>275</v>
      </c>
      <c r="D25" t="s">
        <v>315</v>
      </c>
      <c r="E25">
        <f>IF(C25="No upgradeability (immutable)",0,IF(C25="Limited upgradeability with safeguards",10,IF(C25="Upgradeable with weak controls",20,IF(C25="Unknown",10,""))))</f>
        <v>10</v>
      </c>
      <c r="F25">
        <f>IF(D25="High",0,IF(D25="Medium",0.05,IF(D25="Low",0.1,IF(D25="Unknown",0.15,""))))</f>
        <v>0.1</v>
      </c>
      <c r="G25">
        <f>E25*(1+F25)</f>
        <v>11</v>
      </c>
      <c r="H25" t="s">
        <v>1093</v>
      </c>
      <c r="I25" t="s">
        <v>1094</v>
      </c>
      <c r="J25" t="s">
        <v>250</v>
      </c>
      <c r="K25" s="24">
        <f>IF(AND(I25="",J25=""),"",MAX(IF(I25&lt;&gt;"",DATEVALUE(TRIM(RIGHT(SUBSTITUTE(I25,";",REPT(" ",50)),50))),0),IF(J25&lt;&gt;"",DATEVALUE(TRIM(RIGHT(SUBSTITUTE(J25,";",REPT(" ",50)),50))),0)))</f>
        <v>45986</v>
      </c>
      <c r="L25">
        <f ca="1">IF(K25="","",TODAY()-K25)</f>
        <v>13</v>
      </c>
      <c r="M25" t="s">
        <v>167</v>
      </c>
      <c r="N25">
        <f ca="1">IF(M25="","",IF(L25="",INDEX($F$110:$F$113,MATCH(M25,$C$110:$C$113,0)),IF(L25&lt;=INDEX($D$110:$D$113,MATCH(M25,$C$110:$C$113,0)),0,IF(L25&lt;=INDEX($E$110:$E$113,MATCH(M25,$C$110:$C$113,0)),INDEX($F$110:$F$113,MATCH(M25,$C$110:$C$113,0)),INDEX($G$110:$G$113,MATCH(M25,$C$110:$C$113,0))))))</f>
        <v>0</v>
      </c>
      <c r="O25">
        <f ca="1">G25+N25</f>
        <v>11</v>
      </c>
      <c r="P25" t="str">
        <f>IF(AND(C25="Upgradeable with weak controls",OR(D25="High",D25="Medium")),"Review Required","No Review")</f>
        <v>No Review</v>
      </c>
      <c r="Q25" t="s">
        <v>1095</v>
      </c>
      <c r="R25" t="s">
        <v>1096</v>
      </c>
    </row>
    <row r="26" spans="1:18" x14ac:dyDescent="0.2">
      <c r="A26" t="s">
        <v>1097</v>
      </c>
      <c r="B26" t="s">
        <v>1098</v>
      </c>
      <c r="C26" t="s">
        <v>1099</v>
      </c>
      <c r="D26" t="s">
        <v>163</v>
      </c>
      <c r="E26">
        <v>0</v>
      </c>
      <c r="F26">
        <f>IF(D26="High",0,IF(D26="Medium",0.05,IF(D26="Low",0.1,IF(D26="Unknown",0.15,""))))</f>
        <v>0</v>
      </c>
      <c r="G26">
        <f>E26*(1+F26)</f>
        <v>0</v>
      </c>
      <c r="H26" t="s">
        <v>1100</v>
      </c>
      <c r="I26" t="s">
        <v>1101</v>
      </c>
      <c r="J26" t="s">
        <v>166</v>
      </c>
      <c r="M26" t="s">
        <v>167</v>
      </c>
      <c r="N26">
        <f>IF(M26="","",IF(L26="",INDEX($F$110:$F$113,MATCH(M26,$C$110:$C$113,0)),IF(L26&lt;=INDEX($D$110:$D$113,MATCH(M26,$C$110:$C$113,0)),0,IF(L26&lt;=INDEX($E$110:$E$113,MATCH(M26,$C$110:$C$113,0)),INDEX($F$110:$F$113,MATCH(M26,$C$110:$C$113,0)),INDEX($G$110:$G$113,MATCH(M26,$C$110:$C$113,0))))))</f>
        <v>0</v>
      </c>
      <c r="O26">
        <f>G26+N26</f>
        <v>0</v>
      </c>
      <c r="P26" t="s">
        <v>168</v>
      </c>
      <c r="Q26" t="s">
        <v>871</v>
      </c>
      <c r="R26" t="s">
        <v>1102</v>
      </c>
    </row>
    <row r="27" spans="1:18" x14ac:dyDescent="0.2">
      <c r="A27" s="4"/>
      <c r="B27" s="5" t="s">
        <v>1103</v>
      </c>
      <c r="C27" s="4"/>
      <c r="D27" s="4"/>
      <c r="E27" s="4"/>
      <c r="F27" s="4"/>
      <c r="G27" s="4"/>
      <c r="H27" s="4"/>
      <c r="I27" s="4"/>
      <c r="J27" s="4"/>
      <c r="K27" s="23"/>
      <c r="L27" s="4"/>
      <c r="M27" s="4"/>
      <c r="N27" s="4" t="str">
        <f>IF(M27="","",IF(L27="",INDEX($F$110:$F$113,MATCH(M27,$C$110:$C$113,0)),IF(L27&lt;=INDEX($D$110:$D$113,MATCH(M27,$C$110:$C$113,0)),0,IF(L27&lt;=INDEX($E$110:$E$113,MATCH(M27,$C$110:$C$113,0)),INDEX($F$110:$F$113,MATCH(M27,$C$110:$C$113,0)),INDEX($G$110:$G$113,MATCH(M27,$C$110:$C$113,0))))))</f>
        <v/>
      </c>
      <c r="O27" s="4"/>
      <c r="P27" s="4"/>
      <c r="Q27" s="4"/>
      <c r="R27" s="4"/>
    </row>
    <row r="28" spans="1:18" x14ac:dyDescent="0.2">
      <c r="A28" s="3"/>
      <c r="B28" s="42"/>
      <c r="C28" s="43"/>
      <c r="D28" s="43"/>
      <c r="E28" s="43"/>
      <c r="F28" s="43"/>
      <c r="G28" s="43"/>
      <c r="H28" s="43"/>
      <c r="I28" s="43"/>
      <c r="J28" s="43"/>
      <c r="K28" s="44"/>
      <c r="L28" s="43"/>
      <c r="M28" s="43"/>
      <c r="N28" s="43"/>
      <c r="O28" s="43"/>
      <c r="P28" s="43"/>
      <c r="Q28" s="43"/>
      <c r="R28" s="43"/>
    </row>
    <row r="29" spans="1:18" x14ac:dyDescent="0.2">
      <c r="A29" t="s">
        <v>245</v>
      </c>
      <c r="B29" t="s">
        <v>1104</v>
      </c>
      <c r="C29" t="s">
        <v>1105</v>
      </c>
      <c r="D29" t="s">
        <v>174</v>
      </c>
      <c r="E29">
        <f>IF(C29="Simple/minimal",0,IF(C29="Moderately complex",10,IF(C29="Highly complex/multi-module",20,IF(C29="Unknown",10,""))))</f>
        <v>10</v>
      </c>
      <c r="F29">
        <f>IF(D29="High",0,IF(D29="Medium",0.05,IF(D29="Low",0.1,IF(D29="Unknown",0.15,""))))</f>
        <v>0.05</v>
      </c>
      <c r="G29">
        <f>E29*(1+F29)</f>
        <v>10.5</v>
      </c>
      <c r="H29" t="s">
        <v>1106</v>
      </c>
      <c r="I29" t="s">
        <v>1107</v>
      </c>
      <c r="J29" t="s">
        <v>166</v>
      </c>
      <c r="K29" s="24">
        <f>IF(AND(I29="",J29=""),"",MAX(IF(I29&lt;&gt;"",DATEVALUE(TRIM(RIGHT(SUBSTITUTE(I29,";",REPT(" ",50)),50))),0),IF(J29&lt;&gt;"",DATEVALUE(TRIM(RIGHT(SUBSTITUTE(J29,";",REPT(" ",50)),50))),0)))</f>
        <v>45986</v>
      </c>
      <c r="L29">
        <f ca="1">IF(K29="","",TODAY()-K29)</f>
        <v>13</v>
      </c>
      <c r="M29" t="s">
        <v>167</v>
      </c>
      <c r="N29">
        <f ca="1">IF(M29="","",IF(L29="",INDEX($F$110:$F$113,MATCH(M29,$C$110:$C$113,0)),IF(L29&lt;=INDEX($D$110:$D$113,MATCH(M29,$C$110:$C$113,0)),0,IF(L29&lt;=INDEX($E$110:$E$113,MATCH(M29,$C$110:$C$113,0)),INDEX($F$110:$F$113,MATCH(M29,$C$110:$C$113,0)),INDEX($G$110:$G$113,MATCH(M29,$C$110:$C$113,0))))))</f>
        <v>0</v>
      </c>
      <c r="O29">
        <f ca="1">G29+N29</f>
        <v>10.5</v>
      </c>
      <c r="P29" t="s">
        <v>168</v>
      </c>
      <c r="R29" t="s">
        <v>1108</v>
      </c>
    </row>
    <row r="30" spans="1:18" x14ac:dyDescent="0.2">
      <c r="A30" t="s">
        <v>252</v>
      </c>
      <c r="B30" t="s">
        <v>1109</v>
      </c>
      <c r="C30" t="s">
        <v>1110</v>
      </c>
      <c r="D30" t="s">
        <v>174</v>
      </c>
      <c r="E30">
        <f>IF(C30="Limited composability",0,IF(C30="Moderate composability",10,IF(C30="Highly composable/widely integrated",20,IF(C30="Unknown",10,""))))</f>
        <v>10</v>
      </c>
      <c r="F30">
        <f>IF(D30="High",0,IF(D30="Medium",0.05,IF(D30="Low",0.1,IF(D30="Unknown",0.15,""))))</f>
        <v>0.05</v>
      </c>
      <c r="G30">
        <f>E30*(1+F30)</f>
        <v>10.5</v>
      </c>
      <c r="H30" t="s">
        <v>1111</v>
      </c>
      <c r="I30" t="s">
        <v>1112</v>
      </c>
      <c r="J30" t="s">
        <v>166</v>
      </c>
      <c r="K30" s="24">
        <f>IF(AND(I30="",J30=""),"",MAX(IF(I30&lt;&gt;"",DATEVALUE(TRIM(RIGHT(SUBSTITUTE(I30,";",REPT(" ",50)),50))),0),IF(J30&lt;&gt;"",DATEVALUE(TRIM(RIGHT(SUBSTITUTE(J30,";",REPT(" ",50)),50))),0)))</f>
        <v>45986</v>
      </c>
      <c r="L30">
        <f ca="1">IF(K30="","",TODAY()-K30)</f>
        <v>13</v>
      </c>
      <c r="M30" t="s">
        <v>167</v>
      </c>
      <c r="N30">
        <f ca="1">IF(M30="","",IF(L30="",INDEX($F$110:$F$113,MATCH(M30,$C$110:$C$113,0)),IF(L30&lt;=INDEX($D$110:$D$113,MATCH(M30,$C$110:$C$113,0)),0,IF(L30&lt;=INDEX($E$110:$E$113,MATCH(M30,$C$110:$C$113,0)),INDEX($F$110:$F$113,MATCH(M30,$C$110:$C$113,0)),INDEX($G$110:$G$113,MATCH(M30,$C$110:$C$113,0))))))</f>
        <v>0</v>
      </c>
      <c r="O30">
        <f ca="1">G30+N30</f>
        <v>10.5</v>
      </c>
      <c r="P30" t="s">
        <v>168</v>
      </c>
      <c r="R30" t="s">
        <v>1113</v>
      </c>
    </row>
    <row r="31" spans="1:18" x14ac:dyDescent="0.2">
      <c r="A31" t="s">
        <v>257</v>
      </c>
      <c r="B31" t="s">
        <v>1114</v>
      </c>
      <c r="C31" t="s">
        <v>1115</v>
      </c>
      <c r="D31" t="s">
        <v>174</v>
      </c>
      <c r="E31">
        <f>IF(C31="No notable patterns",0,IF(C31="Some higher-risk patterns",10,IF(C31="Multiple/structural higher-risk patterns",20,IF(C31="Unknown",10,""))))</f>
        <v>20</v>
      </c>
      <c r="F31">
        <f>IF(D31="High",0,IF(D31="Medium",0.05,IF(D31="Low",0.1,IF(D31="Unknown",0.15,""))))</f>
        <v>0.05</v>
      </c>
      <c r="G31">
        <f>E31*(1+F31)</f>
        <v>21</v>
      </c>
      <c r="H31" t="s">
        <v>1116</v>
      </c>
      <c r="I31" t="s">
        <v>1117</v>
      </c>
      <c r="J31" t="s">
        <v>166</v>
      </c>
      <c r="K31" s="24">
        <f>IF(AND(I31="",J31=""),"",MAX(IF(I31&lt;&gt;"",DATEVALUE(TRIM(RIGHT(SUBSTITUTE(I31,";",REPT(" ",50)),50))),0),IF(J31&lt;&gt;"",DATEVALUE(TRIM(RIGHT(SUBSTITUTE(J31,";",REPT(" ",50)),50))),0)))</f>
        <v>45986</v>
      </c>
      <c r="L31">
        <f ca="1">IF(K31="","",TODAY()-K31)</f>
        <v>13</v>
      </c>
      <c r="M31" t="s">
        <v>305</v>
      </c>
      <c r="N31">
        <f ca="1">IF(M31="","",IF(L31="",INDEX($F$110:$F$113,MATCH(M31,$C$110:$C$113,0)),IF(L31&lt;=INDEX($D$110:$D$113,MATCH(M31,$C$110:$C$113,0)),0,IF(L31&lt;=INDEX($E$110:$E$113,MATCH(M31,$C$110:$C$113,0)),INDEX($F$110:$F$113,MATCH(M31,$C$110:$C$113,0)),INDEX($G$110:$G$113,MATCH(M31,$C$110:$C$113,0))))))</f>
        <v>0</v>
      </c>
      <c r="O31">
        <f ca="1">G31+N31</f>
        <v>21</v>
      </c>
      <c r="P31" t="str">
        <f>IF(AND(C31="Multiple/structural higher-risk patterns",OR(D31="High",D31="Medium")),"Review Required","No Review")</f>
        <v>Review Required</v>
      </c>
      <c r="Q31" t="s">
        <v>1118</v>
      </c>
      <c r="R31" t="s">
        <v>1119</v>
      </c>
    </row>
    <row r="32" spans="1:18" x14ac:dyDescent="0.2">
      <c r="A32" t="s">
        <v>621</v>
      </c>
      <c r="B32" t="s">
        <v>1120</v>
      </c>
      <c r="C32" t="s">
        <v>1121</v>
      </c>
      <c r="D32" t="s">
        <v>174</v>
      </c>
      <c r="E32">
        <v>0</v>
      </c>
      <c r="F32">
        <f>IF(D32="High",0,IF(D32="Medium",0.05,IF(D32="Low",0.1,IF(D32="Unknown",0.15,""))))</f>
        <v>0.05</v>
      </c>
      <c r="G32">
        <f>E32*(1+F32)</f>
        <v>0</v>
      </c>
      <c r="H32" t="s">
        <v>1122</v>
      </c>
      <c r="I32" t="s">
        <v>1123</v>
      </c>
      <c r="J32" t="s">
        <v>166</v>
      </c>
      <c r="M32" t="s">
        <v>305</v>
      </c>
      <c r="N32">
        <f>IF(M32="","",IF(L32="",INDEX($F$110:$F$113,MATCH(M32,$C$110:$C$113,0)),IF(L32&lt;=INDEX($D$110:$D$113,MATCH(M32,$C$110:$C$113,0)),0,IF(L32&lt;=INDEX($E$110:$E$113,MATCH(M32,$C$110:$C$113,0)),INDEX($F$110:$F$113,MATCH(M32,$C$110:$C$113,0)),INDEX($G$110:$G$113,MATCH(M32,$C$110:$C$113,0))))))</f>
        <v>2</v>
      </c>
      <c r="O32">
        <f>G32+N32</f>
        <v>2</v>
      </c>
      <c r="P32" t="s">
        <v>168</v>
      </c>
      <c r="Q32" t="s">
        <v>871</v>
      </c>
      <c r="R32" t="s">
        <v>1124</v>
      </c>
    </row>
    <row r="33" spans="1:18" x14ac:dyDescent="0.2">
      <c r="A33" s="3"/>
      <c r="B33" s="42"/>
      <c r="C33" s="43"/>
      <c r="D33" s="43"/>
      <c r="E33" s="43"/>
      <c r="F33" s="43"/>
      <c r="G33" s="43"/>
      <c r="H33" s="43"/>
      <c r="I33" s="43"/>
      <c r="J33" s="43"/>
      <c r="K33" s="44"/>
      <c r="L33" s="43"/>
      <c r="M33" s="43"/>
      <c r="N33" s="43"/>
      <c r="O33" s="43"/>
      <c r="P33" s="43"/>
      <c r="Q33" s="43"/>
      <c r="R33" s="43"/>
    </row>
    <row r="34" spans="1:18" x14ac:dyDescent="0.2">
      <c r="A34" t="s">
        <v>273</v>
      </c>
      <c r="B34" t="s">
        <v>1125</v>
      </c>
      <c r="C34" t="s">
        <v>1126</v>
      </c>
      <c r="D34" t="s">
        <v>174</v>
      </c>
      <c r="E34">
        <f>IF(C34="No bridge dependency",0,IF(C34="Peripheral bridge usage only",10,IF(C34="Core functionality depends on bridges",20,IF(C34="Unknown",10,""))))</f>
        <v>10</v>
      </c>
      <c r="F34">
        <f>IF(D34="High",0,IF(D34="Medium",0.05,IF(D34="Low",0.1,IF(D34="Unknown",0.15,""))))</f>
        <v>0.05</v>
      </c>
      <c r="G34">
        <f>E34*(1+F34)</f>
        <v>10.5</v>
      </c>
      <c r="H34" t="s">
        <v>1127</v>
      </c>
      <c r="I34" t="s">
        <v>1128</v>
      </c>
      <c r="J34" t="s">
        <v>250</v>
      </c>
      <c r="K34" s="24">
        <f>IF(AND(I34="",J34=""),"",MAX(IF(I34&lt;&gt;"",DATEVALUE(TRIM(RIGHT(SUBSTITUTE(I34,";",REPT(" ",50)),50))),0),IF(J34&lt;&gt;"",DATEVALUE(TRIM(RIGHT(SUBSTITUTE(J34,";",REPT(" ",50)),50))),0)))</f>
        <v>45986</v>
      </c>
      <c r="L34">
        <f ca="1">IF(K34="","",TODAY()-K34)</f>
        <v>13</v>
      </c>
      <c r="M34" t="s">
        <v>167</v>
      </c>
      <c r="N34">
        <f ca="1">IF(M34="","",IF(L34="",INDEX($F$110:$F$113,MATCH(M34,$C$110:$C$113,0)),IF(L34&lt;=INDEX($D$110:$D$113,MATCH(M34,$C$110:$C$113,0)),0,IF(L34&lt;=INDEX($E$110:$E$113,MATCH(M34,$C$110:$C$113,0)),INDEX($F$110:$F$113,MATCH(M34,$C$110:$C$113,0)),INDEX($G$110:$G$113,MATCH(M34,$C$110:$C$113,0))))))</f>
        <v>0</v>
      </c>
      <c r="O34">
        <f ca="1">G34+N34</f>
        <v>10.5</v>
      </c>
      <c r="P34" t="str">
        <f>IF(AND(C34="Core functionality depends on bridges",OR(D34="High",D34="Medium")),"Review Required","No Review")</f>
        <v>No Review</v>
      </c>
      <c r="Q34" t="s">
        <v>1129</v>
      </c>
      <c r="R34" t="s">
        <v>1130</v>
      </c>
    </row>
    <row r="35" spans="1:18" x14ac:dyDescent="0.2">
      <c r="A35" t="s">
        <v>280</v>
      </c>
      <c r="B35" t="s">
        <v>1131</v>
      </c>
      <c r="C35" t="s">
        <v>1132</v>
      </c>
      <c r="D35" t="s">
        <v>163</v>
      </c>
      <c r="E35">
        <f>IF(C35="Well-established/audited bridge",0,IF(C35="Custom or mixed-quality bridges",10,IF(C35="High-risk/unaudited bridge design",20,IF(C35="Unknown",10,""))))</f>
        <v>0</v>
      </c>
      <c r="F35">
        <f>IF(D35="High",0,IF(D35="Medium",0.05,IF(D35="Low",0.1,IF(D35="Unknown",0.15,""))))</f>
        <v>0</v>
      </c>
      <c r="G35">
        <f>E35*(1+F35)</f>
        <v>0</v>
      </c>
      <c r="H35" t="s">
        <v>1133</v>
      </c>
      <c r="I35" t="s">
        <v>1134</v>
      </c>
      <c r="J35" t="s">
        <v>166</v>
      </c>
      <c r="K35" s="24">
        <f>IF(AND(I35="",J35=""),"",MAX(IF(I35&lt;&gt;"",DATEVALUE(TRIM(RIGHT(SUBSTITUTE(I35,";",REPT(" ",50)),50))),0),IF(J35&lt;&gt;"",DATEVALUE(TRIM(RIGHT(SUBSTITUTE(J35,";",REPT(" ",50)),50))),0)))</f>
        <v>45986</v>
      </c>
      <c r="L35">
        <f ca="1">IF(K35="","",TODAY()-K35)</f>
        <v>13</v>
      </c>
      <c r="M35" t="s">
        <v>184</v>
      </c>
      <c r="N35">
        <f ca="1">IF(M35="","",IF(L35="",INDEX($F$110:$F$113,MATCH(M35,$C$110:$C$113,0)),IF(L35&lt;=INDEX($D$110:$D$113,MATCH(M35,$C$110:$C$113,0)),0,IF(L35&lt;=INDEX($E$110:$E$113,MATCH(M35,$C$110:$C$113,0)),INDEX($F$110:$F$113,MATCH(M35,$C$110:$C$113,0)),INDEX($G$110:$G$113,MATCH(M35,$C$110:$C$113,0))))))</f>
        <v>0</v>
      </c>
      <c r="O35">
        <f ca="1">G35+N35</f>
        <v>0</v>
      </c>
      <c r="P35" t="str">
        <f>IF(AND(C35="High-risk/unaudited bridge design",OR(D35="High",D35="Medium")),"Review Required","No Review")</f>
        <v>No Review</v>
      </c>
      <c r="Q35" t="s">
        <v>1135</v>
      </c>
      <c r="R35" t="s">
        <v>1136</v>
      </c>
    </row>
    <row r="36" spans="1:18" x14ac:dyDescent="0.2">
      <c r="A36" t="s">
        <v>285</v>
      </c>
      <c r="B36" t="s">
        <v>1137</v>
      </c>
      <c r="C36" t="s">
        <v>1138</v>
      </c>
      <c r="D36" t="s">
        <v>174</v>
      </c>
      <c r="E36">
        <f>IF(C36="Minimal reliance",0,IF(C36="Moderate reliance",10,IF(C36="Heavy/structural reliance",20,IF(C36="Unknown",10,""))))</f>
        <v>10</v>
      </c>
      <c r="F36">
        <f>IF(D36="High",0,IF(D36="Medium",0.05,IF(D36="Low",0.1,IF(D36="Unknown",0.15,""))))</f>
        <v>0.05</v>
      </c>
      <c r="G36">
        <f>E36*(1+F36)</f>
        <v>10.5</v>
      </c>
      <c r="H36" t="s">
        <v>1058</v>
      </c>
      <c r="I36" t="s">
        <v>712</v>
      </c>
      <c r="J36" t="s">
        <v>250</v>
      </c>
      <c r="K36" s="24">
        <f>IF(AND(I36="",J36=""),"",MAX(IF(I36&lt;&gt;"",DATEVALUE(TRIM(RIGHT(SUBSTITUTE(I36,";",REPT(" ",50)),50))),0),IF(J36&lt;&gt;"",DATEVALUE(TRIM(RIGHT(SUBSTITUTE(J36,";",REPT(" ",50)),50))),0)))</f>
        <v>45986</v>
      </c>
      <c r="L36">
        <f ca="1">IF(K36="","",TODAY()-K36)</f>
        <v>13</v>
      </c>
      <c r="M36" t="s">
        <v>167</v>
      </c>
      <c r="N36">
        <f ca="1">IF(M36="","",IF(L36="",INDEX($F$110:$F$113,MATCH(M36,$C$110:$C$113,0)),IF(L36&lt;=INDEX($D$110:$D$113,MATCH(M36,$C$110:$C$113,0)),0,IF(L36&lt;=INDEX($E$110:$E$113,MATCH(M36,$C$110:$C$113,0)),INDEX($F$110:$F$113,MATCH(M36,$C$110:$C$113,0)),INDEX($G$110:$G$113,MATCH(M36,$C$110:$C$113,0))))))</f>
        <v>0</v>
      </c>
      <c r="O36">
        <f ca="1">G36+N36</f>
        <v>10.5</v>
      </c>
      <c r="P36" t="s">
        <v>168</v>
      </c>
      <c r="R36" t="s">
        <v>1139</v>
      </c>
    </row>
    <row r="37" spans="1:18" x14ac:dyDescent="0.2">
      <c r="A37" t="s">
        <v>842</v>
      </c>
      <c r="B37" t="s">
        <v>1140</v>
      </c>
      <c r="C37" t="s">
        <v>1141</v>
      </c>
      <c r="D37" t="s">
        <v>174</v>
      </c>
      <c r="E37">
        <v>0</v>
      </c>
      <c r="F37">
        <f>IF(D37="High",0,IF(D37="Medium",0.05,IF(D37="Low",0.1,IF(D37="Unknown",0.15,""))))</f>
        <v>0.05</v>
      </c>
      <c r="G37">
        <f>E37*(1+F37)</f>
        <v>0</v>
      </c>
      <c r="H37" t="s">
        <v>1142</v>
      </c>
      <c r="J37" t="s">
        <v>250</v>
      </c>
      <c r="M37" t="s">
        <v>305</v>
      </c>
      <c r="N37">
        <f>IF(M37="","",IF(L37="",INDEX($F$110:$F$113,MATCH(M37,$C$110:$C$113,0)),IF(L37&lt;=INDEX($D$110:$D$113,MATCH(M37,$C$110:$C$113,0)),0,IF(L37&lt;=INDEX($E$110:$E$113,MATCH(M37,$C$110:$C$113,0)),INDEX($F$110:$F$113,MATCH(M37,$C$110:$C$113,0)),INDEX($G$110:$G$113,MATCH(M37,$C$110:$C$113,0))))))</f>
        <v>2</v>
      </c>
      <c r="O37">
        <f>G37+N37</f>
        <v>2</v>
      </c>
      <c r="P37" t="s">
        <v>168</v>
      </c>
      <c r="Q37" t="s">
        <v>871</v>
      </c>
      <c r="R37" t="s">
        <v>1143</v>
      </c>
    </row>
    <row r="38" spans="1:18" x14ac:dyDescent="0.2">
      <c r="A38" s="3"/>
      <c r="B38" s="42"/>
      <c r="C38" s="43"/>
      <c r="D38" s="43"/>
      <c r="E38" s="43"/>
      <c r="F38" s="43"/>
      <c r="G38" s="43"/>
      <c r="H38" s="43"/>
      <c r="I38" s="43"/>
      <c r="J38" s="43"/>
      <c r="K38" s="44"/>
      <c r="L38" s="43"/>
      <c r="M38" s="43"/>
      <c r="N38" s="43"/>
      <c r="O38" s="43"/>
      <c r="P38" s="43"/>
      <c r="Q38" s="43"/>
      <c r="R38" s="43"/>
    </row>
    <row r="39" spans="1:18" x14ac:dyDescent="0.2">
      <c r="A39" t="s">
        <v>312</v>
      </c>
      <c r="B39" t="s">
        <v>1144</v>
      </c>
      <c r="C39" t="s">
        <v>1145</v>
      </c>
      <c r="D39" t="s">
        <v>174</v>
      </c>
      <c r="E39">
        <f>IF(C39="Narrow/well-scoped",0,IF(C39="Moderate",10,IF(C39="Broad/high-impact privileged controls",20,IF(C39="Unknown",10,""))))</f>
        <v>20</v>
      </c>
      <c r="F39">
        <f>IF(D39="High",0,IF(D39="Medium",0.05,IF(D39="Low",0.1,IF(D39="Unknown",0.15,""))))</f>
        <v>0.05</v>
      </c>
      <c r="G39">
        <f>E39*(1+F39)</f>
        <v>21</v>
      </c>
      <c r="H39" t="s">
        <v>1146</v>
      </c>
      <c r="I39" t="s">
        <v>218</v>
      </c>
      <c r="J39" t="s">
        <v>250</v>
      </c>
      <c r="K39" s="24">
        <f>IF(AND(I39="",J39=""),"",MAX(IF(I39&lt;&gt;"",DATEVALUE(TRIM(RIGHT(SUBSTITUTE(I39,";",REPT(" ",50)),50))),0),IF(J39&lt;&gt;"",DATEVALUE(TRIM(RIGHT(SUBSTITUTE(J39,";",REPT(" ",50)),50))),0)))</f>
        <v>45986</v>
      </c>
      <c r="L39">
        <f ca="1">IF(K39="","",TODAY()-K39)</f>
        <v>13</v>
      </c>
      <c r="M39" t="s">
        <v>167</v>
      </c>
      <c r="N39">
        <f ca="1">IF(M39="","",IF(L39="",INDEX($F$110:$F$113,MATCH(M39,$C$110:$C$113,0)),IF(L39&lt;=INDEX($D$110:$D$113,MATCH(M39,$C$110:$C$113,0)),0,IF(L39&lt;=INDEX($E$110:$E$113,MATCH(M39,$C$110:$C$113,0)),INDEX($F$110:$F$113,MATCH(M39,$C$110:$C$113,0)),INDEX($G$110:$G$113,MATCH(M39,$C$110:$C$113,0))))))</f>
        <v>0</v>
      </c>
      <c r="O39">
        <f ca="1">G39+N39</f>
        <v>21</v>
      </c>
      <c r="P39" t="s">
        <v>168</v>
      </c>
      <c r="R39" t="s">
        <v>1147</v>
      </c>
    </row>
    <row r="40" spans="1:18" x14ac:dyDescent="0.2">
      <c r="A40" t="s">
        <v>320</v>
      </c>
      <c r="B40" t="s">
        <v>1148</v>
      </c>
      <c r="C40" t="s">
        <v>1149</v>
      </c>
      <c r="D40" t="s">
        <v>174</v>
      </c>
      <c r="E40">
        <f>IF(C40="Controlled pause with multisig/timelock",0,IF(C40="No pause/kill-switch",10,IF(C40="Centralised pause/kill with minimal checks",20,IF(C40="Unknown",10,""))))</f>
        <v>20</v>
      </c>
      <c r="F40">
        <f>IF(D40="High",0,IF(D40="Medium",0.05,IF(D40="Low",0.1,IF(D40="Unknown",0.15,""))))</f>
        <v>0.05</v>
      </c>
      <c r="G40">
        <f>E40*(1+F40)</f>
        <v>21</v>
      </c>
      <c r="H40" t="s">
        <v>1150</v>
      </c>
      <c r="I40" t="s">
        <v>218</v>
      </c>
      <c r="J40" t="s">
        <v>166</v>
      </c>
      <c r="K40" s="24">
        <f>IF(AND(I40="",J40=""),"",MAX(IF(I40&lt;&gt;"",DATEVALUE(TRIM(RIGHT(SUBSTITUTE(I40,";",REPT(" ",50)),50))),0),IF(J40&lt;&gt;"",DATEVALUE(TRIM(RIGHT(SUBSTITUTE(J40,";",REPT(" ",50)),50))),0)))</f>
        <v>45986</v>
      </c>
      <c r="L40">
        <f ca="1">IF(K40="","",TODAY()-K40)</f>
        <v>13</v>
      </c>
      <c r="M40" t="s">
        <v>167</v>
      </c>
      <c r="N40">
        <f ca="1">IF(M40="","",IF(L40="",INDEX($F$110:$F$113,MATCH(M40,$C$110:$C$113,0)),IF(L40&lt;=INDEX($D$110:$D$113,MATCH(M40,$C$110:$C$113,0)),0,IF(L40&lt;=INDEX($E$110:$E$113,MATCH(M40,$C$110:$C$113,0)),INDEX($F$110:$F$113,MATCH(M40,$C$110:$C$113,0)),INDEX($G$110:$G$113,MATCH(M40,$C$110:$C$113,0))))))</f>
        <v>0</v>
      </c>
      <c r="O40">
        <f ca="1">G40+N40</f>
        <v>21</v>
      </c>
      <c r="P40" t="str">
        <f>IF(AND(C40="Centralised pause/kill with minimal checks",OR(D40="High",D40="Medium")),"Review Required","No Review")</f>
        <v>Review Required</v>
      </c>
      <c r="Q40" t="s">
        <v>1151</v>
      </c>
      <c r="R40" t="s">
        <v>1152</v>
      </c>
    </row>
    <row r="41" spans="1:18" x14ac:dyDescent="0.2">
      <c r="A41" t="s">
        <v>1153</v>
      </c>
      <c r="B41" t="s">
        <v>1154</v>
      </c>
      <c r="C41" t="s">
        <v>1155</v>
      </c>
      <c r="D41" t="s">
        <v>174</v>
      </c>
      <c r="E41">
        <v>0</v>
      </c>
      <c r="F41">
        <f>IF(D41="High",0,IF(D41="Medium",0.05,IF(D41="Low",0.1,IF(D41="Unknown",0.15,""))))</f>
        <v>0.05</v>
      </c>
      <c r="G41">
        <f>E41*(1+F41)</f>
        <v>0</v>
      </c>
      <c r="H41" t="s">
        <v>1156</v>
      </c>
      <c r="I41" t="s">
        <v>1157</v>
      </c>
      <c r="J41" t="s">
        <v>166</v>
      </c>
      <c r="M41" t="s">
        <v>167</v>
      </c>
      <c r="N41">
        <f>IF(M41="","",IF(L41="",INDEX($F$110:$F$113,MATCH(M41,$C$110:$C$113,0)),IF(L41&lt;=INDEX($D$110:$D$113,MATCH(M41,$C$110:$C$113,0)),0,IF(L41&lt;=INDEX($E$110:$E$113,MATCH(M41,$C$110:$C$113,0)),INDEX($F$110:$F$113,MATCH(M41,$C$110:$C$113,0)),INDEX($G$110:$G$113,MATCH(M41,$C$110:$C$113,0))))))</f>
        <v>0</v>
      </c>
      <c r="O41">
        <f>G41+N41</f>
        <v>0</v>
      </c>
      <c r="P41" t="s">
        <v>168</v>
      </c>
      <c r="Q41" t="s">
        <v>871</v>
      </c>
      <c r="R41" t="s">
        <v>1158</v>
      </c>
    </row>
    <row r="42" spans="1:18" x14ac:dyDescent="0.2">
      <c r="A42" s="4"/>
      <c r="B42" s="5" t="s">
        <v>1159</v>
      </c>
      <c r="C42" s="4"/>
      <c r="D42" s="4"/>
      <c r="E42" s="4"/>
      <c r="F42" s="4"/>
      <c r="G42" s="4"/>
      <c r="H42" s="4"/>
      <c r="I42" s="4"/>
      <c r="J42" s="4"/>
      <c r="K42" s="23"/>
      <c r="L42" s="4"/>
      <c r="M42" s="4"/>
      <c r="N42" s="4" t="str">
        <f>IF(M42="","",IF(L42="",INDEX($F$110:$F$113,MATCH(M42,$C$110:$C$113,0)),IF(L42&lt;=INDEX($D$110:$D$113,MATCH(M42,$C$110:$C$113,0)),0,IF(L42&lt;=INDEX($E$110:$E$113,MATCH(M42,$C$110:$C$113,0)),INDEX($F$110:$F$113,MATCH(M42,$C$110:$C$113,0)),INDEX($G$110:$G$113,MATCH(M42,$C$110:$C$113,0))))))</f>
        <v/>
      </c>
      <c r="O42" s="4"/>
      <c r="P42" s="4"/>
      <c r="Q42" s="4"/>
      <c r="R42" s="4"/>
    </row>
    <row r="43" spans="1:18" x14ac:dyDescent="0.2">
      <c r="A43" s="3"/>
      <c r="B43" s="42"/>
      <c r="C43" s="43"/>
      <c r="D43" s="43"/>
      <c r="E43" s="43"/>
      <c r="F43" s="43"/>
      <c r="G43" s="43"/>
      <c r="H43" s="43"/>
      <c r="I43" s="43"/>
      <c r="J43" s="43"/>
      <c r="K43" s="44"/>
      <c r="L43" s="43"/>
      <c r="M43" s="43"/>
      <c r="N43" s="43"/>
      <c r="O43" s="43"/>
      <c r="P43" s="43"/>
      <c r="Q43" s="43"/>
      <c r="R43" s="43"/>
    </row>
    <row r="44" spans="1:18" x14ac:dyDescent="0.2">
      <c r="A44" t="s">
        <v>628</v>
      </c>
      <c r="B44" t="s">
        <v>1160</v>
      </c>
      <c r="C44" t="s">
        <v>1161</v>
      </c>
      <c r="D44" t="s">
        <v>174</v>
      </c>
      <c r="E44">
        <f>IF(C44="Fully disclosed",0,IF(C44="Partially disclosed",10,IF(C44="Poorly disclosed/unclear",20,IF(C44="Unknown",10,""))))</f>
        <v>10</v>
      </c>
      <c r="F44">
        <f>IF(D44="High",0,IF(D44="Medium",0.05,IF(D44="Low",0.1,IF(D44="Unknown",0.15,""))))</f>
        <v>0.05</v>
      </c>
      <c r="G44">
        <f>E44*(1+F44)</f>
        <v>10.5</v>
      </c>
      <c r="H44" t="s">
        <v>1162</v>
      </c>
      <c r="I44" t="s">
        <v>1163</v>
      </c>
      <c r="J44" t="s">
        <v>166</v>
      </c>
      <c r="K44" s="24">
        <f>IF(AND(I44="",J44=""),"",MAX(IF(I44&lt;&gt;"",DATEVALUE(TRIM(RIGHT(SUBSTITUTE(I44,";",REPT(" ",50)),50))),0),IF(J44&lt;&gt;"",DATEVALUE(TRIM(RIGHT(SUBSTITUTE(J44,";",REPT(" ",50)),50))),0)))</f>
        <v>45986</v>
      </c>
      <c r="L44">
        <f ca="1">IF(K44="","",TODAY()-K44)</f>
        <v>13</v>
      </c>
      <c r="M44" t="s">
        <v>167</v>
      </c>
      <c r="N44">
        <f ca="1">IF(M44="","",IF(L44="",INDEX($F$110:$F$113,MATCH(M44,$C$110:$C$113,0)),IF(L44&lt;=INDEX($D$110:$D$113,MATCH(M44,$C$110:$C$113,0)),0,IF(L44&lt;=INDEX($E$110:$E$113,MATCH(M44,$C$110:$C$113,0)),INDEX($F$110:$F$113,MATCH(M44,$C$110:$C$113,0)),INDEX($G$110:$G$113,MATCH(M44,$C$110:$C$113,0))))))</f>
        <v>0</v>
      </c>
      <c r="O44">
        <f ca="1">G44+N44</f>
        <v>10.5</v>
      </c>
      <c r="P44" t="str">
        <f>IF(AND(C44="Poorly disclosed/unclear",OR(D44="High",D44="Medium")),"Review Required","No Review")</f>
        <v>No Review</v>
      </c>
      <c r="Q44" t="s">
        <v>1164</v>
      </c>
      <c r="R44" t="s">
        <v>1165</v>
      </c>
    </row>
    <row r="45" spans="1:18" x14ac:dyDescent="0.2">
      <c r="A45" t="s">
        <v>635</v>
      </c>
      <c r="B45" t="s">
        <v>1166</v>
      </c>
      <c r="C45" t="s">
        <v>1167</v>
      </c>
      <c r="D45" t="s">
        <v>174</v>
      </c>
      <c r="E45">
        <f>IF(C45="Decentralised (multisig/DAO)",0,IF(C45="Moderately centralised",10,IF(C45="Highly centralised (1–2 individuals)",20,IF(C45="Unknown",10,""))))</f>
        <v>10</v>
      </c>
      <c r="F45">
        <f>IF(D45="High",0,IF(D45="Medium",0.05,IF(D45="Low",0.1,IF(D45="Unknown",0.15,""))))</f>
        <v>0.05</v>
      </c>
      <c r="G45">
        <f>E45*(1+F45)</f>
        <v>10.5</v>
      </c>
      <c r="H45" t="s">
        <v>1168</v>
      </c>
      <c r="I45" t="s">
        <v>1169</v>
      </c>
      <c r="J45" t="s">
        <v>166</v>
      </c>
      <c r="K45" s="24">
        <f>IF(AND(I45="",J45=""),"",MAX(IF(I45&lt;&gt;"",DATEVALUE(TRIM(RIGHT(SUBSTITUTE(I45,";",REPT(" ",50)),50))),0),IF(J45&lt;&gt;"",DATEVALUE(TRIM(RIGHT(SUBSTITUTE(J45,";",REPT(" ",50)),50))),0)))</f>
        <v>45986</v>
      </c>
      <c r="L45">
        <f ca="1">IF(K45="","",TODAY()-K45)</f>
        <v>13</v>
      </c>
      <c r="M45" t="s">
        <v>167</v>
      </c>
      <c r="N45">
        <f ca="1">IF(M45="","",IF(L45="",INDEX($F$110:$F$113,MATCH(M45,$C$110:$C$113,0)),IF(L45&lt;=INDEX($D$110:$D$113,MATCH(M45,$C$110:$C$113,0)),0,IF(L45&lt;=INDEX($E$110:$E$113,MATCH(M45,$C$110:$C$113,0)),INDEX($F$110:$F$113,MATCH(M45,$C$110:$C$113,0)),INDEX($G$110:$G$113,MATCH(M45,$C$110:$C$113,0))))))</f>
        <v>0</v>
      </c>
      <c r="O45">
        <f ca="1">G45+N45</f>
        <v>10.5</v>
      </c>
      <c r="P45" t="s">
        <v>168</v>
      </c>
      <c r="R45" t="s">
        <v>1170</v>
      </c>
    </row>
    <row r="46" spans="1:18" x14ac:dyDescent="0.2">
      <c r="A46" t="s">
        <v>638</v>
      </c>
      <c r="B46" t="s">
        <v>1171</v>
      </c>
      <c r="C46" t="s">
        <v>1172</v>
      </c>
      <c r="D46" t="s">
        <v>174</v>
      </c>
      <c r="E46">
        <f>IF(C46="Narrow",0,IF(C46="Moderate",10,IF(C46="Broad/high-impact",20,IF(C46="Unknown",10,""))))</f>
        <v>20</v>
      </c>
      <c r="F46">
        <f>IF(D46="High",0,IF(D46="Medium",0.05,IF(D46="Low",0.1,IF(D46="Unknown",0.15,""))))</f>
        <v>0.05</v>
      </c>
      <c r="G46">
        <f>E46*(1+F46)</f>
        <v>21</v>
      </c>
      <c r="H46" t="s">
        <v>1173</v>
      </c>
      <c r="I46" t="s">
        <v>1174</v>
      </c>
      <c r="J46" t="s">
        <v>250</v>
      </c>
      <c r="K46" s="24">
        <f>IF(AND(I46="",J46=""),"",MAX(IF(I46&lt;&gt;"",DATEVALUE(TRIM(RIGHT(SUBSTITUTE(I46,";",REPT(" ",50)),50))),0),IF(J46&lt;&gt;"",DATEVALUE(TRIM(RIGHT(SUBSTITUTE(J46,";",REPT(" ",50)),50))),0)))</f>
        <v>45986</v>
      </c>
      <c r="L46">
        <f ca="1">IF(K46="","",TODAY()-K46)</f>
        <v>13</v>
      </c>
      <c r="M46" t="s">
        <v>167</v>
      </c>
      <c r="N46">
        <f ca="1">IF(M46="","",IF(L46="",INDEX($F$110:$F$113,MATCH(M46,$C$110:$C$113,0)),IF(L46&lt;=INDEX($D$110:$D$113,MATCH(M46,$C$110:$C$113,0)),0,IF(L46&lt;=INDEX($E$110:$E$113,MATCH(M46,$C$110:$C$113,0)),INDEX($F$110:$F$113,MATCH(M46,$C$110:$C$113,0)),INDEX($G$110:$G$113,MATCH(M46,$C$110:$C$113,0))))))</f>
        <v>0</v>
      </c>
      <c r="O46">
        <f ca="1">G46+N46</f>
        <v>21</v>
      </c>
      <c r="P46" t="str">
        <f>IF(AND(C46="Broad/high-impact",OR(D46="High",D46="Medium")),"Review Required","No Review")</f>
        <v>Review Required</v>
      </c>
      <c r="Q46" t="s">
        <v>1175</v>
      </c>
      <c r="R46" t="s">
        <v>1176</v>
      </c>
    </row>
    <row r="47" spans="1:18" x14ac:dyDescent="0.2">
      <c r="A47" t="s">
        <v>665</v>
      </c>
      <c r="B47" t="s">
        <v>1177</v>
      </c>
      <c r="C47" t="s">
        <v>1178</v>
      </c>
      <c r="D47" t="s">
        <v>174</v>
      </c>
      <c r="E47">
        <v>0</v>
      </c>
      <c r="F47">
        <f>IF(D47="High",0,IF(D47="Medium",0.05,IF(D47="Low",0.1,IF(D47="Unknown",0.15,""))))</f>
        <v>0.05</v>
      </c>
      <c r="G47">
        <f>E47*(1+F47)</f>
        <v>0</v>
      </c>
      <c r="H47" t="s">
        <v>1179</v>
      </c>
      <c r="I47" t="s">
        <v>1180</v>
      </c>
      <c r="J47" t="s">
        <v>166</v>
      </c>
      <c r="M47" t="s">
        <v>167</v>
      </c>
      <c r="N47">
        <f>IF(M47="","",IF(L47="",INDEX($F$110:$F$113,MATCH(M47,$C$110:$C$113,0)),IF(L47&lt;=INDEX($D$110:$D$113,MATCH(M47,$C$110:$C$113,0)),0,IF(L47&lt;=INDEX($E$110:$E$113,MATCH(M47,$C$110:$C$113,0)),INDEX($F$110:$F$113,MATCH(M47,$C$110:$C$113,0)),INDEX($G$110:$G$113,MATCH(M47,$C$110:$C$113,0))))))</f>
        <v>0</v>
      </c>
      <c r="O47">
        <f>G47+N47</f>
        <v>0</v>
      </c>
      <c r="P47" t="s">
        <v>168</v>
      </c>
      <c r="Q47" t="s">
        <v>871</v>
      </c>
      <c r="R47" t="s">
        <v>1181</v>
      </c>
    </row>
    <row r="48" spans="1:18" x14ac:dyDescent="0.2">
      <c r="A48" s="3"/>
      <c r="B48" s="42"/>
      <c r="C48" s="43"/>
      <c r="D48" s="43"/>
      <c r="E48" s="43"/>
      <c r="F48" s="43"/>
      <c r="G48" s="43"/>
      <c r="H48" s="43"/>
      <c r="I48" s="43"/>
      <c r="J48" s="43"/>
      <c r="K48" s="44"/>
      <c r="L48" s="43"/>
      <c r="M48" s="43"/>
      <c r="N48" s="43"/>
      <c r="O48" s="43"/>
      <c r="P48" s="43"/>
      <c r="Q48" s="43"/>
      <c r="R48" s="43"/>
    </row>
    <row r="49" spans="1:18" x14ac:dyDescent="0.2">
      <c r="A49" t="s">
        <v>873</v>
      </c>
      <c r="B49" t="s">
        <v>1182</v>
      </c>
      <c r="C49" t="s">
        <v>275</v>
      </c>
      <c r="D49" t="s">
        <v>315</v>
      </c>
      <c r="E49">
        <f>IF(C49="Yes – main control path",0,IF(C49="Yes – partial control",10,IF(C49="No multisig",20,IF(C49="Unknown",10,""))))</f>
        <v>10</v>
      </c>
      <c r="F49">
        <f>IF(D49="High",0,IF(D49="Medium",0.05,IF(D49="Low",0.1,IF(D49="Unknown",0.15,""))))</f>
        <v>0.1</v>
      </c>
      <c r="G49">
        <f>E49*(1+F49)</f>
        <v>11</v>
      </c>
      <c r="H49" t="s">
        <v>1183</v>
      </c>
      <c r="I49" t="s">
        <v>1184</v>
      </c>
      <c r="J49" t="s">
        <v>250</v>
      </c>
      <c r="K49" s="24">
        <f>IF(AND(I49="",J49=""),"",MAX(IF(I49&lt;&gt;"",DATEVALUE(TRIM(RIGHT(SUBSTITUTE(I49,";",REPT(" ",50)),50))),0),IF(J49&lt;&gt;"",DATEVALUE(TRIM(RIGHT(SUBSTITUTE(J49,";",REPT(" ",50)),50))),0)))</f>
        <v>45986</v>
      </c>
      <c r="L49">
        <f ca="1">IF(K49="","",TODAY()-K49)</f>
        <v>13</v>
      </c>
      <c r="M49" t="s">
        <v>184</v>
      </c>
      <c r="N49">
        <f ca="1">IF(M49="","",IF(L49="",INDEX($F$110:$F$113,MATCH(M49,$C$110:$C$113,0)),IF(L49&lt;=INDEX($D$110:$D$113,MATCH(M49,$C$110:$C$113,0)),0,IF(L49&lt;=INDEX($E$110:$E$113,MATCH(M49,$C$110:$C$113,0)),INDEX($F$110:$F$113,MATCH(M49,$C$110:$C$113,0)),INDEX($G$110:$G$113,MATCH(M49,$C$110:$C$113,0))))))</f>
        <v>0</v>
      </c>
      <c r="O49">
        <f ca="1">G49+N49</f>
        <v>11</v>
      </c>
      <c r="P49" t="s">
        <v>168</v>
      </c>
      <c r="R49" t="s">
        <v>1185</v>
      </c>
    </row>
    <row r="50" spans="1:18" x14ac:dyDescent="0.2">
      <c r="A50" t="s">
        <v>880</v>
      </c>
      <c r="B50" t="s">
        <v>1186</v>
      </c>
      <c r="C50" t="s">
        <v>275</v>
      </c>
      <c r="D50" t="s">
        <v>163</v>
      </c>
      <c r="E50">
        <f>IF(C50="Strong threshold (≥⅔)",0,IF(C50="Moderate threshold (~50%)",10,IF(C50="Weak threshold (&lt;50%)",20,IF(C50="Unknown",10,""))))</f>
        <v>10</v>
      </c>
      <c r="F50">
        <f>IF(D50="High",0,IF(D50="Medium",0.05,IF(D50="Low",0.1,IF(D50="Unknown",0.15,""))))</f>
        <v>0</v>
      </c>
      <c r="G50">
        <f>E50*(1+F50)</f>
        <v>10</v>
      </c>
      <c r="H50" t="s">
        <v>1187</v>
      </c>
      <c r="I50" t="s">
        <v>1188</v>
      </c>
      <c r="J50" t="s">
        <v>250</v>
      </c>
      <c r="K50" s="24">
        <f>IF(AND(I50="",J50=""),"",MAX(IF(I50&lt;&gt;"",DATEVALUE(TRIM(RIGHT(SUBSTITUTE(I50,";",REPT(" ",50)),50))),0),IF(J50&lt;&gt;"",DATEVALUE(TRIM(RIGHT(SUBSTITUTE(J50,";",REPT(" ",50)),50))),0)))</f>
        <v>45986</v>
      </c>
      <c r="L50">
        <f ca="1">IF(K50="","",TODAY()-K50)</f>
        <v>13</v>
      </c>
      <c r="M50" t="s">
        <v>184</v>
      </c>
      <c r="N50">
        <f ca="1">IF(M50="","",IF(L50="",INDEX($F$110:$F$113,MATCH(M50,$C$110:$C$113,0)),IF(L50&lt;=INDEX($D$110:$D$113,MATCH(M50,$C$110:$C$113,0)),0,IF(L50&lt;=INDEX($E$110:$E$113,MATCH(M50,$C$110:$C$113,0)),INDEX($F$110:$F$113,MATCH(M50,$C$110:$C$113,0)),INDEX($G$110:$G$113,MATCH(M50,$C$110:$C$113,0))))))</f>
        <v>0</v>
      </c>
      <c r="O50">
        <f ca="1">G50+N50</f>
        <v>10</v>
      </c>
      <c r="P50" t="s">
        <v>168</v>
      </c>
      <c r="R50" t="s">
        <v>1189</v>
      </c>
    </row>
    <row r="51" spans="1:18" x14ac:dyDescent="0.2">
      <c r="A51" t="s">
        <v>887</v>
      </c>
      <c r="B51" t="s">
        <v>1190</v>
      </c>
      <c r="C51" t="s">
        <v>1191</v>
      </c>
      <c r="D51" t="s">
        <v>174</v>
      </c>
      <c r="E51">
        <f>IF(C51="Fully transparent",0,IF(C51="Partial transparency",10,IF(C51="Opaque/unknown signers",20,IF(C51="Unknown",10,""))))</f>
        <v>20</v>
      </c>
      <c r="F51">
        <f>IF(D51="High",0,IF(D51="Medium",0.05,IF(D51="Low",0.1,IF(D51="Unknown",0.15,""))))</f>
        <v>0.05</v>
      </c>
      <c r="G51">
        <f>E51*(1+F51)</f>
        <v>21</v>
      </c>
      <c r="H51" t="s">
        <v>1192</v>
      </c>
      <c r="I51" t="s">
        <v>1193</v>
      </c>
      <c r="J51" t="s">
        <v>166</v>
      </c>
      <c r="K51" s="24">
        <f>IF(AND(I51="",J51=""),"",MAX(IF(I51&lt;&gt;"",DATEVALUE(TRIM(RIGHT(SUBSTITUTE(I51,";",REPT(" ",50)),50))),0),IF(J51&lt;&gt;"",DATEVALUE(TRIM(RIGHT(SUBSTITUTE(J51,";",REPT(" ",50)),50))),0)))</f>
        <v>45986</v>
      </c>
      <c r="L51">
        <f ca="1">IF(K51="","",TODAY()-K51)</f>
        <v>13</v>
      </c>
      <c r="M51" t="s">
        <v>305</v>
      </c>
      <c r="N51">
        <f ca="1">IF(M51="","",IF(L51="",INDEX($F$110:$F$113,MATCH(M51,$C$110:$C$113,0)),IF(L51&lt;=INDEX($D$110:$D$113,MATCH(M51,$C$110:$C$113,0)),0,IF(L51&lt;=INDEX($E$110:$E$113,MATCH(M51,$C$110:$C$113,0)),INDEX($F$110:$F$113,MATCH(M51,$C$110:$C$113,0)),INDEX($G$110:$G$113,MATCH(M51,$C$110:$C$113,0))))))</f>
        <v>0</v>
      </c>
      <c r="O51">
        <f ca="1">G51+N51</f>
        <v>21</v>
      </c>
      <c r="P51" t="s">
        <v>168</v>
      </c>
      <c r="R51" t="s">
        <v>1194</v>
      </c>
    </row>
    <row r="52" spans="1:18" x14ac:dyDescent="0.2">
      <c r="A52" t="s">
        <v>894</v>
      </c>
      <c r="B52" t="s">
        <v>1195</v>
      </c>
      <c r="C52" t="s">
        <v>1196</v>
      </c>
      <c r="D52" t="s">
        <v>315</v>
      </c>
      <c r="E52">
        <v>0</v>
      </c>
      <c r="F52">
        <f>IF(D52="High",0,IF(D52="Medium",0.05,IF(D52="Low",0.1,IF(D52="Unknown",0.15,""))))</f>
        <v>0.1</v>
      </c>
      <c r="G52">
        <f>E52*(1+F52)</f>
        <v>0</v>
      </c>
      <c r="M52" t="s">
        <v>305</v>
      </c>
      <c r="N52">
        <f>IF(M52="","",IF(L52="",INDEX($F$110:$F$113,MATCH(M52,$C$110:$C$113,0)),IF(L52&lt;=INDEX($D$110:$D$113,MATCH(M52,$C$110:$C$113,0)),0,IF(L52&lt;=INDEX($E$110:$E$113,MATCH(M52,$C$110:$C$113,0)),INDEX($F$110:$F$113,MATCH(M52,$C$110:$C$113,0)),INDEX($G$110:$G$113,MATCH(M52,$C$110:$C$113,0))))))</f>
        <v>2</v>
      </c>
      <c r="O52">
        <f>G52+N52</f>
        <v>2</v>
      </c>
      <c r="P52" t="s">
        <v>168</v>
      </c>
      <c r="Q52" t="s">
        <v>871</v>
      </c>
      <c r="R52" t="s">
        <v>1197</v>
      </c>
    </row>
    <row r="53" spans="1:18" x14ac:dyDescent="0.2">
      <c r="A53" s="3"/>
      <c r="B53" s="42"/>
      <c r="C53" s="43"/>
      <c r="D53" s="43"/>
      <c r="E53" s="43"/>
      <c r="F53" s="43"/>
      <c r="G53" s="43"/>
      <c r="H53" s="43"/>
      <c r="I53" s="43"/>
      <c r="J53" s="43"/>
      <c r="K53" s="44"/>
      <c r="L53" s="43"/>
      <c r="M53" s="43"/>
      <c r="N53" s="43"/>
      <c r="O53" s="43"/>
      <c r="P53" s="43"/>
      <c r="Q53" s="43"/>
      <c r="R53" s="43"/>
    </row>
    <row r="54" spans="1:18" x14ac:dyDescent="0.2">
      <c r="A54" t="s">
        <v>1198</v>
      </c>
      <c r="B54" t="s">
        <v>1199</v>
      </c>
      <c r="C54" t="s">
        <v>275</v>
      </c>
      <c r="D54" t="s">
        <v>315</v>
      </c>
      <c r="E54">
        <f>IF(C54="Yes – all critical actions",0,IF(C54="Yes – some actions",10,IF(C54="No timelock",20,IF(C54="Unknown",10,""))))</f>
        <v>10</v>
      </c>
      <c r="F54">
        <f>IF(D54="High",0,IF(D54="Medium",0.05,IF(D54="Low",0.1,IF(D54="Unknown",0.15,""))))</f>
        <v>0.1</v>
      </c>
      <c r="G54">
        <f>E54*(1+F54)</f>
        <v>11</v>
      </c>
      <c r="H54" t="s">
        <v>1200</v>
      </c>
      <c r="I54" t="s">
        <v>1201</v>
      </c>
      <c r="J54" t="s">
        <v>166</v>
      </c>
      <c r="K54" s="24">
        <f>IF(AND(I54="",J54=""),"",MAX(IF(I54&lt;&gt;"",DATEVALUE(TRIM(RIGHT(SUBSTITUTE(I54,";",REPT(" ",50)),50))),0),IF(J54&lt;&gt;"",DATEVALUE(TRIM(RIGHT(SUBSTITUTE(J54,";",REPT(" ",50)),50))),0)))</f>
        <v>45986</v>
      </c>
      <c r="L54">
        <f ca="1">IF(K54="","",TODAY()-K54)</f>
        <v>13</v>
      </c>
      <c r="M54" t="s">
        <v>184</v>
      </c>
      <c r="N54">
        <f ca="1">IF(M54="","",IF(L54="",INDEX($F$110:$F$113,MATCH(M54,$C$110:$C$113,0)),IF(L54&lt;=INDEX($D$110:$D$113,MATCH(M54,$C$110:$C$113,0)),0,IF(L54&lt;=INDEX($E$110:$E$113,MATCH(M54,$C$110:$C$113,0)),INDEX($F$110:$F$113,MATCH(M54,$C$110:$C$113,0)),INDEX($G$110:$G$113,MATCH(M54,$C$110:$C$113,0))))))</f>
        <v>0</v>
      </c>
      <c r="O54">
        <f ca="1">G54+N54</f>
        <v>11</v>
      </c>
      <c r="P54" t="str">
        <f>IF(AND(C54="No timelock",OR(D54="High",D54="Medium")),"Review Required","No Review")</f>
        <v>No Review</v>
      </c>
      <c r="Q54" t="s">
        <v>1202</v>
      </c>
      <c r="R54" t="s">
        <v>1203</v>
      </c>
    </row>
    <row r="55" spans="1:18" x14ac:dyDescent="0.2">
      <c r="A55" t="s">
        <v>1204</v>
      </c>
      <c r="B55" t="s">
        <v>1205</v>
      </c>
      <c r="C55" t="s">
        <v>275</v>
      </c>
      <c r="D55" t="s">
        <v>174</v>
      </c>
      <c r="E55">
        <f>IF(C55="Adequate duration (≥24h)",0,IF(C55="Short duration (&lt;24h)",10,IF(C55="No timelock or irrelevant",20,IF(C55="Unknown",10,""))))</f>
        <v>10</v>
      </c>
      <c r="F55">
        <f>IF(D55="High",0,IF(D55="Medium",0.05,IF(D55="Low",0.1,IF(D55="Unknown",0.15,""))))</f>
        <v>0.05</v>
      </c>
      <c r="G55">
        <f>E55*(1+F55)</f>
        <v>10.5</v>
      </c>
      <c r="H55" t="s">
        <v>1206</v>
      </c>
      <c r="I55" t="s">
        <v>1207</v>
      </c>
      <c r="J55" t="s">
        <v>250</v>
      </c>
      <c r="K55" s="24">
        <f>IF(AND(I55="",J55=""),"",MAX(IF(I55&lt;&gt;"",DATEVALUE(TRIM(RIGHT(SUBSTITUTE(I55,";",REPT(" ",50)),50))),0),IF(J55&lt;&gt;"",DATEVALUE(TRIM(RIGHT(SUBSTITUTE(J55,";",REPT(" ",50)),50))),0)))</f>
        <v>45986</v>
      </c>
      <c r="L55">
        <f ca="1">IF(K55="","",TODAY()-K55)</f>
        <v>13</v>
      </c>
      <c r="M55" t="s">
        <v>184</v>
      </c>
      <c r="N55">
        <f ca="1">IF(M55="","",IF(L55="",INDEX($F$110:$F$113,MATCH(M55,$C$110:$C$113,0)),IF(L55&lt;=INDEX($D$110:$D$113,MATCH(M55,$C$110:$C$113,0)),0,IF(L55&lt;=INDEX($E$110:$E$113,MATCH(M55,$C$110:$C$113,0)),INDEX($F$110:$F$113,MATCH(M55,$C$110:$C$113,0)),INDEX($G$110:$G$113,MATCH(M55,$C$110:$C$113,0))))))</f>
        <v>0</v>
      </c>
      <c r="O55">
        <f ca="1">G55+N55</f>
        <v>10.5</v>
      </c>
      <c r="P55" t="s">
        <v>168</v>
      </c>
      <c r="R55" t="s">
        <v>1208</v>
      </c>
    </row>
    <row r="56" spans="1:18" x14ac:dyDescent="0.2">
      <c r="A56" t="s">
        <v>1209</v>
      </c>
      <c r="B56" t="s">
        <v>1210</v>
      </c>
      <c r="C56" t="s">
        <v>1211</v>
      </c>
      <c r="D56" t="s">
        <v>174</v>
      </c>
      <c r="E56">
        <v>0</v>
      </c>
      <c r="F56">
        <f>IF(D56="High",0,IF(D56="Medium",0.05,IF(D56="Low",0.1,IF(D56="Unknown",0.15,""))))</f>
        <v>0.05</v>
      </c>
      <c r="G56">
        <f>E56*(1+F56)</f>
        <v>0</v>
      </c>
      <c r="H56" t="s">
        <v>1212</v>
      </c>
      <c r="I56" t="s">
        <v>1213</v>
      </c>
      <c r="J56" t="s">
        <v>166</v>
      </c>
      <c r="M56" t="s">
        <v>305</v>
      </c>
      <c r="N56">
        <f>IF(M56="","",IF(L56="",INDEX($F$110:$F$113,MATCH(M56,$C$110:$C$113,0)),IF(L56&lt;=INDEX($D$110:$D$113,MATCH(M56,$C$110:$C$113,0)),0,IF(L56&lt;=INDEX($E$110:$E$113,MATCH(M56,$C$110:$C$113,0)),INDEX($F$110:$F$113,MATCH(M56,$C$110:$C$113,0)),INDEX($G$110:$G$113,MATCH(M56,$C$110:$C$113,0))))))</f>
        <v>2</v>
      </c>
      <c r="O56">
        <f>G56+N56</f>
        <v>2</v>
      </c>
      <c r="P56" t="s">
        <v>168</v>
      </c>
      <c r="Q56" t="s">
        <v>871</v>
      </c>
      <c r="R56" t="s">
        <v>1214</v>
      </c>
    </row>
    <row r="57" spans="1:18" x14ac:dyDescent="0.2">
      <c r="A57" s="3"/>
      <c r="B57" s="42"/>
      <c r="C57" s="43"/>
      <c r="D57" s="43"/>
      <c r="E57" s="43"/>
      <c r="F57" s="43"/>
      <c r="G57" s="43"/>
      <c r="H57" s="43"/>
      <c r="I57" s="43"/>
      <c r="J57" s="43"/>
      <c r="K57" s="44"/>
      <c r="L57" s="43"/>
      <c r="M57" s="43"/>
      <c r="N57" s="43"/>
      <c r="O57" s="43"/>
      <c r="P57" s="43"/>
      <c r="Q57" s="43"/>
      <c r="R57" s="43"/>
    </row>
    <row r="58" spans="1:18" x14ac:dyDescent="0.2">
      <c r="A58" t="s">
        <v>1215</v>
      </c>
      <c r="B58" t="s">
        <v>1216</v>
      </c>
      <c r="C58" t="s">
        <v>275</v>
      </c>
      <c r="D58" t="s">
        <v>174</v>
      </c>
      <c r="E58">
        <f>IF(C58="Institutional or HSM custody",0,IF(C58="Mixed model",10,IF(C58="Personal custody (individuals)",20,IF(C58="Unknown",10,""))))</f>
        <v>10</v>
      </c>
      <c r="F58">
        <f>IF(D58="High",0,IF(D58="Medium",0.05,IF(D58="Low",0.1,IF(D58="Unknown",0.15,""))))</f>
        <v>0.05</v>
      </c>
      <c r="G58">
        <f>E58*(1+F58)</f>
        <v>10.5</v>
      </c>
      <c r="H58" t="s">
        <v>1217</v>
      </c>
      <c r="I58" t="s">
        <v>1218</v>
      </c>
      <c r="J58" t="s">
        <v>250</v>
      </c>
      <c r="K58" s="24">
        <f>IF(AND(I58="",J58=""),"",MAX(IF(I58&lt;&gt;"",DATEVALUE(TRIM(RIGHT(SUBSTITUTE(I58,";",REPT(" ",50)),50))),0),IF(J58&lt;&gt;"",DATEVALUE(TRIM(RIGHT(SUBSTITUTE(J58,";",REPT(" ",50)),50))),0)))</f>
        <v>45986</v>
      </c>
      <c r="L58">
        <f ca="1">IF(K58="","",TODAY()-K58)</f>
        <v>13</v>
      </c>
      <c r="M58" t="s">
        <v>305</v>
      </c>
      <c r="N58">
        <f ca="1">IF(M58="","",IF(L58="",INDEX($F$110:$F$113,MATCH(M58,$C$110:$C$113,0)),IF(L58&lt;=INDEX($D$110:$D$113,MATCH(M58,$C$110:$C$113,0)),0,IF(L58&lt;=INDEX($E$110:$E$113,MATCH(M58,$C$110:$C$113,0)),INDEX($F$110:$F$113,MATCH(M58,$C$110:$C$113,0)),INDEX($G$110:$G$113,MATCH(M58,$C$110:$C$113,0))))))</f>
        <v>0</v>
      </c>
      <c r="O58">
        <f ca="1">G58+N58</f>
        <v>10.5</v>
      </c>
      <c r="P58" t="str">
        <f>IF(AND(C58="Personal custody (individuals)",OR(D58="High",D58="Medium")),"Review Required","No Review")</f>
        <v>No Review</v>
      </c>
      <c r="Q58" t="s">
        <v>1219</v>
      </c>
      <c r="R58" t="s">
        <v>1220</v>
      </c>
    </row>
    <row r="59" spans="1:18" x14ac:dyDescent="0.2">
      <c r="A59" t="s">
        <v>1221</v>
      </c>
      <c r="B59" t="s">
        <v>1222</v>
      </c>
      <c r="C59" t="s">
        <v>1223</v>
      </c>
      <c r="D59" t="s">
        <v>163</v>
      </c>
      <c r="E59">
        <f>IF(C59="No incidents",0,IF(C59="Minor incident fully resolved",10,IF(C59="Significant compromise",20,IF(C59="Unknown",10,""))))</f>
        <v>20</v>
      </c>
      <c r="F59">
        <f>IF(D59="High",0,IF(D59="Medium",0.05,IF(D59="Low",0.1,IF(D59="Unknown",0.15,""))))</f>
        <v>0</v>
      </c>
      <c r="G59">
        <f>E59*(1+F59)</f>
        <v>20</v>
      </c>
      <c r="H59" t="s">
        <v>1224</v>
      </c>
      <c r="I59" t="s">
        <v>1225</v>
      </c>
      <c r="J59" t="s">
        <v>166</v>
      </c>
      <c r="K59" s="24">
        <f>IF(AND(I59="",J59=""),"",MAX(IF(I59&lt;&gt;"",DATEVALUE(TRIM(RIGHT(SUBSTITUTE(I59,";",REPT(" ",50)),50))),0),IF(J59&lt;&gt;"",DATEVALUE(TRIM(RIGHT(SUBSTITUTE(J59,";",REPT(" ",50)),50))),0)))</f>
        <v>45986</v>
      </c>
      <c r="L59">
        <f ca="1">IF(K59="","",TODAY()-K59)</f>
        <v>13</v>
      </c>
      <c r="M59" t="s">
        <v>276</v>
      </c>
      <c r="N59">
        <f ca="1">IF(M59="","",IF(L59="",INDEX($F$110:$F$113,MATCH(M59,$C$110:$C$113,0)),IF(L59&lt;=INDEX($D$110:$D$113,MATCH(M59,$C$110:$C$113,0)),0,IF(L59&lt;=INDEX($E$110:$E$113,MATCH(M59,$C$110:$C$113,0)),INDEX($F$110:$F$113,MATCH(M59,$C$110:$C$113,0)),INDEX($G$110:$G$113,MATCH(M59,$C$110:$C$113,0))))))</f>
        <v>0</v>
      </c>
      <c r="O59">
        <f ca="1">G59+N59</f>
        <v>20</v>
      </c>
      <c r="P59" t="str">
        <f>IF(AND(C59="Significant compromise",OR(D59="High",D59="Medium")),"Review Required","No Review")</f>
        <v>Review Required</v>
      </c>
      <c r="Q59" t="s">
        <v>1226</v>
      </c>
      <c r="R59" t="s">
        <v>1227</v>
      </c>
    </row>
    <row r="60" spans="1:18" x14ac:dyDescent="0.2">
      <c r="A60" t="s">
        <v>1228</v>
      </c>
      <c r="B60" t="s">
        <v>1229</v>
      </c>
      <c r="C60" t="s">
        <v>1230</v>
      </c>
      <c r="D60" t="s">
        <v>174</v>
      </c>
      <c r="E60">
        <f>IF(C60="Mature documented process",0,IF(C60="Partial process",10,IF(C60="Minimal or ad-hoc",20,IF(C60="Unknown",10,""))))</f>
        <v>10</v>
      </c>
      <c r="F60">
        <f>IF(D60="High",0,IF(D60="Medium",0.05,IF(D60="Low",0.1,IF(D60="Unknown",0.15,""))))</f>
        <v>0.05</v>
      </c>
      <c r="G60">
        <f>E60*(1+F60)</f>
        <v>10.5</v>
      </c>
      <c r="H60" t="s">
        <v>1231</v>
      </c>
      <c r="I60" t="s">
        <v>1232</v>
      </c>
      <c r="J60" t="s">
        <v>166</v>
      </c>
      <c r="K60" s="24">
        <f>IF(AND(I60="",J60=""),"",MAX(IF(I60&lt;&gt;"",DATEVALUE(TRIM(RIGHT(SUBSTITUTE(I60,";",REPT(" ",50)),50))),0),IF(J60&lt;&gt;"",DATEVALUE(TRIM(RIGHT(SUBSTITUTE(J60,";",REPT(" ",50)),50))),0)))</f>
        <v>45986</v>
      </c>
      <c r="L60">
        <f ca="1">IF(K60="","",TODAY()-K60)</f>
        <v>13</v>
      </c>
      <c r="M60" t="s">
        <v>305</v>
      </c>
      <c r="N60">
        <f ca="1">IF(M60="","",IF(L60="",INDEX($F$110:$F$113,MATCH(M60,$C$110:$C$113,0)),IF(L60&lt;=INDEX($D$110:$D$113,MATCH(M60,$C$110:$C$113,0)),0,IF(L60&lt;=INDEX($E$110:$E$113,MATCH(M60,$C$110:$C$113,0)),INDEX($F$110:$F$113,MATCH(M60,$C$110:$C$113,0)),INDEX($G$110:$G$113,MATCH(M60,$C$110:$C$113,0))))))</f>
        <v>0</v>
      </c>
      <c r="O60">
        <f ca="1">G60+N60</f>
        <v>10.5</v>
      </c>
      <c r="P60" t="s">
        <v>168</v>
      </c>
      <c r="R60" t="s">
        <v>1233</v>
      </c>
    </row>
    <row r="61" spans="1:18" x14ac:dyDescent="0.2">
      <c r="A61" t="s">
        <v>1234</v>
      </c>
      <c r="B61" t="s">
        <v>1235</v>
      </c>
      <c r="C61" t="s">
        <v>1236</v>
      </c>
      <c r="D61" t="s">
        <v>163</v>
      </c>
      <c r="E61">
        <v>0</v>
      </c>
      <c r="F61">
        <f>IF(D61="High",0,IF(D61="Medium",0.05,IF(D61="Low",0.1,IF(D61="Unknown",0.15,""))))</f>
        <v>0</v>
      </c>
      <c r="G61">
        <f>E61*(1+F61)</f>
        <v>0</v>
      </c>
      <c r="H61" t="s">
        <v>1237</v>
      </c>
      <c r="I61" t="s">
        <v>1238</v>
      </c>
      <c r="J61" t="s">
        <v>166</v>
      </c>
      <c r="M61" t="s">
        <v>305</v>
      </c>
      <c r="N61">
        <f>IF(M61="","",IF(L61="",INDEX($F$110:$F$113,MATCH(M61,$C$110:$C$113,0)),IF(L61&lt;=INDEX($D$110:$D$113,MATCH(M61,$C$110:$C$113,0)),0,IF(L61&lt;=INDEX($E$110:$E$113,MATCH(M61,$C$110:$C$113,0)),INDEX($F$110:$F$113,MATCH(M61,$C$110:$C$113,0)),INDEX($G$110:$G$113,MATCH(M61,$C$110:$C$113,0))))))</f>
        <v>2</v>
      </c>
      <c r="O61">
        <f>G61+N61</f>
        <v>2</v>
      </c>
      <c r="P61" t="s">
        <v>168</v>
      </c>
      <c r="Q61" t="s">
        <v>871</v>
      </c>
      <c r="R61" t="s">
        <v>1239</v>
      </c>
    </row>
    <row r="62" spans="1:18" x14ac:dyDescent="0.2">
      <c r="A62" s="4"/>
      <c r="B62" s="5" t="s">
        <v>1240</v>
      </c>
      <c r="C62" s="4"/>
      <c r="D62" s="4"/>
      <c r="E62" s="4"/>
      <c r="F62" s="4"/>
      <c r="G62" s="4"/>
      <c r="H62" s="4"/>
      <c r="I62" s="4"/>
      <c r="J62" s="4"/>
      <c r="K62" s="23"/>
      <c r="L62" s="4"/>
      <c r="M62" s="4"/>
      <c r="N62" s="4" t="str">
        <f>IF(M62="","",IF(L62="",INDEX($F$110:$F$113,MATCH(M62,$C$110:$C$113,0)),IF(L62&lt;=INDEX($D$110:$D$113,MATCH(M62,$C$110:$C$113,0)),0,IF(L62&lt;=INDEX($E$110:$E$113,MATCH(M62,$C$110:$C$113,0)),INDEX($F$110:$F$113,MATCH(M62,$C$110:$C$113,0)),INDEX($G$110:$G$113,MATCH(M62,$C$110:$C$113,0))))))</f>
        <v/>
      </c>
      <c r="O62" s="4"/>
      <c r="P62" s="4"/>
      <c r="Q62" s="4"/>
      <c r="R62" s="4"/>
    </row>
    <row r="63" spans="1:18" x14ac:dyDescent="0.2">
      <c r="A63" s="3"/>
      <c r="B63" s="42"/>
      <c r="C63" s="43"/>
      <c r="D63" s="43"/>
      <c r="E63" s="43"/>
      <c r="F63" s="43"/>
      <c r="G63" s="43"/>
      <c r="H63" s="43"/>
      <c r="I63" s="43"/>
      <c r="J63" s="43"/>
      <c r="K63" s="44"/>
      <c r="L63" s="43"/>
      <c r="M63" s="43"/>
      <c r="N63" s="43"/>
      <c r="O63" s="43"/>
      <c r="P63" s="43"/>
      <c r="Q63" s="43"/>
      <c r="R63" s="43"/>
    </row>
    <row r="64" spans="1:18" x14ac:dyDescent="0.2">
      <c r="A64" t="s">
        <v>901</v>
      </c>
      <c r="B64" t="s">
        <v>1241</v>
      </c>
      <c r="C64" t="s">
        <v>1242</v>
      </c>
      <c r="D64" t="s">
        <v>163</v>
      </c>
      <c r="E64">
        <f>IF(C64="Layer-1",0,IF(C64="Layer-2 (Rollup)",0,IF(C64="App-chain/Subnet",10,IF(C64="Sidechain",10,IF(C64="Unknown",10,"")))))</f>
        <v>0</v>
      </c>
      <c r="F64">
        <f>IF(D64="High",0,IF(D64="Medium",0.05,IF(D64="Low",0.1,IF(D64="Unknown",0.15,""))))</f>
        <v>0</v>
      </c>
      <c r="G64">
        <f>E64*(1+F64)</f>
        <v>0</v>
      </c>
      <c r="H64" t="s">
        <v>1243</v>
      </c>
      <c r="I64" t="s">
        <v>1244</v>
      </c>
      <c r="J64" t="s">
        <v>166</v>
      </c>
      <c r="K64" s="24">
        <f>IF(AND(I64="",J64=""),"",MAX(IF(I64&lt;&gt;"",DATEVALUE(TRIM(RIGHT(SUBSTITUTE(I64,";",REPT(" ",50)),50))),0),IF(J64&lt;&gt;"",DATEVALUE(TRIM(RIGHT(SUBSTITUTE(J64,";",REPT(" ",50)),50))),0)))</f>
        <v>45986</v>
      </c>
      <c r="L64">
        <f ca="1">IF(K64="","",TODAY()-K64)</f>
        <v>13</v>
      </c>
      <c r="M64" t="s">
        <v>167</v>
      </c>
      <c r="N64">
        <f ca="1">IF(M64="","",IF(L64="",INDEX($F$110:$F$113,MATCH(M64,$C$110:$C$113,0)),IF(L64&lt;=INDEX($D$110:$D$113,MATCH(M64,$C$110:$C$113,0)),0,IF(L64&lt;=INDEX($E$110:$E$113,MATCH(M64,$C$110:$C$113,0)),INDEX($F$110:$F$113,MATCH(M64,$C$110:$C$113,0)),INDEX($G$110:$G$113,MATCH(M64,$C$110:$C$113,0))))))</f>
        <v>0</v>
      </c>
      <c r="O64">
        <f ca="1">G64+N64</f>
        <v>0</v>
      </c>
      <c r="P64" t="s">
        <v>168</v>
      </c>
      <c r="R64" t="s">
        <v>1245</v>
      </c>
    </row>
    <row r="65" spans="1:18" x14ac:dyDescent="0.2">
      <c r="A65" t="s">
        <v>907</v>
      </c>
      <c r="B65" t="s">
        <v>1246</v>
      </c>
      <c r="C65" t="s">
        <v>1247</v>
      </c>
      <c r="D65" t="s">
        <v>163</v>
      </c>
      <c r="E65">
        <f>IF(C65="","",IF(OR(C65="High - robust history",C65="High"),0,IF(C65="Moderate",10,IF(C65="Low or repeated issues",20,IF(C65="Unknown",10,"")))))</f>
        <v>0</v>
      </c>
      <c r="F65">
        <f>IF(D65="High",0,IF(D65="Medium",0.05,IF(D65="Low",0.1,IF(D65="Unknown",0.15,""))))</f>
        <v>0</v>
      </c>
      <c r="G65">
        <f>E65*(1+F65)</f>
        <v>0</v>
      </c>
      <c r="H65" t="s">
        <v>1248</v>
      </c>
      <c r="J65" t="s">
        <v>250</v>
      </c>
      <c r="K65" s="24">
        <f>IF(AND(I65="",J65=""),"",MAX(IF(I65&lt;&gt;"",DATEVALUE(TRIM(RIGHT(SUBSTITUTE(I65,";",REPT(" ",50)),50))),0),IF(J65&lt;&gt;"",DATEVALUE(TRIM(RIGHT(SUBSTITUTE(J65,";",REPT(" ",50)),50))),0)))</f>
        <v>45986</v>
      </c>
      <c r="L65">
        <f ca="1">IF(K65="","",TODAY()-K65)</f>
        <v>13</v>
      </c>
      <c r="M65" t="s">
        <v>305</v>
      </c>
      <c r="N65">
        <f ca="1">IF(M65="","",IF(L65="",INDEX($F$110:$F$113,MATCH(M65,$C$110:$C$113,0)),IF(L65&lt;=INDEX($D$110:$D$113,MATCH(M65,$C$110:$C$113,0)),0,IF(L65&lt;=INDEX($E$110:$E$113,MATCH(M65,$C$110:$C$113,0)),INDEX($F$110:$F$113,MATCH(M65,$C$110:$C$113,0)),INDEX($G$110:$G$113,MATCH(M65,$C$110:$C$113,0))))))</f>
        <v>0</v>
      </c>
      <c r="O65">
        <f ca="1">G65+N65</f>
        <v>0</v>
      </c>
      <c r="P65" t="str">
        <f>IF(AND(C65="Low or repeated issues",OR(D65="High",D65="Medium")),"Review Required","No Review")</f>
        <v>No Review</v>
      </c>
      <c r="Q65" t="s">
        <v>1249</v>
      </c>
      <c r="R65" t="s">
        <v>1250</v>
      </c>
    </row>
    <row r="66" spans="1:18" x14ac:dyDescent="0.2">
      <c r="A66" t="s">
        <v>913</v>
      </c>
      <c r="B66" t="s">
        <v>1251</v>
      </c>
      <c r="C66" t="s">
        <v>1252</v>
      </c>
      <c r="D66" t="s">
        <v>174</v>
      </c>
      <c r="E66">
        <f>IF(C66="Yes – formal/high quality audit",0,IF(C66="Yes – limited audit",10,IF(C66="No audit",20,IF(C66="Unknown",10,""))))</f>
        <v>10</v>
      </c>
      <c r="F66">
        <f>IF(D66="High",0,IF(D66="Medium",0.05,IF(D66="Low",0.1,IF(D66="Unknown",0.15,""))))</f>
        <v>0.05</v>
      </c>
      <c r="G66">
        <f>E66*(1+F66)</f>
        <v>10.5</v>
      </c>
      <c r="H66" t="s">
        <v>1253</v>
      </c>
      <c r="I66" t="s">
        <v>1254</v>
      </c>
      <c r="J66" t="s">
        <v>166</v>
      </c>
      <c r="K66" s="24">
        <f>IF(AND(I66="",J66=""),"",MAX(IF(I66&lt;&gt;"",DATEVALUE(TRIM(RIGHT(SUBSTITUTE(I66,";",REPT(" ",50)),50))),0),IF(J66&lt;&gt;"",DATEVALUE(TRIM(RIGHT(SUBSTITUTE(J66,";",REPT(" ",50)),50))),0)))</f>
        <v>45986</v>
      </c>
      <c r="L66">
        <f ca="1">IF(K66="","",TODAY()-K66)</f>
        <v>13</v>
      </c>
      <c r="M66" t="s">
        <v>167</v>
      </c>
      <c r="N66">
        <f ca="1">IF(M66="","",IF(L66="",INDEX($F$110:$F$113,MATCH(M66,$C$110:$C$113,0)),IF(L66&lt;=INDEX($D$110:$D$113,MATCH(M66,$C$110:$C$113,0)),0,IF(L66&lt;=INDEX($E$110:$E$113,MATCH(M66,$C$110:$C$113,0)),INDEX($F$110:$F$113,MATCH(M66,$C$110:$C$113,0)),INDEX($G$110:$G$113,MATCH(M66,$C$110:$C$113,0))))))</f>
        <v>0</v>
      </c>
      <c r="O66">
        <f ca="1">G66+N66</f>
        <v>10.5</v>
      </c>
      <c r="P66" t="s">
        <v>168</v>
      </c>
      <c r="R66" t="s">
        <v>1255</v>
      </c>
    </row>
    <row r="67" spans="1:18" x14ac:dyDescent="0.2">
      <c r="A67" t="s">
        <v>919</v>
      </c>
      <c r="B67" t="s">
        <v>1256</v>
      </c>
      <c r="C67" t="s">
        <v>1257</v>
      </c>
      <c r="D67" t="s">
        <v>163</v>
      </c>
      <c r="E67">
        <v>0</v>
      </c>
      <c r="F67">
        <f>IF(D67="High",0,IF(D67="Medium",0.05,IF(D67="Low",0.1,IF(D67="Unknown",0.15,""))))</f>
        <v>0</v>
      </c>
      <c r="G67">
        <f>E67*(1+F67)</f>
        <v>0</v>
      </c>
      <c r="H67" t="s">
        <v>1258</v>
      </c>
      <c r="I67" t="s">
        <v>1259</v>
      </c>
      <c r="J67" t="s">
        <v>166</v>
      </c>
      <c r="M67" t="s">
        <v>305</v>
      </c>
      <c r="N67">
        <f>IF(M67="","",IF(L67="",INDEX($F$110:$F$113,MATCH(M67,$C$110:$C$113,0)),IF(L67&lt;=INDEX($D$110:$D$113,MATCH(M67,$C$110:$C$113,0)),0,IF(L67&lt;=INDEX($E$110:$E$113,MATCH(M67,$C$110:$C$113,0)),INDEX($F$110:$F$113,MATCH(M67,$C$110:$C$113,0)),INDEX($G$110:$G$113,MATCH(M67,$C$110:$C$113,0))))))</f>
        <v>2</v>
      </c>
      <c r="O67">
        <f>G67+N67</f>
        <v>2</v>
      </c>
      <c r="P67" t="s">
        <v>168</v>
      </c>
      <c r="Q67" t="s">
        <v>871</v>
      </c>
      <c r="R67" t="s">
        <v>1260</v>
      </c>
    </row>
    <row r="68" spans="1:18" x14ac:dyDescent="0.2">
      <c r="A68" s="3"/>
      <c r="B68" s="42"/>
      <c r="C68" s="43"/>
      <c r="D68" s="43"/>
      <c r="E68" s="43"/>
      <c r="F68" s="43"/>
      <c r="G68" s="43"/>
      <c r="H68" s="43"/>
      <c r="I68" s="43"/>
      <c r="J68" s="43"/>
      <c r="K68" s="44"/>
      <c r="L68" s="43"/>
      <c r="M68" s="43"/>
      <c r="N68" s="43"/>
      <c r="O68" s="43"/>
      <c r="P68" s="43"/>
      <c r="Q68" s="43"/>
      <c r="R68" s="43"/>
    </row>
    <row r="69" spans="1:18" x14ac:dyDescent="0.2">
      <c r="A69" t="s">
        <v>925</v>
      </c>
      <c r="B69" t="s">
        <v>1261</v>
      </c>
      <c r="C69" t="s">
        <v>1262</v>
      </c>
      <c r="D69" t="s">
        <v>174</v>
      </c>
      <c r="E69">
        <f>IF(C69="Low concentration (top 5 &lt;25%)",0,IF(C69="Moderate (25–50%)",10,IF(C69="High concentration (top 5 &gt;50%)",20,IF(C69="Unknown",10,""))))</f>
        <v>20</v>
      </c>
      <c r="F69">
        <f>IF(D69="High",0,IF(D69="Medium",0.05,IF(D69="Low",0.1,IF(D69="Unknown",0.15,""))))</f>
        <v>0.05</v>
      </c>
      <c r="G69">
        <f>E69*(1+F69)</f>
        <v>21</v>
      </c>
      <c r="H69" t="s">
        <v>1263</v>
      </c>
      <c r="I69" t="s">
        <v>1264</v>
      </c>
      <c r="J69" t="s">
        <v>250</v>
      </c>
      <c r="K69" s="24">
        <f>IF(AND(I69="",J69=""),"",MAX(IF(I69&lt;&gt;"",DATEVALUE(TRIM(RIGHT(SUBSTITUTE(I69,";",REPT(" ",50)),50))),0),IF(J69&lt;&gt;"",DATEVALUE(TRIM(RIGHT(SUBSTITUTE(J69,";",REPT(" ",50)),50))),0)))</f>
        <v>45986</v>
      </c>
      <c r="L69">
        <f ca="1">IF(K69="","",TODAY()-K69)</f>
        <v>13</v>
      </c>
      <c r="M69" t="s">
        <v>184</v>
      </c>
      <c r="N69">
        <f ca="1">IF(M69="","",IF(L69="",INDEX($F$110:$F$113,MATCH(M69,$C$110:$C$113,0)),IF(L69&lt;=INDEX($D$110:$D$113,MATCH(M69,$C$110:$C$113,0)),0,IF(L69&lt;=INDEX($E$110:$E$113,MATCH(M69,$C$110:$C$113,0)),INDEX($F$110:$F$113,MATCH(M69,$C$110:$C$113,0)),INDEX($G$110:$G$113,MATCH(M69,$C$110:$C$113,0))))))</f>
        <v>0</v>
      </c>
      <c r="O69">
        <f ca="1">G69+N69</f>
        <v>21</v>
      </c>
      <c r="P69" t="str">
        <f>IF(AND(C69="High concentration (top 5 &gt;50%)",OR(D69="High",D69="Medium")),"Review Required","No Review")</f>
        <v>Review Required</v>
      </c>
      <c r="Q69" t="s">
        <v>1265</v>
      </c>
      <c r="R69" t="s">
        <v>1266</v>
      </c>
    </row>
    <row r="70" spans="1:18" x14ac:dyDescent="0.2">
      <c r="A70" t="s">
        <v>932</v>
      </c>
      <c r="B70" t="s">
        <v>1267</v>
      </c>
      <c r="C70" t="s">
        <v>1268</v>
      </c>
      <c r="D70" t="s">
        <v>174</v>
      </c>
      <c r="E70">
        <f>IF(C70="No censorship reported",0,IF(C70="Minor/isolated incidents",10,IF(C70="Documented or sustained censorship",20,IF(C70="Unknown",10,""))))</f>
        <v>0</v>
      </c>
      <c r="F70">
        <f>IF(D70="High",0,IF(D70="Medium",0.05,IF(D70="Low",0.1,IF(D70="Unknown",0.15,""))))</f>
        <v>0.05</v>
      </c>
      <c r="G70">
        <f>E70*(1+F70)</f>
        <v>0</v>
      </c>
      <c r="H70" t="s">
        <v>1269</v>
      </c>
      <c r="I70" t="s">
        <v>1270</v>
      </c>
      <c r="J70" t="s">
        <v>250</v>
      </c>
      <c r="K70" s="24">
        <f>IF(AND(I70="",J70=""),"",MAX(IF(I70&lt;&gt;"",DATEVALUE(TRIM(RIGHT(SUBSTITUTE(I70,";",REPT(" ",50)),50))),0),IF(J70&lt;&gt;"",DATEVALUE(TRIM(RIGHT(SUBSTITUTE(J70,";",REPT(" ",50)),50))),0)))</f>
        <v>45986</v>
      </c>
      <c r="L70">
        <f ca="1">IF(K70="","",TODAY()-K70)</f>
        <v>13</v>
      </c>
      <c r="M70" t="s">
        <v>184</v>
      </c>
      <c r="N70">
        <f ca="1">IF(M70="","",IF(L70="",INDEX($F$110:$F$113,MATCH(M70,$C$110:$C$113,0)),IF(L70&lt;=INDEX($D$110:$D$113,MATCH(M70,$C$110:$C$113,0)),0,IF(L70&lt;=INDEX($E$110:$E$113,MATCH(M70,$C$110:$C$113,0)),INDEX($F$110:$F$113,MATCH(M70,$C$110:$C$113,0)),INDEX($G$110:$G$113,MATCH(M70,$C$110:$C$113,0))))))</f>
        <v>0</v>
      </c>
      <c r="O70">
        <f ca="1">G70+N70</f>
        <v>0</v>
      </c>
      <c r="P70" t="str">
        <f>IF(AND(C70="Documented or sustained censorship",OR(D70="High",D70="Medium")),"Review Required","No Review")</f>
        <v>No Review</v>
      </c>
      <c r="Q70" t="s">
        <v>1271</v>
      </c>
      <c r="R70" t="s">
        <v>1272</v>
      </c>
    </row>
    <row r="71" spans="1:18" x14ac:dyDescent="0.2">
      <c r="A71" t="s">
        <v>939</v>
      </c>
      <c r="B71" t="s">
        <v>1273</v>
      </c>
      <c r="C71" t="s">
        <v>275</v>
      </c>
      <c r="D71" t="s">
        <v>315</v>
      </c>
      <c r="E71">
        <f>IF(C71="High reliability",0,IF(C71="Moderate",10,IF(C71="Low reliability or repeated liveness failures",20,IF(C71="Unknown",10,""))))</f>
        <v>10</v>
      </c>
      <c r="F71">
        <f>IF(D71="High",0,IF(D71="Medium",0.05,IF(D71="Low",0.1,IF(D71="Unknown",0.15,""))))</f>
        <v>0.1</v>
      </c>
      <c r="G71">
        <f>E71*(1+F71)</f>
        <v>11</v>
      </c>
      <c r="K71" s="24" t="str">
        <f>IF(AND(I71="",J71=""),"",MAX(IF(I71&lt;&gt;"",DATEVALUE(TRIM(RIGHT(SUBSTITUTE(I71,";",REPT(" ",50)),50))),0),IF(J71&lt;&gt;"",DATEVALUE(TRIM(RIGHT(SUBSTITUTE(J71,";",REPT(" ",50)),50))),0)))</f>
        <v/>
      </c>
      <c r="L71" t="str">
        <f ca="1">IF(K71="","",TODAY()-K71)</f>
        <v/>
      </c>
      <c r="M71" t="s">
        <v>184</v>
      </c>
      <c r="N71">
        <f ca="1">IF(M71="","",IF(L71="",INDEX($F$110:$F$113,MATCH(M71,$C$110:$C$113,0)),IF(L71&lt;=INDEX($D$110:$D$113,MATCH(M71,$C$110:$C$113,0)),0,IF(L71&lt;=INDEX($E$110:$E$113,MATCH(M71,$C$110:$C$113,0)),INDEX($F$110:$F$113,MATCH(M71,$C$110:$C$113,0)),INDEX($G$110:$G$113,MATCH(M71,$C$110:$C$113,0))))))</f>
        <v>3</v>
      </c>
      <c r="O71">
        <f ca="1">G71+N71</f>
        <v>14</v>
      </c>
      <c r="P71" t="s">
        <v>168</v>
      </c>
      <c r="R71" t="s">
        <v>1274</v>
      </c>
    </row>
    <row r="72" spans="1:18" x14ac:dyDescent="0.2">
      <c r="A72" t="s">
        <v>946</v>
      </c>
      <c r="B72" t="s">
        <v>1275</v>
      </c>
      <c r="C72" t="s">
        <v>1276</v>
      </c>
      <c r="D72" t="s">
        <v>174</v>
      </c>
      <c r="E72">
        <v>0</v>
      </c>
      <c r="F72">
        <f>IF(D72="High",0,IF(D72="Medium",0.05,IF(D72="Low",0.1,IF(D72="Unknown",0.15,""))))</f>
        <v>0.05</v>
      </c>
      <c r="G72">
        <f>E72*(1+F72)</f>
        <v>0</v>
      </c>
      <c r="H72" t="s">
        <v>1277</v>
      </c>
      <c r="I72" t="s">
        <v>1278</v>
      </c>
      <c r="J72" t="s">
        <v>250</v>
      </c>
      <c r="M72" t="s">
        <v>184</v>
      </c>
      <c r="N72">
        <f>IF(M72="","",IF(L72="",INDEX($F$110:$F$113,MATCH(M72,$C$110:$C$113,0)),IF(L72&lt;=INDEX($D$110:$D$113,MATCH(M72,$C$110:$C$113,0)),0,IF(L72&lt;=INDEX($E$110:$E$113,MATCH(M72,$C$110:$C$113,0)),INDEX($F$110:$F$113,MATCH(M72,$C$110:$C$113,0)),INDEX($G$110:$G$113,MATCH(M72,$C$110:$C$113,0))))))</f>
        <v>3</v>
      </c>
      <c r="O72">
        <f>G72+N72</f>
        <v>3</v>
      </c>
      <c r="P72" t="s">
        <v>168</v>
      </c>
      <c r="Q72" t="s">
        <v>871</v>
      </c>
      <c r="R72" t="s">
        <v>1279</v>
      </c>
    </row>
    <row r="73" spans="1:18" x14ac:dyDescent="0.2">
      <c r="A73" s="3"/>
      <c r="B73" s="42"/>
      <c r="C73" s="43"/>
      <c r="D73" s="43"/>
      <c r="E73" s="43"/>
      <c r="F73" s="43"/>
      <c r="G73" s="43"/>
      <c r="H73" s="43"/>
      <c r="I73" s="43"/>
      <c r="J73" s="43"/>
      <c r="K73" s="44"/>
      <c r="L73" s="43"/>
      <c r="M73" s="43"/>
      <c r="N73" s="43"/>
      <c r="O73" s="43"/>
      <c r="P73" s="43"/>
      <c r="Q73" s="43"/>
      <c r="R73" s="43"/>
    </row>
    <row r="74" spans="1:18" x14ac:dyDescent="0.2">
      <c r="A74" t="s">
        <v>1280</v>
      </c>
      <c r="B74" t="s">
        <v>1281</v>
      </c>
      <c r="C74" t="s">
        <v>1282</v>
      </c>
      <c r="D74" t="s">
        <v>163</v>
      </c>
      <c r="E74">
        <f>IF(C74="Low MEV exposure",0,IF(C74="Moderate exposure",10,IF(C74="High MEV exposure",20,IF(C74="Unknown",10,""))))</f>
        <v>20</v>
      </c>
      <c r="F74">
        <f>IF(D74="High",0,IF(D74="Medium",0.05,IF(D74="Low",0.1,IF(D74="Unknown",0.15,""))))</f>
        <v>0</v>
      </c>
      <c r="G74">
        <f>E74*(1+F74)</f>
        <v>20</v>
      </c>
      <c r="H74" t="s">
        <v>1283</v>
      </c>
      <c r="J74" t="s">
        <v>166</v>
      </c>
      <c r="K74" s="24">
        <f>IF(AND(I74="",J74=""),"",MAX(IF(I74&lt;&gt;"",DATEVALUE(TRIM(RIGHT(SUBSTITUTE(I74,";",REPT(" ",50)),50))),0),IF(J74&lt;&gt;"",DATEVALUE(TRIM(RIGHT(SUBSTITUTE(J74,";",REPT(" ",50)),50))),0)))</f>
        <v>45986</v>
      </c>
      <c r="L74">
        <f ca="1">IF(K74="","",TODAY()-K74)</f>
        <v>13</v>
      </c>
      <c r="M74" t="s">
        <v>184</v>
      </c>
      <c r="N74">
        <f ca="1">IF(M74="","",IF(L74="",INDEX($F$110:$F$113,MATCH(M74,$C$110:$C$113,0)),IF(L74&lt;=INDEX($D$110:$D$113,MATCH(M74,$C$110:$C$113,0)),0,IF(L74&lt;=INDEX($E$110:$E$113,MATCH(M74,$C$110:$C$113,0)),INDEX($F$110:$F$113,MATCH(M74,$C$110:$C$113,0)),INDEX($G$110:$G$113,MATCH(M74,$C$110:$C$113,0))))))</f>
        <v>0</v>
      </c>
      <c r="O74">
        <f ca="1">G74+N74</f>
        <v>20</v>
      </c>
      <c r="P74" t="s">
        <v>168</v>
      </c>
      <c r="R74" t="s">
        <v>1284</v>
      </c>
    </row>
    <row r="75" spans="1:18" x14ac:dyDescent="0.2">
      <c r="A75" t="s">
        <v>1285</v>
      </c>
      <c r="B75" t="s">
        <v>1286</v>
      </c>
      <c r="C75" t="s">
        <v>1287</v>
      </c>
      <c r="D75" t="s">
        <v>163</v>
      </c>
      <c r="E75">
        <f>IF(C75="Strong finality",0,IF(C75="Moderate finality",10,IF(C75="Weak finality/rollback risk",20,IF(C75="Unknown",10,""))))</f>
        <v>0</v>
      </c>
      <c r="F75">
        <f>IF(D75="High",0,IF(D75="Medium",0.05,IF(D75="Low",0.1,IF(D75="Unknown",0.15,""))))</f>
        <v>0</v>
      </c>
      <c r="G75">
        <f>E75*(1+F75)</f>
        <v>0</v>
      </c>
      <c r="H75" t="s">
        <v>1288</v>
      </c>
      <c r="I75" t="s">
        <v>1289</v>
      </c>
      <c r="J75" t="s">
        <v>166</v>
      </c>
      <c r="K75" s="24">
        <f>IF(AND(I75="",J75=""),"",MAX(IF(I75&lt;&gt;"",DATEVALUE(TRIM(RIGHT(SUBSTITUTE(I75,";",REPT(" ",50)),50))),0),IF(J75&lt;&gt;"",DATEVALUE(TRIM(RIGHT(SUBSTITUTE(J75,";",REPT(" ",50)),50))),0)))</f>
        <v>45986</v>
      </c>
      <c r="L75">
        <f ca="1">IF(K75="","",TODAY()-K75)</f>
        <v>13</v>
      </c>
      <c r="M75" t="s">
        <v>167</v>
      </c>
      <c r="N75">
        <f ca="1">IF(M75="","",IF(L75="",INDEX($F$110:$F$113,MATCH(M75,$C$110:$C$113,0)),IF(L75&lt;=INDEX($D$110:$D$113,MATCH(M75,$C$110:$C$113,0)),0,IF(L75&lt;=INDEX($E$110:$E$113,MATCH(M75,$C$110:$C$113,0)),INDEX($F$110:$F$113,MATCH(M75,$C$110:$C$113,0)),INDEX($G$110:$G$113,MATCH(M75,$C$110:$C$113,0))))))</f>
        <v>0</v>
      </c>
      <c r="O75">
        <f ca="1">G75+N75</f>
        <v>0</v>
      </c>
      <c r="P75" t="str">
        <f>IF(AND(C75="Weak finality/rollback risk",OR(D75="High",D75="Medium")),"Review Required","No Review")</f>
        <v>No Review</v>
      </c>
      <c r="Q75" t="s">
        <v>1290</v>
      </c>
      <c r="R75" t="s">
        <v>1291</v>
      </c>
    </row>
    <row r="76" spans="1:18" x14ac:dyDescent="0.2">
      <c r="A76" t="s">
        <v>1292</v>
      </c>
      <c r="B76" t="s">
        <v>1293</v>
      </c>
      <c r="C76" t="s">
        <v>275</v>
      </c>
      <c r="D76" t="s">
        <v>315</v>
      </c>
      <c r="E76">
        <f>IF(C76="No reorgs",0,IF(C76="Minor reorgs",10,IF(C76="Major or repeated reorgs",20,IF(C76="Unknown",10,""))))</f>
        <v>10</v>
      </c>
      <c r="F76">
        <f>IF(D76="High",0,IF(D76="Medium",0.05,IF(D76="Low",0.1,IF(D76="Unknown",0.15,""))))</f>
        <v>0.1</v>
      </c>
      <c r="G76">
        <f>E76*(1+F76)</f>
        <v>11</v>
      </c>
      <c r="K76" s="24" t="str">
        <f>IF(AND(I76="",J76=""),"",MAX(IF(I76&lt;&gt;"",DATEVALUE(TRIM(RIGHT(SUBSTITUTE(I76,";",REPT(" ",50)),50))),0),IF(J76&lt;&gt;"",DATEVALUE(TRIM(RIGHT(SUBSTITUTE(J76,";",REPT(" ",50)),50))),0)))</f>
        <v/>
      </c>
      <c r="L76" t="str">
        <f ca="1">IF(K76="","",TODAY()-K76)</f>
        <v/>
      </c>
      <c r="M76" t="s">
        <v>276</v>
      </c>
      <c r="N76">
        <f ca="1">IF(M76="","",IF(L76="",INDEX($F$110:$F$113,MATCH(M76,$C$110:$C$113,0)),IF(L76&lt;=INDEX($D$110:$D$113,MATCH(M76,$C$110:$C$113,0)),0,IF(L76&lt;=INDEX($E$110:$E$113,MATCH(M76,$C$110:$C$113,0)),INDEX($F$110:$F$113,MATCH(M76,$C$110:$C$113,0)),INDEX($G$110:$G$113,MATCH(M76,$C$110:$C$113,0))))))</f>
        <v>5</v>
      </c>
      <c r="O76">
        <f ca="1">G76+N76</f>
        <v>16</v>
      </c>
      <c r="P76" t="str">
        <f>IF(AND(C76="Major or repeated reorgs",OR(D76="High",D76="Medium")),"Review Required","No Review")</f>
        <v>No Review</v>
      </c>
      <c r="Q76" t="s">
        <v>1294</v>
      </c>
      <c r="R76" t="s">
        <v>1295</v>
      </c>
    </row>
    <row r="77" spans="1:18" x14ac:dyDescent="0.2">
      <c r="A77" t="s">
        <v>1296</v>
      </c>
      <c r="B77" t="s">
        <v>1297</v>
      </c>
      <c r="C77" t="s">
        <v>1298</v>
      </c>
      <c r="D77" t="s">
        <v>163</v>
      </c>
      <c r="E77">
        <v>0</v>
      </c>
      <c r="F77">
        <f>IF(D77="High",0,IF(D77="Medium",0.05,IF(D77="Low",0.1,IF(D77="Unknown",0.15,""))))</f>
        <v>0</v>
      </c>
      <c r="G77">
        <f>E77*(1+F77)</f>
        <v>0</v>
      </c>
      <c r="H77" t="s">
        <v>1299</v>
      </c>
      <c r="I77" t="s">
        <v>1300</v>
      </c>
      <c r="J77" t="s">
        <v>166</v>
      </c>
      <c r="M77" t="s">
        <v>184</v>
      </c>
      <c r="N77">
        <f>IF(M77="","",IF(L77="",INDEX($F$110:$F$113,MATCH(M77,$C$110:$C$113,0)),IF(L77&lt;=INDEX($D$110:$D$113,MATCH(M77,$C$110:$C$113,0)),0,IF(L77&lt;=INDEX($E$110:$E$113,MATCH(M77,$C$110:$C$113,0)),INDEX($F$110:$F$113,MATCH(M77,$C$110:$C$113,0)),INDEX($G$110:$G$113,MATCH(M77,$C$110:$C$113,0))))))</f>
        <v>3</v>
      </c>
      <c r="O77">
        <f>G77+N77</f>
        <v>3</v>
      </c>
      <c r="P77" t="s">
        <v>168</v>
      </c>
      <c r="Q77" t="s">
        <v>871</v>
      </c>
      <c r="R77" t="s">
        <v>1301</v>
      </c>
    </row>
    <row r="78" spans="1:18" x14ac:dyDescent="0.2">
      <c r="A78" s="3"/>
      <c r="B78" s="42"/>
      <c r="C78" s="43"/>
      <c r="D78" s="43"/>
      <c r="E78" s="43"/>
      <c r="F78" s="43"/>
      <c r="G78" s="43"/>
      <c r="H78" s="43"/>
      <c r="I78" s="43"/>
      <c r="J78" s="43"/>
      <c r="K78" s="44"/>
      <c r="L78" s="43"/>
      <c r="M78" s="43"/>
      <c r="N78" s="43"/>
      <c r="O78" s="43"/>
      <c r="P78" s="43"/>
      <c r="Q78" s="43"/>
      <c r="R78" s="43"/>
    </row>
    <row r="79" spans="1:18" x14ac:dyDescent="0.2">
      <c r="A79" t="s">
        <v>1302</v>
      </c>
      <c r="B79" t="s">
        <v>1303</v>
      </c>
      <c r="C79" t="s">
        <v>1304</v>
      </c>
      <c r="D79" t="s">
        <v>174</v>
      </c>
      <c r="E79">
        <f>IF(C79="No failures",0,IF(C79="Minor/short-lived event",10,IF(C79="Major or repeated failures",20,IF(C79="Unknown",10,""))))</f>
        <v>10</v>
      </c>
      <c r="F79">
        <f>IF(D79="High",0,IF(D79="Medium",0.05,IF(D79="Low",0.1,IF(D79="Unknown",0.15,""))))</f>
        <v>0.05</v>
      </c>
      <c r="G79">
        <f>E79*(1+F79)</f>
        <v>10.5</v>
      </c>
      <c r="H79" t="s">
        <v>1305</v>
      </c>
      <c r="I79" t="s">
        <v>1306</v>
      </c>
      <c r="J79" t="s">
        <v>166</v>
      </c>
      <c r="K79" s="24">
        <f>IF(AND(I79="",J79=""),"",MAX(IF(I79&lt;&gt;"",DATEVALUE(TRIM(RIGHT(SUBSTITUTE(I79,";",REPT(" ",50)),50))),0),IF(J79&lt;&gt;"",DATEVALUE(TRIM(RIGHT(SUBSTITUTE(J79,";",REPT(" ",50)),50))),0)))</f>
        <v>45986</v>
      </c>
      <c r="L79">
        <f ca="1">IF(K79="","",TODAY()-K79)</f>
        <v>13</v>
      </c>
      <c r="M79" t="s">
        <v>276</v>
      </c>
      <c r="N79">
        <f ca="1">IF(M79="","",IF(L79="",INDEX($F$110:$F$113,MATCH(M79,$C$110:$C$113,0)),IF(L79&lt;=INDEX($D$110:$D$113,MATCH(M79,$C$110:$C$113,0)),0,IF(L79&lt;=INDEX($E$110:$E$113,MATCH(M79,$C$110:$C$113,0)),INDEX($F$110:$F$113,MATCH(M79,$C$110:$C$113,0)),INDEX($G$110:$G$113,MATCH(M79,$C$110:$C$113,0))))))</f>
        <v>0</v>
      </c>
      <c r="O79">
        <f ca="1">G79+N79</f>
        <v>10.5</v>
      </c>
      <c r="P79" t="s">
        <v>168</v>
      </c>
      <c r="R79" t="s">
        <v>1307</v>
      </c>
    </row>
    <row r="80" spans="1:18" x14ac:dyDescent="0.2">
      <c r="A80" t="s">
        <v>1308</v>
      </c>
      <c r="B80" t="s">
        <v>1309</v>
      </c>
      <c r="C80" t="s">
        <v>1310</v>
      </c>
      <c r="D80" t="s">
        <v>174</v>
      </c>
      <c r="E80">
        <f>IF(C80="No breaches",0,IF(C80="Minor issue fully resolved",10,IF(C80="Significant breach",20,IF(C80="Unknown",10,""))))</f>
        <v>0</v>
      </c>
      <c r="F80">
        <f>IF(D80="High",0,IF(D80="Medium",0.05,IF(D80="Low",0.1,IF(D80="Unknown",0.15,""))))</f>
        <v>0.05</v>
      </c>
      <c r="G80">
        <f>E80*(1+F80)</f>
        <v>0</v>
      </c>
      <c r="H80" t="s">
        <v>1311</v>
      </c>
      <c r="I80" t="s">
        <v>1059</v>
      </c>
      <c r="J80" t="s">
        <v>250</v>
      </c>
      <c r="K80" s="24">
        <f>IF(AND(I80="",J80=""),"",MAX(IF(I80&lt;&gt;"",DATEVALUE(TRIM(RIGHT(SUBSTITUTE(I80,";",REPT(" ",50)),50))),0),IF(J80&lt;&gt;"",DATEVALUE(TRIM(RIGHT(SUBSTITUTE(J80,";",REPT(" ",50)),50))),0)))</f>
        <v>45986</v>
      </c>
      <c r="L80">
        <f ca="1">IF(K80="","",TODAY()-K80)</f>
        <v>13</v>
      </c>
      <c r="M80" t="s">
        <v>276</v>
      </c>
      <c r="N80">
        <f ca="1">IF(M80="","",IF(L80="",INDEX($F$110:$F$113,MATCH(M80,$C$110:$C$113,0)),IF(L80&lt;=INDEX($D$110:$D$113,MATCH(M80,$C$110:$C$113,0)),0,IF(L80&lt;=INDEX($E$110:$E$113,MATCH(M80,$C$110:$C$113,0)),INDEX($F$110:$F$113,MATCH(M80,$C$110:$C$113,0)),INDEX($G$110:$G$113,MATCH(M80,$C$110:$C$113,0))))))</f>
        <v>0</v>
      </c>
      <c r="O80">
        <f ca="1">G80+N80</f>
        <v>0</v>
      </c>
      <c r="P80" t="s">
        <v>168</v>
      </c>
      <c r="R80" t="s">
        <v>1312</v>
      </c>
    </row>
    <row r="81" spans="1:18" x14ac:dyDescent="0.2">
      <c r="A81" t="s">
        <v>1313</v>
      </c>
      <c r="B81" t="s">
        <v>1314</v>
      </c>
      <c r="C81" t="s">
        <v>210</v>
      </c>
      <c r="D81" t="s">
        <v>163</v>
      </c>
      <c r="E81">
        <v>0</v>
      </c>
      <c r="F81">
        <f>IF(D81="High",0,IF(D81="Medium",0.05,IF(D81="Low",0.1,IF(D81="Unknown",0.15,""))))</f>
        <v>0</v>
      </c>
      <c r="G81">
        <f>E81*(1+F81)</f>
        <v>0</v>
      </c>
      <c r="M81" t="s">
        <v>276</v>
      </c>
      <c r="N81">
        <f>IF(M81="","",IF(L81="",INDEX($F$110:$F$113,MATCH(M81,$C$110:$C$113,0)),IF(L81&lt;=INDEX($D$110:$D$113,MATCH(M81,$C$110:$C$113,0)),0,IF(L81&lt;=INDEX($E$110:$E$113,MATCH(M81,$C$110:$C$113,0)),INDEX($F$110:$F$113,MATCH(M81,$C$110:$C$113,0)),INDEX($G$110:$G$113,MATCH(M81,$C$110:$C$113,0))))))</f>
        <v>5</v>
      </c>
      <c r="O81">
        <f>G81+N81</f>
        <v>5</v>
      </c>
      <c r="P81" t="str">
        <f>IF(AND(OR(C79="Major or repeated failures",C76="Major or repeated reorgs"),C80="Significant breach",OR(D79="High",D79="Medium",D76="High",D76="Medium",D80="High",D80="Medium")),"Review Required","No Review")</f>
        <v>No Review</v>
      </c>
      <c r="Q81" t="s">
        <v>1315</v>
      </c>
      <c r="R81" t="s">
        <v>1316</v>
      </c>
    </row>
    <row r="82" spans="1:18" x14ac:dyDescent="0.2">
      <c r="A82" t="s">
        <v>1317</v>
      </c>
      <c r="B82" t="s">
        <v>1318</v>
      </c>
      <c r="C82" t="s">
        <v>1319</v>
      </c>
      <c r="D82" t="s">
        <v>315</v>
      </c>
      <c r="E82">
        <v>0</v>
      </c>
      <c r="F82">
        <f>IF(D82="High",0,IF(D82="Medium",0.05,IF(D82="Low",0.1,IF(D82="Unknown",0.15,""))))</f>
        <v>0.1</v>
      </c>
      <c r="G82">
        <f>E82*(1+F82)</f>
        <v>0</v>
      </c>
      <c r="M82" t="s">
        <v>276</v>
      </c>
      <c r="N82">
        <f>IF(M82="","",IF(L82="",INDEX($F$110:$F$113,MATCH(M82,$C$110:$C$113,0)),IF(L82&lt;=INDEX($D$110:$D$113,MATCH(M82,$C$110:$C$113,0)),0,IF(L82&lt;=INDEX($E$110:$E$113,MATCH(M82,$C$110:$C$113,0)),INDEX($F$110:$F$113,MATCH(M82,$C$110:$C$113,0)),INDEX($G$110:$G$113,MATCH(M82,$C$110:$C$113,0))))))</f>
        <v>5</v>
      </c>
      <c r="O82">
        <f>G82+N82</f>
        <v>5</v>
      </c>
      <c r="P82" t="s">
        <v>168</v>
      </c>
      <c r="Q82" t="s">
        <v>871</v>
      </c>
      <c r="R82" t="s">
        <v>1320</v>
      </c>
    </row>
    <row r="83" spans="1:18" x14ac:dyDescent="0.2">
      <c r="A83" s="4"/>
      <c r="B83" s="5" t="s">
        <v>1321</v>
      </c>
      <c r="C83" s="4"/>
      <c r="D83" s="4"/>
      <c r="E83" s="4"/>
      <c r="F83" s="4"/>
      <c r="G83" s="4"/>
      <c r="H83" s="4"/>
      <c r="I83" s="4"/>
      <c r="J83" s="4"/>
      <c r="K83" s="23"/>
      <c r="L83" s="4"/>
      <c r="M83" s="4"/>
      <c r="N83" s="4" t="str">
        <f>IF(M83="","",IF(L83="",INDEX($F$110:$F$113,MATCH(M83,$C$110:$C$113,0)),IF(L83&lt;=INDEX($D$110:$D$113,MATCH(M83,$C$110:$C$113,0)),0,IF(L83&lt;=INDEX($E$110:$E$113,MATCH(M83,$C$110:$C$113,0)),INDEX($F$110:$F$113,MATCH(M83,$C$110:$C$113,0)),INDEX($G$110:$G$113,MATCH(M83,$C$110:$C$113,0))))))</f>
        <v/>
      </c>
      <c r="O83" s="4"/>
      <c r="P83" s="4"/>
      <c r="Q83" s="4"/>
      <c r="R83" s="4"/>
    </row>
    <row r="84" spans="1:18" x14ac:dyDescent="0.2">
      <c r="A84" s="3"/>
      <c r="B84" s="42"/>
      <c r="C84" s="43"/>
      <c r="D84" s="43"/>
      <c r="E84" s="43"/>
      <c r="F84" s="43"/>
      <c r="G84" s="43"/>
      <c r="H84" s="43"/>
      <c r="I84" s="43"/>
      <c r="J84" s="43"/>
      <c r="K84" s="44"/>
      <c r="L84" s="43"/>
      <c r="M84" s="43"/>
      <c r="N84" s="43"/>
      <c r="O84" s="43"/>
      <c r="P84" s="43"/>
      <c r="Q84" s="43"/>
      <c r="R84" s="43"/>
    </row>
    <row r="85" spans="1:18" x14ac:dyDescent="0.2">
      <c r="A85" t="s">
        <v>444</v>
      </c>
      <c r="B85" t="s">
        <v>1322</v>
      </c>
      <c r="C85" t="s">
        <v>275</v>
      </c>
      <c r="D85" t="s">
        <v>315</v>
      </c>
      <c r="E85">
        <f>IF(C85="Highly diversified (multiple providers)",0,IF(C85="Moderately diversified",10,IF(C85="Single provider dependency",20,IF(C85="Unknown",10,""))))</f>
        <v>10</v>
      </c>
      <c r="F85">
        <f>IF(D85="High",0,IF(D85="Medium",0.05,IF(D85="Low",0.1,IF(D85="Unknown",0.15,""))))</f>
        <v>0.1</v>
      </c>
      <c r="G85">
        <f>E85*(1+F85)</f>
        <v>11</v>
      </c>
      <c r="H85" t="s">
        <v>1323</v>
      </c>
      <c r="J85" t="s">
        <v>250</v>
      </c>
      <c r="K85" s="24">
        <f>IF(AND(I85="",J85=""),"",MAX(IF(I85&lt;&gt;"",DATEVALUE(TRIM(RIGHT(SUBSTITUTE(I85,";",REPT(" ",50)),50))),0),IF(J85&lt;&gt;"",DATEVALUE(TRIM(RIGHT(SUBSTITUTE(J85,";",REPT(" ",50)),50))),0)))</f>
        <v>45986</v>
      </c>
      <c r="L85">
        <f ca="1">IF(K85="","",TODAY()-K85)</f>
        <v>13</v>
      </c>
      <c r="M85" t="s">
        <v>184</v>
      </c>
      <c r="N85">
        <f ca="1">IF(M85="","",IF(L85="",INDEX($F$110:$F$113,MATCH(M85,$C$110:$C$113,0)),IF(L85&lt;=INDEX($D$110:$D$113,MATCH(M85,$C$110:$C$113,0)),0,IF(L85&lt;=INDEX($E$110:$E$113,MATCH(M85,$C$110:$C$113,0)),INDEX($F$110:$F$113,MATCH(M85,$C$110:$C$113,0)),INDEX($G$110:$G$113,MATCH(M85,$C$110:$C$113,0))))))</f>
        <v>0</v>
      </c>
      <c r="O85">
        <f ca="1">G85+N85</f>
        <v>11</v>
      </c>
      <c r="P85" t="s">
        <v>168</v>
      </c>
      <c r="R85" t="s">
        <v>1324</v>
      </c>
    </row>
    <row r="86" spans="1:18" x14ac:dyDescent="0.2">
      <c r="A86" t="s">
        <v>451</v>
      </c>
      <c r="B86" t="s">
        <v>1325</v>
      </c>
      <c r="C86" t="s">
        <v>1326</v>
      </c>
      <c r="D86" t="s">
        <v>174</v>
      </c>
      <c r="E86">
        <f>IF(C86="High reliability",0,IF(C86="Moderate reliability",10,IF(C86="Repeated outages/instability",20,IF(C86="Unknown",10,""))))</f>
        <v>10</v>
      </c>
      <c r="F86">
        <f>IF(D86="High",0,IF(D86="Medium",0.05,IF(D86="Low",0.1,IF(D86="Unknown",0.15,""))))</f>
        <v>0.05</v>
      </c>
      <c r="G86">
        <f>E86*(1+F86)</f>
        <v>10.5</v>
      </c>
      <c r="H86" t="s">
        <v>1327</v>
      </c>
      <c r="I86" t="s">
        <v>1328</v>
      </c>
      <c r="J86" t="s">
        <v>250</v>
      </c>
      <c r="K86" s="24">
        <f>IF(AND(I86="",J86=""),"",MAX(IF(I86&lt;&gt;"",DATEVALUE(TRIM(RIGHT(SUBSTITUTE(I86,";",REPT(" ",50)),50))),0),IF(J86&lt;&gt;"",DATEVALUE(TRIM(RIGHT(SUBSTITUTE(J86,";",REPT(" ",50)),50))),0)))</f>
        <v>45986</v>
      </c>
      <c r="L86">
        <f ca="1">IF(K86="","",TODAY()-K86)</f>
        <v>13</v>
      </c>
      <c r="M86" t="s">
        <v>184</v>
      </c>
      <c r="N86">
        <f ca="1">IF(M86="","",IF(L86="",INDEX($F$110:$F$113,MATCH(M86,$C$110:$C$113,0)),IF(L86&lt;=INDEX($D$110:$D$113,MATCH(M86,$C$110:$C$113,0)),0,IF(L86&lt;=INDEX($E$110:$E$113,MATCH(M86,$C$110:$C$113,0)),INDEX($F$110:$F$113,MATCH(M86,$C$110:$C$113,0)),INDEX($G$110:$G$113,MATCH(M86,$C$110:$C$113,0))))))</f>
        <v>0</v>
      </c>
      <c r="O86">
        <f ca="1">G86+N86</f>
        <v>10.5</v>
      </c>
      <c r="P86" t="s">
        <v>168</v>
      </c>
      <c r="R86" t="s">
        <v>1329</v>
      </c>
    </row>
    <row r="87" spans="1:18" x14ac:dyDescent="0.2">
      <c r="A87" t="s">
        <v>457</v>
      </c>
      <c r="B87" t="s">
        <v>1330</v>
      </c>
      <c r="C87" t="s">
        <v>1331</v>
      </c>
      <c r="D87" t="s">
        <v>174</v>
      </c>
      <c r="E87">
        <f>IF(C87="Decentralised",0,IF(C87="Partially decentralised",10,IF(C87="Centralised infra",20,IF(C87="Unknown",10,""))))</f>
        <v>0</v>
      </c>
      <c r="F87">
        <f>IF(D87="High",0,IF(D87="Medium",0.05,IF(D87="Low",0.1,IF(D87="Unknown",0.15,""))))</f>
        <v>0.05</v>
      </c>
      <c r="G87">
        <f>E87*(1+F87)</f>
        <v>0</v>
      </c>
      <c r="H87" t="s">
        <v>1332</v>
      </c>
      <c r="I87" t="s">
        <v>1333</v>
      </c>
      <c r="J87" t="s">
        <v>166</v>
      </c>
      <c r="K87" s="24">
        <f>IF(AND(I87="",J87=""),"",MAX(IF(I87&lt;&gt;"",DATEVALUE(TRIM(RIGHT(SUBSTITUTE(I87,";",REPT(" ",50)),50))),0),IF(J87&lt;&gt;"",DATEVALUE(TRIM(RIGHT(SUBSTITUTE(J87,";",REPT(" ",50)),50))),0)))</f>
        <v>45986</v>
      </c>
      <c r="L87">
        <f ca="1">IF(K87="","",TODAY()-K87)</f>
        <v>13</v>
      </c>
      <c r="M87" t="s">
        <v>305</v>
      </c>
      <c r="N87">
        <f ca="1">IF(M87="","",IF(L87="",INDEX($F$110:$F$113,MATCH(M87,$C$110:$C$113,0)),IF(L87&lt;=INDEX($D$110:$D$113,MATCH(M87,$C$110:$C$113,0)),0,IF(L87&lt;=INDEX($E$110:$E$113,MATCH(M87,$C$110:$C$113,0)),INDEX($F$110:$F$113,MATCH(M87,$C$110:$C$113,0)),INDEX($G$110:$G$113,MATCH(M87,$C$110:$C$113,0))))))</f>
        <v>0</v>
      </c>
      <c r="O87">
        <f ca="1">G87+N87</f>
        <v>0</v>
      </c>
      <c r="P87" t="str">
        <f>IF(AND(C87="Centralised infra",OR(D87="High",D87="Medium")),"Review Required","No Review")</f>
        <v>No Review</v>
      </c>
      <c r="Q87" t="s">
        <v>1334</v>
      </c>
      <c r="R87" t="s">
        <v>1335</v>
      </c>
    </row>
    <row r="88" spans="1:18" x14ac:dyDescent="0.2">
      <c r="A88" t="s">
        <v>467</v>
      </c>
      <c r="B88" t="s">
        <v>1336</v>
      </c>
      <c r="C88" t="s">
        <v>1337</v>
      </c>
      <c r="D88" t="s">
        <v>174</v>
      </c>
      <c r="E88">
        <v>0</v>
      </c>
      <c r="F88">
        <f>IF(D88="High",0,IF(D88="Medium",0.05,IF(D88="Low",0.1,IF(D88="Unknown",0.15,""))))</f>
        <v>0.05</v>
      </c>
      <c r="G88">
        <f>E88*(1+F88)</f>
        <v>0</v>
      </c>
      <c r="H88" t="s">
        <v>1338</v>
      </c>
      <c r="I88" t="s">
        <v>1339</v>
      </c>
      <c r="J88" t="s">
        <v>166</v>
      </c>
      <c r="M88" t="s">
        <v>305</v>
      </c>
      <c r="N88">
        <f>IF(M88="","",IF(L88="",INDEX($F$110:$F$113,MATCH(M88,$C$110:$C$113,0)),IF(L88&lt;=INDEX($D$110:$D$113,MATCH(M88,$C$110:$C$113,0)),0,IF(L88&lt;=INDEX($E$110:$E$113,MATCH(M88,$C$110:$C$113,0)),INDEX($F$110:$F$113,MATCH(M88,$C$110:$C$113,0)),INDEX($G$110:$G$113,MATCH(M88,$C$110:$C$113,0))))))</f>
        <v>2</v>
      </c>
      <c r="O88">
        <f>G88+N88</f>
        <v>2</v>
      </c>
      <c r="P88" t="s">
        <v>168</v>
      </c>
      <c r="Q88" t="s">
        <v>871</v>
      </c>
      <c r="R88" t="s">
        <v>1340</v>
      </c>
    </row>
    <row r="89" spans="1:18" x14ac:dyDescent="0.2">
      <c r="A89" s="3"/>
      <c r="B89" s="42"/>
      <c r="C89" s="43"/>
      <c r="D89" s="43"/>
      <c r="E89" s="43"/>
      <c r="F89" s="43"/>
      <c r="G89" s="43"/>
      <c r="H89" s="43"/>
      <c r="I89" s="43"/>
      <c r="J89" s="43"/>
      <c r="K89" s="44"/>
      <c r="L89" s="43"/>
      <c r="M89" s="43"/>
      <c r="N89" s="43"/>
      <c r="O89" s="43"/>
      <c r="P89" s="43"/>
      <c r="Q89" s="43"/>
      <c r="R89" s="43"/>
    </row>
    <row r="90" spans="1:18" x14ac:dyDescent="0.2">
      <c r="A90" t="s">
        <v>472</v>
      </c>
      <c r="B90" t="s">
        <v>1341</v>
      </c>
      <c r="C90" t="s">
        <v>275</v>
      </c>
      <c r="D90" t="s">
        <v>315</v>
      </c>
      <c r="E90">
        <f>IF(C90="High diversity (multiple clients)",0,IF(C90="Moderate diversity",10,IF(C90="Single dominant client (&gt;90%)",20,IF(C90="Unknown",10,""))))</f>
        <v>10</v>
      </c>
      <c r="F90">
        <f>IF(D90="High",0,IF(D90="Medium",0.05,IF(D90="Low",0.1,IF(D90="Unknown",0.15,""))))</f>
        <v>0.1</v>
      </c>
      <c r="G90">
        <f>E90*(1+F90)</f>
        <v>11</v>
      </c>
      <c r="K90" s="24" t="str">
        <f>IF(AND(I90="",J90=""),"",MAX(IF(I90&lt;&gt;"",DATEVALUE(TRIM(RIGHT(SUBSTITUTE(I90,";",REPT(" ",50)),50))),0),IF(J90&lt;&gt;"",DATEVALUE(TRIM(RIGHT(SUBSTITUTE(J90,";",REPT(" ",50)),50))),0)))</f>
        <v/>
      </c>
      <c r="L90" t="str">
        <f ca="1">IF(K90="","",TODAY()-K90)</f>
        <v/>
      </c>
      <c r="M90" t="s">
        <v>305</v>
      </c>
      <c r="N90">
        <f ca="1">IF(M90="","",IF(L90="",INDEX($F$110:$F$113,MATCH(M90,$C$110:$C$113,0)),IF(L90&lt;=INDEX($D$110:$D$113,MATCH(M90,$C$110:$C$113,0)),0,IF(L90&lt;=INDEX($E$110:$E$113,MATCH(M90,$C$110:$C$113,0)),INDEX($F$110:$F$113,MATCH(M90,$C$110:$C$113,0)),INDEX($G$110:$G$113,MATCH(M90,$C$110:$C$113,0))))))</f>
        <v>2</v>
      </c>
      <c r="O90">
        <f ca="1">G90+N90</f>
        <v>13</v>
      </c>
      <c r="P90" t="s">
        <v>168</v>
      </c>
      <c r="R90" t="s">
        <v>1342</v>
      </c>
    </row>
    <row r="91" spans="1:18" x14ac:dyDescent="0.2">
      <c r="A91" t="s">
        <v>477</v>
      </c>
      <c r="B91" t="s">
        <v>1343</v>
      </c>
      <c r="C91" t="s">
        <v>275</v>
      </c>
      <c r="D91" t="s">
        <v>174</v>
      </c>
      <c r="E91">
        <f>IF(C91="Actively maintained",0,IF(C91="Moderately maintained",10,IF(C91="Poorly maintained/infrequent updates",20,IF(C91="Unknown",10,""))))</f>
        <v>10</v>
      </c>
      <c r="F91">
        <f>IF(D91="High",0,IF(D91="Medium",0.05,IF(D91="Low",0.1,IF(D91="Unknown",0.15,""))))</f>
        <v>0.05</v>
      </c>
      <c r="G91">
        <f>E91*(1+F91)</f>
        <v>10.5</v>
      </c>
      <c r="H91" t="s">
        <v>1344</v>
      </c>
      <c r="I91" t="s">
        <v>1345</v>
      </c>
      <c r="J91" t="s">
        <v>166</v>
      </c>
      <c r="K91" s="24">
        <f>IF(AND(I91="",J91=""),"",MAX(IF(I91&lt;&gt;"",DATEVALUE(TRIM(RIGHT(SUBSTITUTE(I91,";",REPT(" ",50)),50))),0),IF(J91&lt;&gt;"",DATEVALUE(TRIM(RIGHT(SUBSTITUTE(J91,";",REPT(" ",50)),50))),0)))</f>
        <v>45986</v>
      </c>
      <c r="L91">
        <f ca="1">IF(K91="","",TODAY()-K91)</f>
        <v>13</v>
      </c>
      <c r="M91" t="s">
        <v>305</v>
      </c>
      <c r="N91">
        <f ca="1">IF(M91="","",IF(L91="",INDEX($F$110:$F$113,MATCH(M91,$C$110:$C$113,0)),IF(L91&lt;=INDEX($D$110:$D$113,MATCH(M91,$C$110:$C$113,0)),0,IF(L91&lt;=INDEX($E$110:$E$113,MATCH(M91,$C$110:$C$113,0)),INDEX($F$110:$F$113,MATCH(M91,$C$110:$C$113,0)),INDEX($G$110:$G$113,MATCH(M91,$C$110:$C$113,0))))))</f>
        <v>0</v>
      </c>
      <c r="O91">
        <f ca="1">G91+N91</f>
        <v>10.5</v>
      </c>
      <c r="P91" t="s">
        <v>168</v>
      </c>
      <c r="R91" t="s">
        <v>1346</v>
      </c>
    </row>
    <row r="92" spans="1:18" x14ac:dyDescent="0.2">
      <c r="A92" t="s">
        <v>480</v>
      </c>
      <c r="B92" t="s">
        <v>1347</v>
      </c>
      <c r="C92" t="s">
        <v>275</v>
      </c>
      <c r="D92" t="s">
        <v>315</v>
      </c>
      <c r="E92">
        <f>IF(C92="No significant issues",0,IF(C92="Some minor issues",10,IF(C92="Major or recurring client bugs",20,IF(C92="Unknown",10,""))))</f>
        <v>10</v>
      </c>
      <c r="F92">
        <f>IF(D92="High",0,IF(D92="Medium",0.05,IF(D92="Low",0.1,IF(D92="Unknown",0.15,""))))</f>
        <v>0.1</v>
      </c>
      <c r="G92">
        <f>E92*(1+F92)</f>
        <v>11</v>
      </c>
      <c r="H92" t="s">
        <v>1348</v>
      </c>
      <c r="I92" t="s">
        <v>1349</v>
      </c>
      <c r="J92" t="s">
        <v>166</v>
      </c>
      <c r="K92" s="24">
        <f>IF(AND(I92="",J92=""),"",MAX(IF(I92&lt;&gt;"",DATEVALUE(TRIM(RIGHT(SUBSTITUTE(I92,";",REPT(" ",50)),50))),0),IF(J92&lt;&gt;"",DATEVALUE(TRIM(RIGHT(SUBSTITUTE(J92,";",REPT(" ",50)),50))),0)))</f>
        <v>45986</v>
      </c>
      <c r="L92">
        <f ca="1">IF(K92="","",TODAY()-K92)</f>
        <v>13</v>
      </c>
      <c r="M92" t="s">
        <v>184</v>
      </c>
      <c r="N92">
        <f ca="1">IF(M92="","",IF(L92="",INDEX($F$110:$F$113,MATCH(M92,$C$110:$C$113,0)),IF(L92&lt;=INDEX($D$110:$D$113,MATCH(M92,$C$110:$C$113,0)),0,IF(L92&lt;=INDEX($E$110:$E$113,MATCH(M92,$C$110:$C$113,0)),INDEX($F$110:$F$113,MATCH(M92,$C$110:$C$113,0)),INDEX($G$110:$G$113,MATCH(M92,$C$110:$C$113,0))))))</f>
        <v>0</v>
      </c>
      <c r="O92">
        <f ca="1">G92+N92</f>
        <v>11</v>
      </c>
      <c r="P92" t="str">
        <f>IF(AND(C92="Major or recurring client bugs",OR(D92="High",D92="Medium")),"Review Required","No Review")</f>
        <v>No Review</v>
      </c>
      <c r="Q92" t="s">
        <v>1350</v>
      </c>
      <c r="R92" t="s">
        <v>1351</v>
      </c>
    </row>
    <row r="93" spans="1:18" x14ac:dyDescent="0.2">
      <c r="A93" t="s">
        <v>496</v>
      </c>
      <c r="B93" t="s">
        <v>1352</v>
      </c>
      <c r="C93" t="s">
        <v>1353</v>
      </c>
      <c r="D93" t="s">
        <v>174</v>
      </c>
      <c r="E93">
        <v>0</v>
      </c>
      <c r="F93">
        <f>IF(D93="High",0,IF(D93="Medium",0.05,IF(D93="Low",0.1,IF(D93="Unknown",0.15,""))))</f>
        <v>0.05</v>
      </c>
      <c r="G93">
        <f>E93*(1+F93)</f>
        <v>0</v>
      </c>
      <c r="H93" t="s">
        <v>1354</v>
      </c>
      <c r="I93" t="s">
        <v>1355</v>
      </c>
      <c r="J93" t="s">
        <v>166</v>
      </c>
      <c r="M93" t="s">
        <v>305</v>
      </c>
      <c r="N93">
        <f>IF(M93="","",IF(L93="",INDEX($F$110:$F$113,MATCH(M93,$C$110:$C$113,0)),IF(L93&lt;=INDEX($D$110:$D$113,MATCH(M93,$C$110:$C$113,0)),0,IF(L93&lt;=INDEX($E$110:$E$113,MATCH(M93,$C$110:$C$113,0)),INDEX($F$110:$F$113,MATCH(M93,$C$110:$C$113,0)),INDEX($G$110:$G$113,MATCH(M93,$C$110:$C$113,0))))))</f>
        <v>2</v>
      </c>
      <c r="O93">
        <f>G93+N93</f>
        <v>2</v>
      </c>
      <c r="P93" t="s">
        <v>168</v>
      </c>
      <c r="Q93" t="s">
        <v>871</v>
      </c>
      <c r="R93" t="s">
        <v>1356</v>
      </c>
    </row>
    <row r="94" spans="1:18" x14ac:dyDescent="0.2">
      <c r="A94" s="3"/>
      <c r="B94" s="42"/>
      <c r="C94" s="43"/>
      <c r="D94" s="43"/>
      <c r="E94" s="43"/>
      <c r="F94" s="43"/>
      <c r="G94" s="43"/>
      <c r="H94" s="43"/>
      <c r="I94" s="43"/>
      <c r="J94" s="43"/>
      <c r="K94" s="44"/>
      <c r="L94" s="43"/>
      <c r="M94" s="43"/>
      <c r="N94" s="43"/>
      <c r="O94" s="43"/>
      <c r="P94" s="43"/>
      <c r="Q94" s="43"/>
      <c r="R94" s="43"/>
    </row>
    <row r="95" spans="1:18" x14ac:dyDescent="0.2">
      <c r="A95" t="s">
        <v>502</v>
      </c>
      <c r="B95" t="s">
        <v>1357</v>
      </c>
      <c r="C95" t="s">
        <v>275</v>
      </c>
      <c r="D95" t="s">
        <v>163</v>
      </c>
      <c r="E95">
        <f>IF(C95="Strong resilience",0,IF(C95="Moderate resilience",10,IF(C95="Weak or unprotected",20,IF(C95="Unknown",10,""))))</f>
        <v>10</v>
      </c>
      <c r="F95">
        <f>IF(D95="High",0,IF(D95="Medium",0.05,IF(D95="Low",0.1,IF(D95="Unknown",0.15,""))))</f>
        <v>0</v>
      </c>
      <c r="G95">
        <f>E95*(1+F95)</f>
        <v>10</v>
      </c>
      <c r="H95" t="s">
        <v>1058</v>
      </c>
      <c r="I95" t="s">
        <v>1059</v>
      </c>
      <c r="J95" t="s">
        <v>250</v>
      </c>
      <c r="K95" s="24">
        <f>IF(AND(I95="",J95=""),"",MAX(IF(I95&lt;&gt;"",DATEVALUE(TRIM(RIGHT(SUBSTITUTE(I95,";",REPT(" ",50)),50))),0),IF(J95&lt;&gt;"",DATEVALUE(TRIM(RIGHT(SUBSTITUTE(J95,";",REPT(" ",50)),50))),0)))</f>
        <v>45986</v>
      </c>
      <c r="L95">
        <f ca="1">IF(K95="","",TODAY()-K95)</f>
        <v>13</v>
      </c>
      <c r="M95" t="s">
        <v>184</v>
      </c>
      <c r="N95">
        <f ca="1">IF(M95="","",IF(L95="",INDEX($F$110:$F$113,MATCH(M95,$C$110:$C$113,0)),IF(L95&lt;=INDEX($D$110:$D$113,MATCH(M95,$C$110:$C$113,0)),0,IF(L95&lt;=INDEX($E$110:$E$113,MATCH(M95,$C$110:$C$113,0)),INDEX($F$110:$F$113,MATCH(M95,$C$110:$C$113,0)),INDEX($G$110:$G$113,MATCH(M95,$C$110:$C$113,0))))))</f>
        <v>0</v>
      </c>
      <c r="O95">
        <f ca="1">G95+N95</f>
        <v>10</v>
      </c>
      <c r="P95" t="s">
        <v>168</v>
      </c>
      <c r="R95" t="s">
        <v>1358</v>
      </c>
    </row>
    <row r="96" spans="1:18" x14ac:dyDescent="0.2">
      <c r="A96" t="s">
        <v>508</v>
      </c>
      <c r="B96" t="s">
        <v>1359</v>
      </c>
      <c r="C96" t="s">
        <v>1360</v>
      </c>
      <c r="D96" t="s">
        <v>163</v>
      </c>
      <c r="E96">
        <f>IF(C96="Comprehensive monitoring",0,IF(C96="Partial monitoring",10,IF(C96="Limited or no monitoring",20,IF(C96="Unknown",10,""))))</f>
        <v>10</v>
      </c>
      <c r="F96">
        <f>IF(D96="High",0,IF(D96="Medium",0.05,IF(D96="Low",0.1,IF(D96="Unknown",0.15,""))))</f>
        <v>0</v>
      </c>
      <c r="G96">
        <f>E96*(1+F96)</f>
        <v>10</v>
      </c>
      <c r="H96" t="s">
        <v>1361</v>
      </c>
      <c r="I96" t="s">
        <v>1362</v>
      </c>
      <c r="J96" t="s">
        <v>166</v>
      </c>
      <c r="K96" s="24">
        <f>IF(AND(I96="",J96=""),"",MAX(IF(I96&lt;&gt;"",DATEVALUE(TRIM(RIGHT(SUBSTITUTE(I96,";",REPT(" ",50)),50))),0),IF(J96&lt;&gt;"",DATEVALUE(TRIM(RIGHT(SUBSTITUTE(J96,";",REPT(" ",50)),50))),0)))</f>
        <v>45986</v>
      </c>
      <c r="L96">
        <f ca="1">IF(K96="","",TODAY()-K96)</f>
        <v>13</v>
      </c>
      <c r="M96" t="s">
        <v>184</v>
      </c>
      <c r="N96">
        <f ca="1">IF(M96="","",IF(L96="",INDEX($F$110:$F$113,MATCH(M96,$C$110:$C$113,0)),IF(L96&lt;=INDEX($D$110:$D$113,MATCH(M96,$C$110:$C$113,0)),0,IF(L96&lt;=INDEX($E$110:$E$113,MATCH(M96,$C$110:$C$113,0)),INDEX($F$110:$F$113,MATCH(M96,$C$110:$C$113,0)),INDEX($G$110:$G$113,MATCH(M96,$C$110:$C$113,0))))))</f>
        <v>0</v>
      </c>
      <c r="O96">
        <f ca="1">G96+N96</f>
        <v>10</v>
      </c>
      <c r="P96" t="s">
        <v>168</v>
      </c>
      <c r="R96" t="s">
        <v>1363</v>
      </c>
    </row>
    <row r="97" spans="1:18" x14ac:dyDescent="0.2">
      <c r="A97" t="s">
        <v>514</v>
      </c>
      <c r="B97" t="s">
        <v>1364</v>
      </c>
      <c r="C97" t="s">
        <v>275</v>
      </c>
      <c r="D97" t="s">
        <v>174</v>
      </c>
      <c r="E97">
        <f>IF(C97="Hardened/multi-cloud",0,IF(C97="Partially hardened",10,IF(C97="Single-cloud or poorly hardened",20,IF(C97="Unknown",10,""))))</f>
        <v>10</v>
      </c>
      <c r="F97">
        <f>IF(D97="High",0,IF(D97="Medium",0.05,IF(D97="Low",0.1,IF(D97="Unknown",0.15,""))))</f>
        <v>0.05</v>
      </c>
      <c r="G97">
        <f>E97*(1+F97)</f>
        <v>10.5</v>
      </c>
      <c r="H97" t="s">
        <v>1365</v>
      </c>
      <c r="I97" t="s">
        <v>1366</v>
      </c>
      <c r="J97" t="s">
        <v>250</v>
      </c>
      <c r="K97" s="24">
        <f>IF(AND(I97="",J97=""),"",MAX(IF(I97&lt;&gt;"",DATEVALUE(TRIM(RIGHT(SUBSTITUTE(I97,";",REPT(" ",50)),50))),0),IF(J97&lt;&gt;"",DATEVALUE(TRIM(RIGHT(SUBSTITUTE(J97,";",REPT(" ",50)),50))),0)))</f>
        <v>45986</v>
      </c>
      <c r="L97">
        <f ca="1">IF(K97="","",TODAY()-K97)</f>
        <v>13</v>
      </c>
      <c r="M97" t="s">
        <v>184</v>
      </c>
      <c r="N97">
        <f ca="1">IF(M97="","",IF(L97="",INDEX($F$110:$F$113,MATCH(M97,$C$110:$C$113,0)),IF(L97&lt;=INDEX($D$110:$D$113,MATCH(M97,$C$110:$C$113,0)),0,IF(L97&lt;=INDEX($E$110:$E$113,MATCH(M97,$C$110:$C$113,0)),INDEX($F$110:$F$113,MATCH(M97,$C$110:$C$113,0)),INDEX($G$110:$G$113,MATCH(M97,$C$110:$C$113,0))))))</f>
        <v>0</v>
      </c>
      <c r="O97">
        <f ca="1">G97+N97</f>
        <v>10.5</v>
      </c>
      <c r="P97" t="str">
        <f>IF(AND(C97="Single-cloud or poorly hardened",OR(D97="High",D97="Medium")),"Review Required","No Review")</f>
        <v>No Review</v>
      </c>
      <c r="Q97" t="s">
        <v>1367</v>
      </c>
      <c r="R97" t="s">
        <v>1368</v>
      </c>
    </row>
    <row r="98" spans="1:18" x14ac:dyDescent="0.2">
      <c r="A98" t="s">
        <v>517</v>
      </c>
      <c r="B98" t="s">
        <v>1369</v>
      </c>
      <c r="C98" t="s">
        <v>1370</v>
      </c>
      <c r="D98" t="s">
        <v>315</v>
      </c>
      <c r="E98">
        <v>0</v>
      </c>
      <c r="F98">
        <f>IF(D98="High",0,IF(D98="Medium",0.05,IF(D98="Low",0.1,IF(D98="Unknown",0.15,""))))</f>
        <v>0.1</v>
      </c>
      <c r="G98">
        <f>E98*(1+F98)</f>
        <v>0</v>
      </c>
      <c r="H98" t="s">
        <v>1371</v>
      </c>
      <c r="I98" t="s">
        <v>1372</v>
      </c>
      <c r="J98" t="s">
        <v>166</v>
      </c>
      <c r="M98" t="s">
        <v>305</v>
      </c>
      <c r="N98">
        <f>IF(M98="","",IF(L98="",INDEX($F$110:$F$113,MATCH(M98,$C$110:$C$113,0)),IF(L98&lt;=INDEX($D$110:$D$113,MATCH(M98,$C$110:$C$113,0)),0,IF(L98&lt;=INDEX($E$110:$E$113,MATCH(M98,$C$110:$C$113,0)),INDEX($F$110:$F$113,MATCH(M98,$C$110:$C$113,0)),INDEX($G$110:$G$113,MATCH(M98,$C$110:$C$113,0))))))</f>
        <v>2</v>
      </c>
      <c r="O98">
        <f>G98+N98</f>
        <v>2</v>
      </c>
      <c r="P98" t="s">
        <v>168</v>
      </c>
      <c r="Q98" t="s">
        <v>871</v>
      </c>
      <c r="R98" t="s">
        <v>1373</v>
      </c>
    </row>
    <row r="99" spans="1:18" x14ac:dyDescent="0.2">
      <c r="A99" s="3"/>
      <c r="B99" s="42"/>
      <c r="C99" s="43"/>
      <c r="D99" s="43"/>
      <c r="E99" s="43"/>
      <c r="F99" s="43"/>
      <c r="G99" s="43"/>
      <c r="H99" s="43"/>
      <c r="I99" s="43"/>
      <c r="J99" s="43"/>
      <c r="K99" s="44"/>
      <c r="L99" s="43"/>
      <c r="M99" s="43"/>
      <c r="N99" s="43"/>
      <c r="O99" s="43"/>
      <c r="P99" s="43"/>
      <c r="Q99" s="43"/>
      <c r="R99" s="43"/>
    </row>
    <row r="100" spans="1:18" x14ac:dyDescent="0.2">
      <c r="A100" t="s">
        <v>523</v>
      </c>
      <c r="B100" t="s">
        <v>1374</v>
      </c>
      <c r="C100" t="s">
        <v>275</v>
      </c>
      <c r="D100" t="s">
        <v>315</v>
      </c>
      <c r="E100">
        <f>IF(C100="No major outages",0,IF(C100="Minor/isolated outage",10,IF(C100="Major or repeated outages",20,IF(C100="Unknown",10,""))))</f>
        <v>10</v>
      </c>
      <c r="F100">
        <f>IF(D100="High",0,IF(D100="Medium",0.05,IF(D100="Low",0.1,IF(D100="Unknown",0.15,""))))</f>
        <v>0.1</v>
      </c>
      <c r="G100">
        <f>E100*(1+F100)</f>
        <v>11</v>
      </c>
      <c r="H100" t="s">
        <v>1375</v>
      </c>
      <c r="I100" t="s">
        <v>1376</v>
      </c>
      <c r="J100" t="s">
        <v>166</v>
      </c>
      <c r="K100" s="24">
        <f>IF(AND(I100="",J100=""),"",MAX(IF(I100&lt;&gt;"",DATEVALUE(TRIM(RIGHT(SUBSTITUTE(I100,";",REPT(" ",50)),50))),0),IF(J100&lt;&gt;"",DATEVALUE(TRIM(RIGHT(SUBSTITUTE(J100,";",REPT(" ",50)),50))),0)))</f>
        <v>45986</v>
      </c>
      <c r="L100">
        <f ca="1">IF(K100="","",TODAY()-K100)</f>
        <v>13</v>
      </c>
      <c r="M100" t="s">
        <v>276</v>
      </c>
      <c r="N100">
        <f ca="1">IF(M100="","",IF(L100="",INDEX($F$110:$F$113,MATCH(M100,$C$110:$C$113,0)),IF(L100&lt;=INDEX($D$110:$D$113,MATCH(M100,$C$110:$C$113,0)),0,IF(L100&lt;=INDEX($E$110:$E$113,MATCH(M100,$C$110:$C$113,0)),INDEX($F$110:$F$113,MATCH(M100,$C$110:$C$113,0)),INDEX($G$110:$G$113,MATCH(M100,$C$110:$C$113,0))))))</f>
        <v>0</v>
      </c>
      <c r="O100">
        <f ca="1">G100+N100</f>
        <v>11</v>
      </c>
      <c r="P100" t="s">
        <v>168</v>
      </c>
      <c r="R100" t="s">
        <v>1377</v>
      </c>
    </row>
    <row r="101" spans="1:18" x14ac:dyDescent="0.2">
      <c r="A101" t="s">
        <v>530</v>
      </c>
      <c r="B101" t="s">
        <v>1378</v>
      </c>
      <c r="C101" t="s">
        <v>1379</v>
      </c>
      <c r="D101" t="s">
        <v>174</v>
      </c>
      <c r="E101">
        <f>IF(C101="No incidents",0,IF(C101="Minor issue fully resolved",10,IF(C101="Significant breach",20,IF(C101="Unknown",10,""))))</f>
        <v>0</v>
      </c>
      <c r="F101">
        <f>IF(D101="High",0,IF(D101="Medium",0.05,IF(D101="Low",0.1,IF(D101="Unknown",0.15,""))))</f>
        <v>0.05</v>
      </c>
      <c r="G101">
        <f>E101*(1+F101)</f>
        <v>0</v>
      </c>
      <c r="H101" t="s">
        <v>1380</v>
      </c>
      <c r="I101" t="s">
        <v>1381</v>
      </c>
      <c r="J101" t="s">
        <v>166</v>
      </c>
      <c r="K101" s="24">
        <f>IF(AND(I101="",J101=""),"",MAX(IF(I101&lt;&gt;"",DATEVALUE(TRIM(RIGHT(SUBSTITUTE(I101,";",REPT(" ",50)),50))),0),IF(J101&lt;&gt;"",DATEVALUE(TRIM(RIGHT(SUBSTITUTE(J101,";",REPT(" ",50)),50))),0)))</f>
        <v>45986</v>
      </c>
      <c r="L101">
        <f ca="1">IF(K101="","",TODAY()-K101)</f>
        <v>13</v>
      </c>
      <c r="M101" t="s">
        <v>276</v>
      </c>
      <c r="N101">
        <f ca="1">IF(M101="","",IF(L101="",INDEX($F$110:$F$113,MATCH(M101,$C$110:$C$113,0)),IF(L101&lt;=INDEX($D$110:$D$113,MATCH(M101,$C$110:$C$113,0)),0,IF(L101&lt;=INDEX($E$110:$E$113,MATCH(M101,$C$110:$C$113,0)),INDEX($F$110:$F$113,MATCH(M101,$C$110:$C$113,0)),INDEX($G$110:$G$113,MATCH(M101,$C$110:$C$113,0))))))</f>
        <v>0</v>
      </c>
      <c r="O101">
        <f ca="1">G101+N101</f>
        <v>0</v>
      </c>
      <c r="P101" t="s">
        <v>168</v>
      </c>
      <c r="R101" t="s">
        <v>1382</v>
      </c>
    </row>
    <row r="102" spans="1:18" x14ac:dyDescent="0.2">
      <c r="A102" t="s">
        <v>537</v>
      </c>
      <c r="B102" t="s">
        <v>1383</v>
      </c>
      <c r="C102" t="s">
        <v>210</v>
      </c>
      <c r="D102" t="s">
        <v>174</v>
      </c>
      <c r="E102">
        <v>0</v>
      </c>
      <c r="F102">
        <f>IF(D102="High",0,IF(D102="Medium",0.05,IF(D102="Low",0.1,IF(D102="Unknown",0.15,""))))</f>
        <v>0.05</v>
      </c>
      <c r="G102">
        <f>E102*(1+F102)</f>
        <v>0</v>
      </c>
      <c r="H102" t="s">
        <v>1384</v>
      </c>
      <c r="I102" t="s">
        <v>1385</v>
      </c>
      <c r="J102" t="s">
        <v>166</v>
      </c>
      <c r="M102" t="s">
        <v>276</v>
      </c>
      <c r="N102">
        <f>IF(M102="","",IF(L102="",INDEX($F$110:$F$113,MATCH(M102,$C$110:$C$113,0)),IF(L102&lt;=INDEX($D$110:$D$113,MATCH(M102,$C$110:$C$113,0)),0,IF(L102&lt;=INDEX($E$110:$E$113,MATCH(M102,$C$110:$C$113,0)),INDEX($F$110:$F$113,MATCH(M102,$C$110:$C$113,0)),INDEX($G$110:$G$113,MATCH(M102,$C$110:$C$113,0))))))</f>
        <v>5</v>
      </c>
      <c r="O102">
        <f>G102+N102</f>
        <v>5</v>
      </c>
      <c r="P102" t="str">
        <f>IF(AND(C100="Major or repeated outages",C101="Significant breach",OR(D100="High",D100="Medium",D101="High",D101="Medium")),"Review Required","No Review")</f>
        <v>No Review</v>
      </c>
      <c r="Q102" t="s">
        <v>1386</v>
      </c>
      <c r="R102" t="s">
        <v>1387</v>
      </c>
    </row>
    <row r="103" spans="1:18" x14ac:dyDescent="0.2">
      <c r="A103" t="s">
        <v>542</v>
      </c>
      <c r="B103" t="s">
        <v>1388</v>
      </c>
      <c r="C103" t="s">
        <v>1389</v>
      </c>
      <c r="D103" t="s">
        <v>174</v>
      </c>
      <c r="E103">
        <v>0</v>
      </c>
      <c r="F103">
        <f>IF(D103="High",0,IF(D103="Medium",0.05,IF(D103="Low",0.1,IF(D103="Unknown",0.15,""))))</f>
        <v>0.05</v>
      </c>
      <c r="G103">
        <f>E103*(1+F103)</f>
        <v>0</v>
      </c>
      <c r="H103" t="s">
        <v>1390</v>
      </c>
      <c r="I103" t="s">
        <v>1391</v>
      </c>
      <c r="J103" t="s">
        <v>166</v>
      </c>
      <c r="M103" t="s">
        <v>276</v>
      </c>
      <c r="N103">
        <f>IF(M103="","",IF(L103="",INDEX($F$110:$F$113,MATCH(M103,$C$110:$C$113,0)),IF(L103&lt;=INDEX($D$110:$D$113,MATCH(M103,$C$110:$C$113,0)),0,IF(L103&lt;=INDEX($E$110:$E$113,MATCH(M103,$C$110:$C$113,0)),INDEX($F$110:$F$113,MATCH(M103,$C$110:$C$113,0)),INDEX($G$110:$G$113,MATCH(M103,$C$110:$C$113,0))))))</f>
        <v>5</v>
      </c>
      <c r="O103">
        <f>G103+N103</f>
        <v>5</v>
      </c>
      <c r="P103" t="s">
        <v>168</v>
      </c>
      <c r="Q103" t="s">
        <v>871</v>
      </c>
      <c r="R103" t="s">
        <v>1392</v>
      </c>
    </row>
    <row r="106" spans="1:18" s="6" customFormat="1" x14ac:dyDescent="0.2">
      <c r="K106" s="26"/>
    </row>
    <row r="108" spans="1:18" x14ac:dyDescent="0.2">
      <c r="C108" s="54" t="s">
        <v>548</v>
      </c>
      <c r="D108" s="55"/>
      <c r="E108" s="55"/>
      <c r="F108" s="55"/>
      <c r="G108" s="56"/>
    </row>
    <row r="109" spans="1:18" x14ac:dyDescent="0.2">
      <c r="C109" s="31" t="s">
        <v>152</v>
      </c>
      <c r="D109" s="32" t="s">
        <v>549</v>
      </c>
      <c r="E109" s="32" t="s">
        <v>550</v>
      </c>
      <c r="F109" s="32" t="s">
        <v>551</v>
      </c>
      <c r="G109" s="32" t="s">
        <v>552</v>
      </c>
    </row>
    <row r="110" spans="1:18" x14ac:dyDescent="0.2">
      <c r="C110" s="33" t="s">
        <v>276</v>
      </c>
      <c r="D110" s="34">
        <v>90</v>
      </c>
      <c r="E110" s="34">
        <v>180</v>
      </c>
      <c r="F110" s="34">
        <v>5</v>
      </c>
      <c r="G110" s="35">
        <v>10</v>
      </c>
    </row>
    <row r="111" spans="1:18" x14ac:dyDescent="0.2">
      <c r="C111" s="36" t="s">
        <v>184</v>
      </c>
      <c r="D111" s="34">
        <v>180</v>
      </c>
      <c r="E111" s="34">
        <v>365</v>
      </c>
      <c r="F111" s="34">
        <v>3</v>
      </c>
      <c r="G111" s="35">
        <v>6</v>
      </c>
    </row>
    <row r="112" spans="1:18" x14ac:dyDescent="0.2">
      <c r="C112" s="36" t="s">
        <v>305</v>
      </c>
      <c r="D112" s="34">
        <v>365</v>
      </c>
      <c r="E112" s="34">
        <v>730</v>
      </c>
      <c r="F112" s="34">
        <v>2</v>
      </c>
      <c r="G112" s="35">
        <v>4</v>
      </c>
    </row>
    <row r="113" spans="3:7" x14ac:dyDescent="0.2">
      <c r="C113" s="31" t="s">
        <v>167</v>
      </c>
      <c r="D113" s="37">
        <v>9999</v>
      </c>
      <c r="E113" s="37">
        <v>9999</v>
      </c>
      <c r="F113" s="37">
        <v>0</v>
      </c>
      <c r="G113" s="32">
        <v>0</v>
      </c>
    </row>
    <row r="117" spans="3:7" ht="16" customHeight="1" thickBot="1" x14ac:dyDescent="0.25"/>
    <row r="118" spans="3:7" ht="16" customHeight="1" thickBot="1" x14ac:dyDescent="0.25">
      <c r="C118" s="48" t="s">
        <v>553</v>
      </c>
      <c r="D118" s="49"/>
      <c r="E118" s="50"/>
    </row>
    <row r="119" spans="3:7" x14ac:dyDescent="0.2">
      <c r="C119" s="45" t="s">
        <v>554</v>
      </c>
      <c r="D119" s="46"/>
      <c r="E119" s="8">
        <f ca="1">IF(COUNTIFS($A$4:$A$103,"A*",$C$4:$C$103,"&lt;&gt;")=0,"",AVERAGEIFS($O$4:$O$103,$A$4:$A$103,"A*",$C$4:$C$103,"&lt;&gt;"))</f>
        <v>9.15</v>
      </c>
    </row>
    <row r="120" spans="3:7" x14ac:dyDescent="0.2">
      <c r="C120" s="45" t="s">
        <v>555</v>
      </c>
      <c r="D120" s="46"/>
      <c r="E120" s="8">
        <f ca="1">IF(COUNTIFS($A$4:$A$103,"B*",$C$4:$C$103,"&lt;&gt;")=0,"",AVERAGEIFS($O$4:$O$103,$A$4:$A$103,"B*",$C$4:$C$103,"&lt;&gt;"))</f>
        <v>9.9090909090909083</v>
      </c>
    </row>
    <row r="121" spans="3:7" x14ac:dyDescent="0.2">
      <c r="C121" s="45" t="s">
        <v>556</v>
      </c>
      <c r="D121" s="46"/>
      <c r="E121" s="8">
        <f ca="1">IF(COUNTIFS($A$4:$A$103,"C*",$C$4:$C$103,"&lt;&gt;")=0,"",AVERAGEIFS($O$4:$O$103,$A$4:$A$103,"C*",$C$4:$C$103,"&lt;&gt;"))</f>
        <v>10.166666666666666</v>
      </c>
    </row>
    <row r="122" spans="3:7" x14ac:dyDescent="0.2">
      <c r="C122" s="45" t="s">
        <v>557</v>
      </c>
      <c r="D122" s="46"/>
      <c r="E122" s="8">
        <f ca="1">IF(COUNTIFS($A$4:$A$103,"D*",$C$4:$C$103,"&lt;&gt;")=0,"",AVERAGEIFS($O$4:$O$103,$A$4:$A$103,"D*",$C$4:$C$103,"&lt;&gt;"))</f>
        <v>6.875</v>
      </c>
    </row>
    <row r="123" spans="3:7" x14ac:dyDescent="0.2">
      <c r="C123" s="45" t="s">
        <v>558</v>
      </c>
      <c r="D123" s="46"/>
      <c r="E123" s="8">
        <f ca="1">IF(COUNTIFS($A$4:$A$103,"E*",$C$4:$C$103,"&lt;&gt;")=0,"",AVERAGEIFS($O$4:$O$103,$A$4:$A$103,"E*",$C$4:$C$103,"&lt;&gt;"))</f>
        <v>7.09375</v>
      </c>
    </row>
    <row r="124" spans="3:7" x14ac:dyDescent="0.2">
      <c r="C124" s="45" t="s">
        <v>559</v>
      </c>
      <c r="D124" s="46"/>
      <c r="E124" s="8">
        <f ca="1">IF(COUNTIF($C$4:$C$103,"&lt;&gt;")=0,"",AVERAGEIFS($O$4:$O$103,$C$4:$C$103,"&lt;&gt;"))</f>
        <v>8.5641025641025639</v>
      </c>
    </row>
    <row r="125" spans="3:7" x14ac:dyDescent="0.2">
      <c r="C125" s="45" t="s">
        <v>560</v>
      </c>
      <c r="D125" s="46"/>
      <c r="E125" s="8" t="str">
        <f ca="1">IF(E124="","",IF(E124&lt;3,"Very Low",IF(E124&lt;6,"Low",IF(E124&lt;9,"Medium",IF(E124&lt;12,"Medium-High","High")))))</f>
        <v>Medium</v>
      </c>
    </row>
    <row r="126" spans="3:7" x14ac:dyDescent="0.2">
      <c r="C126" s="51" t="s">
        <v>561</v>
      </c>
      <c r="D126" s="52"/>
      <c r="E126" s="9" t="str">
        <f ca="1">IF(COUNT($E$119:$E$123)=0,"",IF($E$119=MIN($E$119:$E$123),"A",IF($E$120=MIN($E$119:$E$123),"B",IF($E$121=MIN($E$119:$E$123),"C",IF($E$122=MIN($E$119:$E$123),"D","E")))))</f>
        <v>D</v>
      </c>
    </row>
  </sheetData>
  <mergeCells count="29">
    <mergeCell ref="B3:R3"/>
    <mergeCell ref="C126:D126"/>
    <mergeCell ref="B22:R22"/>
    <mergeCell ref="C121:D121"/>
    <mergeCell ref="B43:R43"/>
    <mergeCell ref="B48:R48"/>
    <mergeCell ref="C124:D124"/>
    <mergeCell ref="B57:R57"/>
    <mergeCell ref="B53:R53"/>
    <mergeCell ref="B73:R73"/>
    <mergeCell ref="C120:D120"/>
    <mergeCell ref="B38:R38"/>
    <mergeCell ref="C123:D123"/>
    <mergeCell ref="B10:R10"/>
    <mergeCell ref="B28:R28"/>
    <mergeCell ref="B99:R99"/>
    <mergeCell ref="C118:E118"/>
    <mergeCell ref="C108:G108"/>
    <mergeCell ref="B16:R16"/>
    <mergeCell ref="C122:D122"/>
    <mergeCell ref="B84:R84"/>
    <mergeCell ref="C125:D125"/>
    <mergeCell ref="B68:R68"/>
    <mergeCell ref="B33:R33"/>
    <mergeCell ref="B89:R89"/>
    <mergeCell ref="B94:R94"/>
    <mergeCell ref="B63:R63"/>
    <mergeCell ref="B78:R78"/>
    <mergeCell ref="C119:D119"/>
  </mergeCells>
  <conditionalFormatting sqref="O4:O110">
    <cfRule type="colorScale" priority="20">
      <colorScale>
        <cfvo type="num" val="0"/>
        <cfvo type="percentile" val="50"/>
        <cfvo type="num" val="25"/>
        <color rgb="FF73FB79"/>
        <color rgb="FFFFFD78"/>
        <color rgb="FFFF2600"/>
      </colorScale>
    </cfRule>
  </conditionalFormatting>
  <conditionalFormatting sqref="P4:P103">
    <cfRule type="cellIs" dxfId="17" priority="21" operator="equal">
      <formula>"No Review"</formula>
    </cfRule>
    <cfRule type="cellIs" dxfId="16" priority="22" operator="equal">
      <formula>"Review Required"</formula>
    </cfRule>
  </conditionalFormatting>
  <dataValidations disablePrompts="1" count="1">
    <dataValidation type="list" showInputMessage="1" showErrorMessage="1" sqref="M4:M116" xr:uid="{00000000-0002-0000-0400-000000000000}">
      <formula1>"Critical–Fast,Operational–Medium,Background–Slow,Evergreen–No Penalty"</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77"/>
  <sheetViews>
    <sheetView tabSelected="1" zoomScale="110" workbookViewId="0">
      <selection activeCell="R6" sqref="R6"/>
    </sheetView>
  </sheetViews>
  <sheetFormatPr baseColWidth="10" defaultColWidth="8.83203125" defaultRowHeight="15" x14ac:dyDescent="0.2"/>
  <cols>
    <col min="1" max="1" width="13.33203125" customWidth="1"/>
    <col min="2" max="2" width="227.33203125" customWidth="1"/>
    <col min="3" max="5" width="15.5" customWidth="1"/>
    <col min="6" max="6" width="17.1640625" customWidth="1"/>
    <col min="7" max="7" width="23.83203125" customWidth="1"/>
    <col min="8" max="10" width="15.5" customWidth="1"/>
    <col min="11" max="11" width="22.6640625" style="24" customWidth="1"/>
    <col min="12" max="12" width="15.5" customWidth="1"/>
    <col min="13" max="13" width="18.33203125" customWidth="1"/>
    <col min="14" max="15" width="15.5" customWidth="1"/>
    <col min="16" max="16" width="20.1640625" customWidth="1"/>
    <col min="17" max="17" width="137.1640625" customWidth="1"/>
    <col min="18" max="18" width="75.6640625" customWidth="1"/>
    <col min="20" max="23" width="17" customWidth="1"/>
  </cols>
  <sheetData>
    <row r="1" spans="1:19" x14ac:dyDescent="0.2">
      <c r="A1" s="1" t="s">
        <v>140</v>
      </c>
      <c r="B1" s="1" t="s">
        <v>141</v>
      </c>
      <c r="C1" s="1" t="s">
        <v>142</v>
      </c>
      <c r="D1" s="1" t="s">
        <v>143</v>
      </c>
      <c r="E1" s="1" t="s">
        <v>144</v>
      </c>
      <c r="F1" s="1" t="s">
        <v>145</v>
      </c>
      <c r="G1" s="1" t="s">
        <v>146</v>
      </c>
      <c r="H1" s="1" t="s">
        <v>147</v>
      </c>
      <c r="I1" s="1" t="s">
        <v>148</v>
      </c>
      <c r="J1" s="1" t="s">
        <v>149</v>
      </c>
      <c r="K1" s="22" t="s">
        <v>150</v>
      </c>
      <c r="L1" s="1" t="s">
        <v>151</v>
      </c>
      <c r="M1" s="1" t="s">
        <v>152</v>
      </c>
      <c r="N1" s="1" t="s">
        <v>153</v>
      </c>
      <c r="O1" s="1" t="s">
        <v>154</v>
      </c>
      <c r="P1" s="1" t="s">
        <v>155</v>
      </c>
      <c r="Q1" s="1" t="s">
        <v>156</v>
      </c>
      <c r="R1" s="1" t="s">
        <v>157</v>
      </c>
      <c r="S1" t="s">
        <v>158</v>
      </c>
    </row>
    <row r="2" spans="1:19" x14ac:dyDescent="0.2">
      <c r="A2" s="4"/>
      <c r="B2" s="5" t="s">
        <v>1393</v>
      </c>
      <c r="C2" s="4"/>
      <c r="D2" s="4"/>
      <c r="E2" s="4"/>
      <c r="F2" s="4"/>
      <c r="G2" s="4"/>
      <c r="H2" s="4"/>
      <c r="I2" s="4"/>
      <c r="J2" s="4"/>
      <c r="K2" s="23"/>
      <c r="L2" s="4"/>
      <c r="M2" s="4"/>
      <c r="N2" s="4"/>
      <c r="O2" s="4"/>
      <c r="P2" s="4"/>
      <c r="Q2" s="4"/>
      <c r="R2" s="4"/>
    </row>
    <row r="3" spans="1:19" x14ac:dyDescent="0.2">
      <c r="A3" s="3"/>
      <c r="B3" s="42"/>
      <c r="C3" s="43"/>
      <c r="D3" s="43"/>
      <c r="E3" s="43"/>
      <c r="F3" s="43"/>
      <c r="G3" s="43"/>
      <c r="H3" s="43"/>
      <c r="I3" s="43"/>
      <c r="J3" s="43"/>
      <c r="K3" s="44"/>
      <c r="L3" s="43"/>
      <c r="M3" s="43"/>
      <c r="N3" s="43"/>
      <c r="O3" s="43"/>
      <c r="P3" s="43"/>
      <c r="Q3" s="43"/>
      <c r="R3" s="43"/>
    </row>
    <row r="4" spans="1:19" x14ac:dyDescent="0.2">
      <c r="A4" t="s">
        <v>160</v>
      </c>
      <c r="B4" t="s">
        <v>1394</v>
      </c>
      <c r="C4" t="s">
        <v>1395</v>
      </c>
      <c r="D4" t="s">
        <v>174</v>
      </c>
      <c r="E4">
        <f>IF(C4="Deep (low market impact)",0,IF(C4="Moderate",10,IF(C4="Thin (high market impact)",20,IF(C4="Unknown",10,""))))</f>
        <v>0</v>
      </c>
      <c r="F4">
        <f>IF(D4="High",0,IF(D4="Medium",0.05,IF(D4="Low",0.1,IF(D4="Unknown",0.15,""))))</f>
        <v>0.05</v>
      </c>
      <c r="G4">
        <f>E4*(1+F4)</f>
        <v>0</v>
      </c>
      <c r="H4" t="s">
        <v>1396</v>
      </c>
      <c r="I4" t="s">
        <v>1397</v>
      </c>
      <c r="J4" t="s">
        <v>166</v>
      </c>
      <c r="M4" t="s">
        <v>276</v>
      </c>
      <c r="N4">
        <f>IF(M4="","",IF(L4="",INDEX($F$61:$F$64,MATCH(M4,$C$61:$C$64,0)),IF(L4&lt;=INDEX($D$61:$D$64,MATCH(M4,$C$61:$C$64,0)),0,IF(L4&lt;=INDEX($E$61:$E$64,MATCH(M4,$C$61:$C$64,0)),INDEX($F$61:$F$64,MATCH(M4,$C$61:$C$64,0)),INDEX($G$61:$G$64,MATCH(M4,$C$61:$C$64,0))))))</f>
        <v>5</v>
      </c>
      <c r="O4">
        <f>G4+N4</f>
        <v>5</v>
      </c>
      <c r="P4" t="s">
        <v>168</v>
      </c>
      <c r="R4" t="s">
        <v>1398</v>
      </c>
    </row>
    <row r="5" spans="1:19" x14ac:dyDescent="0.2">
      <c r="A5" t="s">
        <v>171</v>
      </c>
      <c r="B5" t="s">
        <v>1399</v>
      </c>
      <c r="C5" t="s">
        <v>1400</v>
      </c>
      <c r="D5" t="s">
        <v>174</v>
      </c>
      <c r="E5">
        <f>IF(C5="Low slippage (≤0.5%)",0,IF(C5="Moderate slippage (0.5–2%)",10,IF(C5="High slippage (&gt;2%)",20,IF(C5="Unknown",10,""))))</f>
        <v>0</v>
      </c>
      <c r="F5">
        <f>IF(D5="High",0,IF(D5="Medium",0.05,IF(D5="Low",0.1,IF(D5="Unknown",0.15,""))))</f>
        <v>0.05</v>
      </c>
      <c r="G5">
        <f>E5*(1+F5)</f>
        <v>0</v>
      </c>
      <c r="H5" t="s">
        <v>1401</v>
      </c>
      <c r="I5" t="s">
        <v>1402</v>
      </c>
      <c r="J5" t="s">
        <v>166</v>
      </c>
      <c r="M5" t="s">
        <v>276</v>
      </c>
      <c r="N5">
        <f>IF(M5="","",IF(L5="",INDEX($F$61:$F$64,MATCH(M5,$C$61:$C$64,0)),IF(L5&lt;=INDEX($D$61:$D$64,MATCH(M5,$C$61:$C$64,0)),0,IF(L5&lt;=INDEX($E$61:$E$64,MATCH(M5,$C$61:$C$64,0)),INDEX($F$61:$F$64,MATCH(M5,$C$61:$C$64,0)),INDEX($G$61:$G$64,MATCH(M5,$C$61:$C$64,0))))))</f>
        <v>5</v>
      </c>
      <c r="O5">
        <f>G5+N5</f>
        <v>5</v>
      </c>
      <c r="P5" t="str">
        <f>IF(AND(C5="High slippage (&gt;2%)",OR(D5="High",D5="Medium")),"Review Required","No Review")</f>
        <v>No Review</v>
      </c>
      <c r="Q5" t="s">
        <v>1403</v>
      </c>
      <c r="R5" t="s">
        <v>1404</v>
      </c>
    </row>
    <row r="6" spans="1:19" x14ac:dyDescent="0.2">
      <c r="A6" t="s">
        <v>179</v>
      </c>
      <c r="B6" t="s">
        <v>1405</v>
      </c>
      <c r="C6" t="s">
        <v>1406</v>
      </c>
      <c r="D6" t="s">
        <v>174</v>
      </c>
      <c r="E6">
        <f>IF(C6="Tight (≤0.10%)",0,IF(C6="Moderate (0.10–0.50%)",10,IF(C6="Wide (&gt;0.50%)",20,IF(C6="Unknown",10,""))))</f>
        <v>20</v>
      </c>
      <c r="F6">
        <f>IF(D6="High",0,IF(D6="Medium",0.05,IF(D6="Low",0.1,IF(D6="Unknown",0.15,""))))</f>
        <v>0.05</v>
      </c>
      <c r="G6">
        <f>E6*(1+F6)</f>
        <v>21</v>
      </c>
      <c r="H6" t="s">
        <v>1407</v>
      </c>
      <c r="I6" t="s">
        <v>1408</v>
      </c>
      <c r="J6" t="s">
        <v>250</v>
      </c>
      <c r="M6" t="s">
        <v>276</v>
      </c>
      <c r="N6">
        <f>IF(M6="","",IF(L6="",INDEX($F$61:$F$64,MATCH(M6,$C$61:$C$64,0)),IF(L6&lt;=INDEX($D$61:$D$64,MATCH(M6,$C$61:$C$64,0)),0,IF(L6&lt;=INDEX($E$61:$E$64,MATCH(M6,$C$61:$C$64,0)),INDEX($F$61:$F$64,MATCH(M6,$C$61:$C$64,0)),INDEX($G$61:$G$64,MATCH(M6,$C$61:$C$64,0))))))</f>
        <v>5</v>
      </c>
      <c r="O6">
        <f>G6+N6</f>
        <v>26</v>
      </c>
      <c r="P6" t="s">
        <v>168</v>
      </c>
      <c r="R6" t="s">
        <v>1409</v>
      </c>
    </row>
    <row r="7" spans="1:19" x14ac:dyDescent="0.2">
      <c r="A7" t="s">
        <v>201</v>
      </c>
      <c r="B7" t="s">
        <v>1410</v>
      </c>
      <c r="C7" t="s">
        <v>1411</v>
      </c>
      <c r="D7" t="s">
        <v>315</v>
      </c>
      <c r="E7">
        <v>0</v>
      </c>
      <c r="F7">
        <f>IF(D7="High",0,IF(D7="Medium",0.05,IF(D7="Low",0.1,IF(D7="Unknown",0.15,""))))</f>
        <v>0.1</v>
      </c>
      <c r="G7">
        <f>E7*(1+F7)</f>
        <v>0</v>
      </c>
      <c r="H7" t="s">
        <v>1412</v>
      </c>
      <c r="I7" t="s">
        <v>1413</v>
      </c>
      <c r="J7" t="s">
        <v>250</v>
      </c>
      <c r="M7" t="s">
        <v>184</v>
      </c>
      <c r="N7">
        <f>IF(M7="","",IF(L7="",INDEX($F$61:$F$64,MATCH(M7,$C$61:$C$64,0)),IF(L7&lt;=INDEX($D$61:$D$64,MATCH(M7,$C$61:$C$64,0)),0,IF(L7&lt;=INDEX($E$61:$E$64,MATCH(M7,$C$61:$C$64,0)),INDEX($F$61:$F$64,MATCH(M7,$C$61:$C$64,0)),INDEX($G$61:$G$64,MATCH(M7,$C$61:$C$64,0))))))</f>
        <v>3</v>
      </c>
      <c r="O7">
        <f>G7+N7</f>
        <v>3</v>
      </c>
      <c r="P7" t="s">
        <v>168</v>
      </c>
      <c r="Q7" t="s">
        <v>871</v>
      </c>
      <c r="R7" t="s">
        <v>1414</v>
      </c>
    </row>
    <row r="8" spans="1:19" x14ac:dyDescent="0.2">
      <c r="A8" s="3"/>
      <c r="B8" s="42"/>
      <c r="C8" s="43"/>
      <c r="D8" s="43"/>
      <c r="E8" s="43"/>
      <c r="F8" s="43"/>
      <c r="G8" s="43"/>
      <c r="H8" s="43"/>
      <c r="I8" s="43"/>
      <c r="J8" s="43"/>
      <c r="K8" s="44"/>
      <c r="L8" s="43"/>
      <c r="M8" s="43"/>
      <c r="N8" s="43"/>
      <c r="O8" s="43"/>
      <c r="P8" s="43"/>
      <c r="Q8" s="43"/>
      <c r="R8" s="43"/>
    </row>
    <row r="9" spans="1:19" x14ac:dyDescent="0.2">
      <c r="A9" t="s">
        <v>208</v>
      </c>
      <c r="B9" t="s">
        <v>1415</v>
      </c>
      <c r="C9" t="s">
        <v>275</v>
      </c>
      <c r="D9" t="s">
        <v>315</v>
      </c>
      <c r="E9">
        <f>IF(C9="Resilient (remains tradeable with moderate impact)",0,IF(C9="Some deterioration but tradeable",10,IF(C9="Liquidity collapses/frequently disappears",20,IF(C9="Unknown",10,""))))</f>
        <v>10</v>
      </c>
      <c r="F9">
        <f>IF(D9="High",0,IF(D9="Medium",0.05,IF(D9="Low",0.1,IF(D9="Unknown",0.15,""))))</f>
        <v>0.1</v>
      </c>
      <c r="G9">
        <f>E9*(1+F9)</f>
        <v>11</v>
      </c>
      <c r="H9" t="s">
        <v>1416</v>
      </c>
      <c r="I9" t="s">
        <v>1417</v>
      </c>
      <c r="J9" t="s">
        <v>166</v>
      </c>
      <c r="M9" t="s">
        <v>276</v>
      </c>
      <c r="N9">
        <f>IF(M9="","",IF(L9="",INDEX($F$61:$F$64,MATCH(M9,$C$61:$C$64,0)),IF(L9&lt;=INDEX($D$61:$D$64,MATCH(M9,$C$61:$C$64,0)),0,IF(L9&lt;=INDEX($E$61:$E$64,MATCH(M9,$C$61:$C$64,0)),INDEX($F$61:$F$64,MATCH(M9,$C$61:$C$64,0)),INDEX($G$61:$G$64,MATCH(M9,$C$61:$C$64,0))))))</f>
        <v>5</v>
      </c>
      <c r="O9">
        <f>G9+N9</f>
        <v>16</v>
      </c>
      <c r="P9" t="str">
        <f>IF(AND(C9="Liquidity collapses/frequently disappears",OR(D9="High",D9="Medium")),"Review Required","No Review")</f>
        <v>No Review</v>
      </c>
      <c r="Q9" t="s">
        <v>1418</v>
      </c>
      <c r="R9" t="s">
        <v>1419</v>
      </c>
    </row>
    <row r="10" spans="1:19" x14ac:dyDescent="0.2">
      <c r="A10" t="s">
        <v>214</v>
      </c>
      <c r="B10" t="s">
        <v>1420</v>
      </c>
      <c r="C10" t="s">
        <v>1421</v>
      </c>
      <c r="D10" t="s">
        <v>163</v>
      </c>
      <c r="E10">
        <f>IF(C10="Feasible with manageable impact",0,IF(C10="Feasible but with significant care",10,IF(C10="Very difficult without extreme impact",20,IF(C10="Unknown",10,""))))</f>
        <v>10</v>
      </c>
      <c r="F10">
        <f>IF(D10="High",0,IF(D10="Medium",0.05,IF(D10="Low",0.1,IF(D10="Unknown",0.15,""))))</f>
        <v>0</v>
      </c>
      <c r="G10">
        <f>E10*(1+F10)</f>
        <v>10</v>
      </c>
      <c r="H10" t="s">
        <v>1422</v>
      </c>
      <c r="I10" t="s">
        <v>1423</v>
      </c>
      <c r="J10" t="s">
        <v>166</v>
      </c>
      <c r="M10" t="s">
        <v>184</v>
      </c>
      <c r="N10">
        <f>IF(M10="","",IF(L10="",INDEX($F$61:$F$64,MATCH(M10,$C$61:$C$64,0)),IF(L10&lt;=INDEX($D$61:$D$64,MATCH(M10,$C$61:$C$64,0)),0,IF(L10&lt;=INDEX($E$61:$E$64,MATCH(M10,$C$61:$C$64,0)),INDEX($F$61:$F$64,MATCH(M10,$C$61:$C$64,0)),INDEX($G$61:$G$64,MATCH(M10,$C$61:$C$64,0))))))</f>
        <v>3</v>
      </c>
      <c r="O10">
        <f>G10+N10</f>
        <v>13</v>
      </c>
      <c r="P10" t="s">
        <v>168</v>
      </c>
      <c r="R10" t="s">
        <v>1424</v>
      </c>
    </row>
    <row r="11" spans="1:19" x14ac:dyDescent="0.2">
      <c r="A11" t="s">
        <v>220</v>
      </c>
      <c r="B11" t="s">
        <v>1425</v>
      </c>
      <c r="C11" t="s">
        <v>1426</v>
      </c>
      <c r="D11" t="s">
        <v>163</v>
      </c>
      <c r="E11">
        <f>IF(C11="Concentrated in a few deep venues/pairs",0,IF(C11="Moderately fragmented",10,IF(C11="Highly fragmented across illiquid venues/pairs",20,IF(C11="Unknown",10,""))))</f>
        <v>10</v>
      </c>
      <c r="F11">
        <f>IF(D11="High",0,IF(D11="Medium",0.05,IF(D11="Low",0.1,IF(D11="Unknown",0.15,""))))</f>
        <v>0</v>
      </c>
      <c r="G11">
        <f>E11*(1+F11)</f>
        <v>10</v>
      </c>
      <c r="H11" t="s">
        <v>1427</v>
      </c>
      <c r="I11" t="s">
        <v>266</v>
      </c>
      <c r="J11" t="s">
        <v>250</v>
      </c>
      <c r="M11" t="s">
        <v>184</v>
      </c>
      <c r="N11">
        <f>IF(M11="","",IF(L11="",INDEX($F$61:$F$64,MATCH(M11,$C$61:$C$64,0)),IF(L11&lt;=INDEX($D$61:$D$64,MATCH(M11,$C$61:$C$64,0)),0,IF(L11&lt;=INDEX($E$61:$E$64,MATCH(M11,$C$61:$C$64,0)),INDEX($F$61:$F$64,MATCH(M11,$C$61:$C$64,0)),INDEX($G$61:$G$64,MATCH(M11,$C$61:$C$64,0))))))</f>
        <v>3</v>
      </c>
      <c r="O11">
        <f>G11+N11</f>
        <v>13</v>
      </c>
      <c r="P11" t="s">
        <v>168</v>
      </c>
      <c r="R11" t="s">
        <v>1428</v>
      </c>
    </row>
    <row r="12" spans="1:19" x14ac:dyDescent="0.2">
      <c r="A12" t="s">
        <v>225</v>
      </c>
      <c r="B12" t="s">
        <v>1429</v>
      </c>
      <c r="C12" t="s">
        <v>1430</v>
      </c>
      <c r="D12" t="s">
        <v>174</v>
      </c>
      <c r="E12">
        <v>0</v>
      </c>
      <c r="F12">
        <f>IF(D12="High",0,IF(D12="Medium",0.05,IF(D12="Low",0.1,IF(D12="Unknown",0.15,""))))</f>
        <v>0.05</v>
      </c>
      <c r="G12">
        <f>E12*(1+F12)</f>
        <v>0</v>
      </c>
      <c r="H12" t="s">
        <v>780</v>
      </c>
      <c r="I12" t="s">
        <v>781</v>
      </c>
      <c r="J12" t="s">
        <v>166</v>
      </c>
      <c r="M12" t="s">
        <v>184</v>
      </c>
      <c r="N12">
        <f>IF(M12="","",IF(L12="",INDEX($F$61:$F$64,MATCH(M12,$C$61:$C$64,0)),IF(L12&lt;=INDEX($D$61:$D$64,MATCH(M12,$C$61:$C$64,0)),0,IF(L12&lt;=INDEX($E$61:$E$64,MATCH(M12,$C$61:$C$64,0)),INDEX($F$61:$F$64,MATCH(M12,$C$61:$C$64,0)),INDEX($G$61:$G$64,MATCH(M12,$C$61:$C$64,0))))))</f>
        <v>3</v>
      </c>
      <c r="O12">
        <f>G12+N12</f>
        <v>3</v>
      </c>
      <c r="P12" t="s">
        <v>168</v>
      </c>
      <c r="Q12" t="s">
        <v>871</v>
      </c>
      <c r="R12" t="s">
        <v>1431</v>
      </c>
    </row>
    <row r="13" spans="1:19" x14ac:dyDescent="0.2">
      <c r="A13" s="4"/>
      <c r="B13" s="5" t="s">
        <v>1432</v>
      </c>
      <c r="C13" s="4"/>
      <c r="D13" s="4"/>
      <c r="E13" s="4"/>
      <c r="F13" s="4"/>
      <c r="G13" s="4"/>
      <c r="H13" s="4"/>
      <c r="I13" s="4"/>
      <c r="J13" s="4"/>
      <c r="K13" s="23"/>
      <c r="L13" s="4"/>
      <c r="M13" s="4"/>
      <c r="N13" s="4" t="str">
        <f>IF(M13="","",IF(L13="",INDEX($F$61:$F$64,MATCH(M13,$C$61:$C$64,0)),IF(L13&lt;=INDEX($D$61:$D$64,MATCH(M13,$C$61:$C$64,0)),0,IF(L13&lt;=INDEX($E$61:$E$64,MATCH(M13,$C$61:$C$64,0)),INDEX($F$61:$F$64,MATCH(M13,$C$61:$C$64,0)),INDEX($G$61:$G$64,MATCH(M13,$C$61:$C$64,0))))))</f>
        <v/>
      </c>
      <c r="O13" s="4"/>
      <c r="P13" s="4"/>
      <c r="Q13" s="4"/>
      <c r="R13" s="4"/>
    </row>
    <row r="14" spans="1:19" x14ac:dyDescent="0.2">
      <c r="A14" s="3"/>
      <c r="B14" s="42"/>
      <c r="C14" s="43"/>
      <c r="D14" s="43"/>
      <c r="E14" s="43"/>
      <c r="F14" s="43"/>
      <c r="G14" s="43"/>
      <c r="H14" s="43"/>
      <c r="I14" s="43"/>
      <c r="J14" s="43"/>
      <c r="K14" s="44"/>
      <c r="L14" s="43"/>
      <c r="M14" s="43"/>
      <c r="N14" s="43"/>
      <c r="O14" s="43"/>
      <c r="P14" s="43"/>
      <c r="Q14" s="43"/>
      <c r="R14" s="43"/>
    </row>
    <row r="15" spans="1:19" x14ac:dyDescent="0.2">
      <c r="A15" t="s">
        <v>245</v>
      </c>
      <c r="B15" t="s">
        <v>1433</v>
      </c>
      <c r="C15" t="s">
        <v>1434</v>
      </c>
      <c r="D15" t="s">
        <v>163</v>
      </c>
      <c r="E15">
        <f>IF(C15="Low to moderate turnover",0,IF(C15="Elevated but plausible",10,IF(C15="Suspiciously high vs peers",20,IF(C15="Unknown",10,""))))</f>
        <v>0</v>
      </c>
      <c r="F15">
        <f>IF(D15="High",0,IF(D15="Medium",0.05,IF(D15="Low",0.1,IF(D15="Unknown",0.15,""))))</f>
        <v>0</v>
      </c>
      <c r="G15">
        <f>E15*(1+F15)</f>
        <v>0</v>
      </c>
      <c r="H15" t="s">
        <v>1435</v>
      </c>
      <c r="I15" t="s">
        <v>1436</v>
      </c>
      <c r="J15" t="s">
        <v>166</v>
      </c>
      <c r="M15" t="s">
        <v>184</v>
      </c>
      <c r="N15">
        <f>IF(M15="","",IF(L15="",INDEX($F$61:$F$64,MATCH(M15,$C$61:$C$64,0)),IF(L15&lt;=INDEX($D$61:$D$64,MATCH(M15,$C$61:$C$64,0)),0,IF(L15&lt;=INDEX($E$61:$E$64,MATCH(M15,$C$61:$C$64,0)),INDEX($F$61:$F$64,MATCH(M15,$C$61:$C$64,0)),INDEX($G$61:$G$64,MATCH(M15,$C$61:$C$64,0))))))</f>
        <v>3</v>
      </c>
      <c r="O15">
        <f>G15+N15</f>
        <v>3</v>
      </c>
      <c r="P15" t="s">
        <v>168</v>
      </c>
      <c r="R15" t="s">
        <v>1437</v>
      </c>
    </row>
    <row r="16" spans="1:19" x14ac:dyDescent="0.2">
      <c r="A16" t="s">
        <v>252</v>
      </c>
      <c r="B16" t="s">
        <v>1438</v>
      </c>
      <c r="C16" t="s">
        <v>1439</v>
      </c>
      <c r="D16" t="s">
        <v>174</v>
      </c>
      <c r="E16">
        <f>IF(C16="Consistent/organic pattern",0,IF(C16="Some spikes but broadly organic",10,IF(C16="Highly spiky or unnatural pattern",20,IF(C16="Unknown",10,""))))</f>
        <v>20</v>
      </c>
      <c r="F16">
        <f>IF(D16="High",0,IF(D16="Medium",0.05,IF(D16="Low",0.1,IF(D16="Unknown",0.15,""))))</f>
        <v>0.05</v>
      </c>
      <c r="G16">
        <f>E16*(1+F16)</f>
        <v>21</v>
      </c>
      <c r="H16" t="s">
        <v>1440</v>
      </c>
      <c r="I16" t="s">
        <v>1441</v>
      </c>
      <c r="J16" t="s">
        <v>166</v>
      </c>
      <c r="M16" t="s">
        <v>184</v>
      </c>
      <c r="N16">
        <f>IF(M16="","",IF(L16="",INDEX($F$61:$F$64,MATCH(M16,$C$61:$C$64,0)),IF(L16&lt;=INDEX($D$61:$D$64,MATCH(M16,$C$61:$C$64,0)),0,IF(L16&lt;=INDEX($E$61:$E$64,MATCH(M16,$C$61:$C$64,0)),INDEX($F$61:$F$64,MATCH(M16,$C$61:$C$64,0)),INDEX($G$61:$G$64,MATCH(M16,$C$61:$C$64,0))))))</f>
        <v>3</v>
      </c>
      <c r="O16">
        <f>G16+N16</f>
        <v>24</v>
      </c>
      <c r="P16" t="s">
        <v>168</v>
      </c>
      <c r="R16" t="s">
        <v>1442</v>
      </c>
    </row>
    <row r="17" spans="1:18" x14ac:dyDescent="0.2">
      <c r="A17" t="s">
        <v>257</v>
      </c>
      <c r="B17" t="s">
        <v>1443</v>
      </c>
      <c r="C17" t="s">
        <v>1444</v>
      </c>
      <c r="D17" t="s">
        <v>174</v>
      </c>
      <c r="E17">
        <f>IF(C17="Spot-dominant volume",0,IF(C17="Balanced spot/derivatives",10,IF(C17="Derivatives-dominant volume",20,IF(C17="Unknown",10,""))))</f>
        <v>20</v>
      </c>
      <c r="F17">
        <f>IF(D17="High",0,IF(D17="Medium",0.05,IF(D17="Low",0.1,IF(D17="Unknown",0.15,""))))</f>
        <v>0.05</v>
      </c>
      <c r="G17">
        <f>E17*(1+F17)</f>
        <v>21</v>
      </c>
      <c r="H17" t="s">
        <v>1445</v>
      </c>
      <c r="I17" t="s">
        <v>1446</v>
      </c>
      <c r="J17" t="s">
        <v>166</v>
      </c>
      <c r="M17" t="s">
        <v>184</v>
      </c>
      <c r="N17">
        <f>IF(M17="","",IF(L17="",INDEX($F$61:$F$64,MATCH(M17,$C$61:$C$64,0)),IF(L17&lt;=INDEX($D$61:$D$64,MATCH(M17,$C$61:$C$64,0)),0,IF(L17&lt;=INDEX($E$61:$E$64,MATCH(M17,$C$61:$C$64,0)),INDEX($F$61:$F$64,MATCH(M17,$C$61:$C$64,0)),INDEX($G$61:$G$64,MATCH(M17,$C$61:$C$64,0))))))</f>
        <v>3</v>
      </c>
      <c r="O17">
        <f>G17+N17</f>
        <v>24</v>
      </c>
      <c r="P17" t="s">
        <v>168</v>
      </c>
      <c r="R17" t="s">
        <v>1447</v>
      </c>
    </row>
    <row r="18" spans="1:18" x14ac:dyDescent="0.2">
      <c r="A18" t="s">
        <v>621</v>
      </c>
      <c r="B18" t="s">
        <v>1448</v>
      </c>
      <c r="C18" t="s">
        <v>1449</v>
      </c>
      <c r="D18" t="s">
        <v>163</v>
      </c>
      <c r="E18">
        <v>0</v>
      </c>
      <c r="F18">
        <f>IF(D18="High",0,IF(D18="Medium",0.05,IF(D18="Low",0.1,IF(D18="Unknown",0.15,""))))</f>
        <v>0</v>
      </c>
      <c r="G18">
        <f>E18*(1+F18)</f>
        <v>0</v>
      </c>
      <c r="H18" t="s">
        <v>1450</v>
      </c>
      <c r="I18" t="s">
        <v>1451</v>
      </c>
      <c r="J18" t="s">
        <v>166</v>
      </c>
      <c r="M18" t="s">
        <v>305</v>
      </c>
      <c r="N18">
        <f>IF(M18="","",IF(L18="",INDEX($F$61:$F$64,MATCH(M18,$C$61:$C$64,0)),IF(L18&lt;=INDEX($D$61:$D$64,MATCH(M18,$C$61:$C$64,0)),0,IF(L18&lt;=INDEX($E$61:$E$64,MATCH(M18,$C$61:$C$64,0)),INDEX($F$61:$F$64,MATCH(M18,$C$61:$C$64,0)),INDEX($G$61:$G$64,MATCH(M18,$C$61:$C$64,0))))))</f>
        <v>2</v>
      </c>
      <c r="O18">
        <f>G18+N18</f>
        <v>2</v>
      </c>
      <c r="P18" t="s">
        <v>168</v>
      </c>
      <c r="Q18" t="s">
        <v>871</v>
      </c>
      <c r="R18" t="s">
        <v>1452</v>
      </c>
    </row>
    <row r="19" spans="1:18" x14ac:dyDescent="0.2">
      <c r="A19" s="3"/>
      <c r="B19" s="42"/>
      <c r="C19" s="43"/>
      <c r="D19" s="43"/>
      <c r="E19" s="43"/>
      <c r="F19" s="43"/>
      <c r="G19" s="43"/>
      <c r="H19" s="43"/>
      <c r="I19" s="43"/>
      <c r="J19" s="43"/>
      <c r="K19" s="44"/>
      <c r="L19" s="43"/>
      <c r="M19" s="43"/>
      <c r="N19" s="43"/>
      <c r="O19" s="43"/>
      <c r="P19" s="43"/>
      <c r="Q19" s="43"/>
      <c r="R19" s="43"/>
    </row>
    <row r="20" spans="1:18" x14ac:dyDescent="0.2">
      <c r="A20" t="s">
        <v>273</v>
      </c>
      <c r="B20" t="s">
        <v>1453</v>
      </c>
      <c r="C20" t="s">
        <v>275</v>
      </c>
      <c r="D20" t="s">
        <v>174</v>
      </c>
      <c r="E20">
        <f>IF(C20="No significant wash-trading flags",0,IF(C20="Some wash-trading flags",10,IF(C20="Strong wash-trading/fake volume flags",20,IF(C20="Unknown",10,""))))</f>
        <v>10</v>
      </c>
      <c r="F20">
        <f>IF(D20="High",0,IF(D20="Medium",0.05,IF(D20="Low",0.1,IF(D20="Unknown",0.15,""))))</f>
        <v>0.05</v>
      </c>
      <c r="G20">
        <f>E20*(1+F20)</f>
        <v>10.5</v>
      </c>
      <c r="H20" t="s">
        <v>1454</v>
      </c>
      <c r="I20" t="s">
        <v>1455</v>
      </c>
      <c r="J20" t="s">
        <v>166</v>
      </c>
      <c r="M20" t="s">
        <v>184</v>
      </c>
      <c r="N20">
        <f>IF(M20="","",IF(L20="",INDEX($F$61:$F$64,MATCH(M20,$C$61:$C$64,0)),IF(L20&lt;=INDEX($D$61:$D$64,MATCH(M20,$C$61:$C$64,0)),0,IF(L20&lt;=INDEX($E$61:$E$64,MATCH(M20,$C$61:$C$64,0)),INDEX($F$61:$F$64,MATCH(M20,$C$61:$C$64,0)),INDEX($G$61:$G$64,MATCH(M20,$C$61:$C$64,0))))))</f>
        <v>3</v>
      </c>
      <c r="O20">
        <f>G20+N20</f>
        <v>13.5</v>
      </c>
      <c r="P20" t="str">
        <f>IF(AND(C20="Strong wash-trading/fake volume flags",OR(D20="High",D20="Medium")),"Review Required","No Review")</f>
        <v>No Review</v>
      </c>
      <c r="Q20" t="s">
        <v>1456</v>
      </c>
      <c r="R20" t="s">
        <v>1457</v>
      </c>
    </row>
    <row r="21" spans="1:18" x14ac:dyDescent="0.2">
      <c r="A21" t="s">
        <v>280</v>
      </c>
      <c r="B21" t="s">
        <v>1458</v>
      </c>
      <c r="C21" t="s">
        <v>1459</v>
      </c>
      <c r="D21" t="s">
        <v>163</v>
      </c>
      <c r="E21">
        <f>IF(C21="Volume mainly on reputable exchanges",0,IF(C21="Mixed (reputable and lower-quality)",10,IF(C21="Heavily concentrated on lower-quality/suspicious exchanges",20,IF(C21="Unknown",10,""))))</f>
        <v>0</v>
      </c>
      <c r="F21">
        <f>IF(D21="High",0,IF(D21="Medium",0.05,IF(D21="Low",0.1,IF(D21="Unknown",0.15,""))))</f>
        <v>0</v>
      </c>
      <c r="G21">
        <f>E21*(1+F21)</f>
        <v>0</v>
      </c>
      <c r="H21" t="s">
        <v>1460</v>
      </c>
      <c r="I21" t="s">
        <v>1461</v>
      </c>
      <c r="J21" t="s">
        <v>166</v>
      </c>
      <c r="M21" t="s">
        <v>184</v>
      </c>
      <c r="N21">
        <f>IF(M21="","",IF(L21="",INDEX($F$61:$F$64,MATCH(M21,$C$61:$C$64,0)),IF(L21&lt;=INDEX($D$61:$D$64,MATCH(M21,$C$61:$C$64,0)),0,IF(L21&lt;=INDEX($E$61:$E$64,MATCH(M21,$C$61:$C$64,0)),INDEX($F$61:$F$64,MATCH(M21,$C$61:$C$64,0)),INDEX($G$61:$G$64,MATCH(M21,$C$61:$C$64,0))))))</f>
        <v>3</v>
      </c>
      <c r="O21">
        <f>G21+N21</f>
        <v>3</v>
      </c>
      <c r="P21" t="s">
        <v>168</v>
      </c>
      <c r="R21" t="s">
        <v>1462</v>
      </c>
    </row>
    <row r="22" spans="1:18" x14ac:dyDescent="0.2">
      <c r="A22" t="s">
        <v>285</v>
      </c>
      <c r="B22" t="s">
        <v>1463</v>
      </c>
      <c r="C22" t="s">
        <v>210</v>
      </c>
      <c r="D22" t="s">
        <v>174</v>
      </c>
      <c r="E22">
        <v>0</v>
      </c>
      <c r="F22">
        <f>IF(D22="High",0,IF(D22="Medium",0.05,IF(D22="Low",0.1,IF(D22="Unknown",0.15,""))))</f>
        <v>0.05</v>
      </c>
      <c r="G22">
        <f>E22*(1+F22)</f>
        <v>0</v>
      </c>
      <c r="H22" t="s">
        <v>1464</v>
      </c>
      <c r="I22" t="s">
        <v>1465</v>
      </c>
      <c r="J22" t="s">
        <v>166</v>
      </c>
      <c r="M22" t="s">
        <v>276</v>
      </c>
      <c r="N22">
        <f>IF(M22="","",IF(L22="",INDEX($F$61:$F$64,MATCH(M22,$C$61:$C$64,0)),IF(L22&lt;=INDEX($D$61:$D$64,MATCH(M22,$C$61:$C$64,0)),0,IF(L22&lt;=INDEX($E$61:$E$64,MATCH(M22,$C$61:$C$64,0)),INDEX($F$61:$F$64,MATCH(M22,$C$61:$C$64,0)),INDEX($G$61:$G$64,MATCH(M22,$C$61:$C$64,0))))))</f>
        <v>5</v>
      </c>
      <c r="O22">
        <f>G22+N22</f>
        <v>5</v>
      </c>
      <c r="P22" t="str">
        <f>IF(AND(OR(C20="Some wash-trading flags",C20="Strong wash-trading/fake volume flags"),C21="Heavily concentrated on lower-quality/suspicious exchanges",OR(D20="High",D20="Medium",D21="High",D21="Medium")),"Review Required","No Review")</f>
        <v>No Review</v>
      </c>
      <c r="Q22" t="s">
        <v>1466</v>
      </c>
      <c r="R22" t="s">
        <v>1467</v>
      </c>
    </row>
    <row r="23" spans="1:18" x14ac:dyDescent="0.2">
      <c r="A23" t="s">
        <v>842</v>
      </c>
      <c r="B23" t="s">
        <v>1468</v>
      </c>
      <c r="C23" t="s">
        <v>1469</v>
      </c>
      <c r="D23" t="s">
        <v>174</v>
      </c>
      <c r="E23">
        <v>0</v>
      </c>
      <c r="F23">
        <f>IF(D23="High",0,IF(D23="Medium",0.05,IF(D23="Low",0.1,IF(D23="Unknown",0.15,""))))</f>
        <v>0.05</v>
      </c>
      <c r="G23">
        <f>E23*(1+F23)</f>
        <v>0</v>
      </c>
      <c r="H23" t="s">
        <v>1470</v>
      </c>
      <c r="I23" t="s">
        <v>1471</v>
      </c>
      <c r="J23" t="s">
        <v>166</v>
      </c>
      <c r="M23" t="s">
        <v>184</v>
      </c>
      <c r="N23">
        <f>IF(M23="","",IF(L23="",INDEX($F$61:$F$64,MATCH(M23,$C$61:$C$64,0)),IF(L23&lt;=INDEX($D$61:$D$64,MATCH(M23,$C$61:$C$64,0)),0,IF(L23&lt;=INDEX($E$61:$E$64,MATCH(M23,$C$61:$C$64,0)),INDEX($F$61:$F$64,MATCH(M23,$C$61:$C$64,0)),INDEX($G$61:$G$64,MATCH(M23,$C$61:$C$64,0))))))</f>
        <v>3</v>
      </c>
      <c r="O23">
        <f>G23+N23</f>
        <v>3</v>
      </c>
      <c r="P23" t="s">
        <v>168</v>
      </c>
      <c r="Q23" t="s">
        <v>871</v>
      </c>
      <c r="R23" t="s">
        <v>1472</v>
      </c>
    </row>
    <row r="24" spans="1:18" x14ac:dyDescent="0.2">
      <c r="A24" s="4"/>
      <c r="B24" s="5" t="s">
        <v>1473</v>
      </c>
      <c r="C24" s="4"/>
      <c r="D24" s="4"/>
      <c r="E24" s="4"/>
      <c r="F24" s="4"/>
      <c r="G24" s="4"/>
      <c r="H24" s="4"/>
      <c r="I24" s="4"/>
      <c r="J24" s="4"/>
      <c r="K24" s="23"/>
      <c r="L24" s="4"/>
      <c r="M24" s="4"/>
      <c r="N24" s="4" t="str">
        <f>IF(M24="","",IF(L24="",INDEX($F$61:$F$64,MATCH(M24,$C$61:$C$64,0)),IF(L24&lt;=INDEX($D$61:$D$64,MATCH(M24,$C$61:$C$64,0)),0,IF(L24&lt;=INDEX($E$61:$E$64,MATCH(M24,$C$61:$C$64,0)),INDEX($F$61:$F$64,MATCH(M24,$C$61:$C$64,0)),INDEX($G$61:$G$64,MATCH(M24,$C$61:$C$64,0))))))</f>
        <v/>
      </c>
      <c r="O24" s="4"/>
      <c r="P24" s="4"/>
      <c r="Q24" s="4"/>
      <c r="R24" s="4"/>
    </row>
    <row r="25" spans="1:18" x14ac:dyDescent="0.2">
      <c r="A25" s="3"/>
      <c r="B25" s="42"/>
      <c r="C25" s="43"/>
      <c r="D25" s="43"/>
      <c r="E25" s="43"/>
      <c r="F25" s="43"/>
      <c r="G25" s="43"/>
      <c r="H25" s="43"/>
      <c r="I25" s="43"/>
      <c r="J25" s="43"/>
      <c r="K25" s="44"/>
      <c r="L25" s="43"/>
      <c r="M25" s="43"/>
      <c r="N25" s="43"/>
      <c r="O25" s="43"/>
      <c r="P25" s="43"/>
      <c r="Q25" s="43"/>
      <c r="R25" s="43"/>
    </row>
    <row r="26" spans="1:18" x14ac:dyDescent="0.2">
      <c r="A26" t="s">
        <v>628</v>
      </c>
      <c r="B26" t="s">
        <v>1474</v>
      </c>
      <c r="C26" t="s">
        <v>1475</v>
      </c>
      <c r="D26" t="s">
        <v>163</v>
      </c>
      <c r="E26">
        <f>IF(C26="Top venue &lt;40% of volume",0,IF(C26="Top venue 40–70%",10,IF(C26="Top venue &gt;70%",20,IF(C26="Unknown",10,""))))</f>
        <v>0</v>
      </c>
      <c r="F26">
        <f>IF(D26="High",0,IF(D26="Medium",0.05,IF(D26="Low",0.1,IF(D26="Unknown",0.15,""))))</f>
        <v>0</v>
      </c>
      <c r="G26">
        <f>E26*(1+F26)</f>
        <v>0</v>
      </c>
      <c r="H26" t="s">
        <v>1476</v>
      </c>
      <c r="I26" t="s">
        <v>402</v>
      </c>
      <c r="J26" t="s">
        <v>250</v>
      </c>
      <c r="M26" t="s">
        <v>184</v>
      </c>
      <c r="N26">
        <f>IF(M26="","",IF(L26="",INDEX($F$61:$F$64,MATCH(M26,$C$61:$C$64,0)),IF(L26&lt;=INDEX($D$61:$D$64,MATCH(M26,$C$61:$C$64,0)),0,IF(L26&lt;=INDEX($E$61:$E$64,MATCH(M26,$C$61:$C$64,0)),INDEX($F$61:$F$64,MATCH(M26,$C$61:$C$64,0)),INDEX($G$61:$G$64,MATCH(M26,$C$61:$C$64,0))))))</f>
        <v>3</v>
      </c>
      <c r="O26">
        <f>G26+N26</f>
        <v>3</v>
      </c>
      <c r="P26" t="str">
        <f>IF(AND(C26="Top venue &gt;70%",OR(D26="High",D26="Medium")),"Review Required","No Review")</f>
        <v>No Review</v>
      </c>
      <c r="Q26" t="s">
        <v>1477</v>
      </c>
      <c r="R26" t="s">
        <v>1478</v>
      </c>
    </row>
    <row r="27" spans="1:18" x14ac:dyDescent="0.2">
      <c r="A27" t="s">
        <v>635</v>
      </c>
      <c r="B27" t="s">
        <v>1479</v>
      </c>
      <c r="C27" t="s">
        <v>1480</v>
      </c>
      <c r="D27" t="s">
        <v>163</v>
      </c>
      <c r="E27">
        <f>IF(C27="3 or more significant venues",0,IF(C27="2 significant venues",10,IF(C27="Single significant venue",20,IF(C27="Unknown",10,""))))</f>
        <v>0</v>
      </c>
      <c r="F27">
        <f>IF(D27="High",0,IF(D27="Medium",0.05,IF(D27="Low",0.1,IF(D27="Unknown",0.15,""))))</f>
        <v>0</v>
      </c>
      <c r="G27">
        <f>E27*(1+F27)</f>
        <v>0</v>
      </c>
      <c r="H27" t="s">
        <v>1481</v>
      </c>
      <c r="I27" t="s">
        <v>1482</v>
      </c>
      <c r="J27" t="s">
        <v>166</v>
      </c>
      <c r="M27" t="s">
        <v>184</v>
      </c>
      <c r="N27">
        <f>IF(M27="","",IF(L27="",INDEX($F$61:$F$64,MATCH(M27,$C$61:$C$64,0)),IF(L27&lt;=INDEX($D$61:$D$64,MATCH(M27,$C$61:$C$64,0)),0,IF(L27&lt;=INDEX($E$61:$E$64,MATCH(M27,$C$61:$C$64,0)),INDEX($F$61:$F$64,MATCH(M27,$C$61:$C$64,0)),INDEX($G$61:$G$64,MATCH(M27,$C$61:$C$64,0))))))</f>
        <v>3</v>
      </c>
      <c r="O27">
        <f>G27+N27</f>
        <v>3</v>
      </c>
      <c r="P27" t="s">
        <v>168</v>
      </c>
      <c r="R27" t="s">
        <v>1483</v>
      </c>
    </row>
    <row r="28" spans="1:18" x14ac:dyDescent="0.2">
      <c r="A28" t="s">
        <v>638</v>
      </c>
      <c r="B28" t="s">
        <v>1484</v>
      </c>
      <c r="C28" t="s">
        <v>1485</v>
      </c>
      <c r="D28" t="s">
        <v>163</v>
      </c>
      <c r="E28">
        <f>IF(C28="Diversified across major regulated jurisdictions",0,IF(C28="Mixed (regulated and offshore)",10,IF(C28="Mostly offshore or lightly regulated venues",20,IF(C28="Unknown",10,""))))</f>
        <v>10</v>
      </c>
      <c r="F28">
        <f>IF(D28="High",0,IF(D28="Medium",0.05,IF(D28="Low",0.1,IF(D28="Unknown",0.15,""))))</f>
        <v>0</v>
      </c>
      <c r="G28">
        <f>E28*(1+F28)</f>
        <v>10</v>
      </c>
      <c r="H28" t="s">
        <v>1486</v>
      </c>
      <c r="I28" t="s">
        <v>1487</v>
      </c>
      <c r="J28" t="s">
        <v>166</v>
      </c>
      <c r="M28" t="s">
        <v>184</v>
      </c>
      <c r="N28">
        <f>IF(M28="","",IF(L28="",INDEX($F$61:$F$64,MATCH(M28,$C$61:$C$64,0)),IF(L28&lt;=INDEX($D$61:$D$64,MATCH(M28,$C$61:$C$64,0)),0,IF(L28&lt;=INDEX($E$61:$E$64,MATCH(M28,$C$61:$C$64,0)),INDEX($F$61:$F$64,MATCH(M28,$C$61:$C$64,0)),INDEX($G$61:$G$64,MATCH(M28,$C$61:$C$64,0))))))</f>
        <v>3</v>
      </c>
      <c r="O28">
        <f>G28+N28</f>
        <v>13</v>
      </c>
      <c r="P28" t="s">
        <v>168</v>
      </c>
      <c r="R28" t="s">
        <v>1488</v>
      </c>
    </row>
    <row r="29" spans="1:18" x14ac:dyDescent="0.2">
      <c r="A29" t="s">
        <v>665</v>
      </c>
      <c r="B29" t="s">
        <v>1489</v>
      </c>
      <c r="C29" t="s">
        <v>1490</v>
      </c>
      <c r="D29" t="s">
        <v>163</v>
      </c>
      <c r="E29">
        <v>0</v>
      </c>
      <c r="F29">
        <f>IF(D29="High",0,IF(D29="Medium",0.05,IF(D29="Low",0.1,IF(D29="Unknown",0.15,""))))</f>
        <v>0</v>
      </c>
      <c r="G29">
        <f>E29*(1+F29)</f>
        <v>0</v>
      </c>
      <c r="H29" t="s">
        <v>1491</v>
      </c>
      <c r="I29" t="s">
        <v>1492</v>
      </c>
      <c r="J29" t="s">
        <v>166</v>
      </c>
      <c r="M29" t="s">
        <v>305</v>
      </c>
      <c r="N29">
        <f>IF(M29="","",IF(L29="",INDEX($F$61:$F$64,MATCH(M29,$C$61:$C$64,0)),IF(L29&lt;=INDEX($D$61:$D$64,MATCH(M29,$C$61:$C$64,0)),0,IF(L29&lt;=INDEX($E$61:$E$64,MATCH(M29,$C$61:$C$64,0)),INDEX($F$61:$F$64,MATCH(M29,$C$61:$C$64,0)),INDEX($G$61:$G$64,MATCH(M29,$C$61:$C$64,0))))))</f>
        <v>2</v>
      </c>
      <c r="O29">
        <f>G29+N29</f>
        <v>2</v>
      </c>
      <c r="P29" t="s">
        <v>168</v>
      </c>
      <c r="Q29" t="s">
        <v>871</v>
      </c>
      <c r="R29" t="s">
        <v>1493</v>
      </c>
    </row>
    <row r="30" spans="1:18" x14ac:dyDescent="0.2">
      <c r="A30" s="3"/>
      <c r="B30" s="42"/>
      <c r="C30" s="43"/>
      <c r="D30" s="43"/>
      <c r="E30" s="43"/>
      <c r="F30" s="43"/>
      <c r="G30" s="43"/>
      <c r="H30" s="43"/>
      <c r="I30" s="43"/>
      <c r="J30" s="43"/>
      <c r="K30" s="44"/>
      <c r="L30" s="43"/>
      <c r="M30" s="43"/>
      <c r="N30" s="43"/>
      <c r="O30" s="43"/>
      <c r="P30" s="43"/>
      <c r="Q30" s="43"/>
      <c r="R30" s="43"/>
    </row>
    <row r="31" spans="1:18" x14ac:dyDescent="0.2">
      <c r="A31" t="s">
        <v>873</v>
      </c>
      <c r="B31" t="s">
        <v>1494</v>
      </c>
      <c r="C31" t="s">
        <v>1495</v>
      </c>
      <c r="D31" t="s">
        <v>174</v>
      </c>
      <c r="E31">
        <f>IF(C31="Balanced CEX/DEX mix",0,IF(C31="Mostly CEX volume",10,IF(C31="Mostly single DEX/AMM venue",20,IF(C31="Unknown",10,""))))</f>
        <v>10</v>
      </c>
      <c r="F31">
        <f>IF(D31="High",0,IF(D31="Medium",0.05,IF(D31="Low",0.1,IF(D31="Unknown",0.15,""))))</f>
        <v>0.05</v>
      </c>
      <c r="G31">
        <f>E31*(1+F31)</f>
        <v>10.5</v>
      </c>
      <c r="H31" t="s">
        <v>1496</v>
      </c>
      <c r="I31" t="s">
        <v>1497</v>
      </c>
      <c r="J31" t="s">
        <v>250</v>
      </c>
      <c r="M31" t="s">
        <v>184</v>
      </c>
      <c r="N31">
        <f>IF(M31="","",IF(L31="",INDEX($F$61:$F$64,MATCH(M31,$C$61:$C$64,0)),IF(L31&lt;=INDEX($D$61:$D$64,MATCH(M31,$C$61:$C$64,0)),0,IF(L31&lt;=INDEX($E$61:$E$64,MATCH(M31,$C$61:$C$64,0)),INDEX($F$61:$F$64,MATCH(M31,$C$61:$C$64,0)),INDEX($G$61:$G$64,MATCH(M31,$C$61:$C$64,0))))))</f>
        <v>3</v>
      </c>
      <c r="O31">
        <f>G31+N31</f>
        <v>13.5</v>
      </c>
      <c r="P31" t="s">
        <v>168</v>
      </c>
      <c r="R31" t="s">
        <v>1498</v>
      </c>
    </row>
    <row r="32" spans="1:18" x14ac:dyDescent="0.2">
      <c r="A32" t="s">
        <v>880</v>
      </c>
      <c r="B32" t="s">
        <v>1499</v>
      </c>
      <c r="C32" t="s">
        <v>1500</v>
      </c>
      <c r="D32" t="s">
        <v>174</v>
      </c>
      <c r="E32">
        <f>IF(C32="Diverse across multiple base pairs",0,IF(C32="Moderately concentrated (2–3 key pairs)",10,IF(C32="Highly reliant on a single pair",20,IF(C32="Unknown",10,""))))</f>
        <v>10</v>
      </c>
      <c r="F32">
        <f>IF(D32="High",0,IF(D32="Medium",0.05,IF(D32="Low",0.1,IF(D32="Unknown",0.15,""))))</f>
        <v>0.05</v>
      </c>
      <c r="G32">
        <f>E32*(1+F32)</f>
        <v>10.5</v>
      </c>
      <c r="H32" t="s">
        <v>1501</v>
      </c>
      <c r="I32" t="s">
        <v>1502</v>
      </c>
      <c r="J32" t="s">
        <v>166</v>
      </c>
      <c r="M32" t="s">
        <v>184</v>
      </c>
      <c r="N32">
        <f>IF(M32="","",IF(L32="",INDEX($F$61:$F$64,MATCH(M32,$C$61:$C$64,0)),IF(L32&lt;=INDEX($D$61:$D$64,MATCH(M32,$C$61:$C$64,0)),0,IF(L32&lt;=INDEX($E$61:$E$64,MATCH(M32,$C$61:$C$64,0)),INDEX($F$61:$F$64,MATCH(M32,$C$61:$C$64,0)),INDEX($G$61:$G$64,MATCH(M32,$C$61:$C$64,0))))))</f>
        <v>3</v>
      </c>
      <c r="O32">
        <f>G32+N32</f>
        <v>13.5</v>
      </c>
      <c r="P32" t="s">
        <v>168</v>
      </c>
      <c r="R32" t="s">
        <v>1503</v>
      </c>
    </row>
    <row r="33" spans="1:18" x14ac:dyDescent="0.2">
      <c r="A33" t="s">
        <v>887</v>
      </c>
      <c r="B33" t="s">
        <v>1504</v>
      </c>
      <c r="C33" t="s">
        <v>1505</v>
      </c>
      <c r="D33" t="s">
        <v>163</v>
      </c>
      <c r="E33">
        <f>IF(C33="Mix includes deep stablecoin pairs",0,IF(C33="Mostly volatile asset pairs but still deep",10,IF(C33="Liquidity mainly in thin/volatile or exotic pairs",20,IF(C33="Unknown",10,""))))</f>
        <v>0</v>
      </c>
      <c r="F33">
        <f>IF(D33="High",0,IF(D33="Medium",0.05,IF(D33="Low",0.1,IF(D33="Unknown",0.15,""))))</f>
        <v>0</v>
      </c>
      <c r="G33">
        <f>E33*(1+F33)</f>
        <v>0</v>
      </c>
      <c r="H33" t="s">
        <v>1506</v>
      </c>
      <c r="I33" t="s">
        <v>1446</v>
      </c>
      <c r="J33" t="s">
        <v>250</v>
      </c>
      <c r="M33" t="s">
        <v>184</v>
      </c>
      <c r="N33">
        <f>IF(M33="","",IF(L33="",INDEX($F$61:$F$64,MATCH(M33,$C$61:$C$64,0)),IF(L33&lt;=INDEX($D$61:$D$64,MATCH(M33,$C$61:$C$64,0)),0,IF(L33&lt;=INDEX($E$61:$E$64,MATCH(M33,$C$61:$C$64,0)),INDEX($F$61:$F$64,MATCH(M33,$C$61:$C$64,0)),INDEX($G$61:$G$64,MATCH(M33,$C$61:$C$64,0))))))</f>
        <v>3</v>
      </c>
      <c r="O33">
        <f>G33+N33</f>
        <v>3</v>
      </c>
      <c r="P33" t="s">
        <v>168</v>
      </c>
      <c r="R33" t="s">
        <v>1507</v>
      </c>
    </row>
    <row r="34" spans="1:18" x14ac:dyDescent="0.2">
      <c r="A34" t="s">
        <v>894</v>
      </c>
      <c r="B34" t="s">
        <v>1508</v>
      </c>
      <c r="C34" t="s">
        <v>1509</v>
      </c>
      <c r="D34" t="s">
        <v>163</v>
      </c>
      <c r="E34">
        <v>0</v>
      </c>
      <c r="F34">
        <f>IF(D34="High",0,IF(D34="Medium",0.05,IF(D34="Low",0.1,IF(D34="Unknown",0.15,""))))</f>
        <v>0</v>
      </c>
      <c r="G34">
        <f>E34*(1+F34)</f>
        <v>0</v>
      </c>
      <c r="H34" t="s">
        <v>1510</v>
      </c>
      <c r="I34" t="s">
        <v>1511</v>
      </c>
      <c r="J34" t="s">
        <v>250</v>
      </c>
      <c r="M34" t="s">
        <v>305</v>
      </c>
      <c r="N34">
        <f>IF(M34="","",IF(L34="",INDEX($F$61:$F$64,MATCH(M34,$C$61:$C$64,0)),IF(L34&lt;=INDEX($D$61:$D$64,MATCH(M34,$C$61:$C$64,0)),0,IF(L34&lt;=INDEX($E$61:$E$64,MATCH(M34,$C$61:$C$64,0)),INDEX($F$61:$F$64,MATCH(M34,$C$61:$C$64,0)),INDEX($G$61:$G$64,MATCH(M34,$C$61:$C$64,0))))))</f>
        <v>2</v>
      </c>
      <c r="O34">
        <f>G34+N34</f>
        <v>2</v>
      </c>
      <c r="P34" t="s">
        <v>168</v>
      </c>
      <c r="Q34" t="s">
        <v>871</v>
      </c>
      <c r="R34" t="s">
        <v>1512</v>
      </c>
    </row>
    <row r="35" spans="1:18" x14ac:dyDescent="0.2">
      <c r="A35" s="4"/>
      <c r="B35" s="5" t="s">
        <v>1513</v>
      </c>
      <c r="C35" s="4"/>
      <c r="D35" s="4"/>
      <c r="E35" s="4"/>
      <c r="F35" s="4"/>
      <c r="G35" s="4"/>
      <c r="H35" s="4"/>
      <c r="I35" s="4"/>
      <c r="J35" s="4"/>
      <c r="K35" s="23"/>
      <c r="L35" s="4"/>
      <c r="M35" s="4"/>
      <c r="N35" s="4" t="str">
        <f>IF(M35="","",IF(L35="",INDEX($F$61:$F$64,MATCH(M35,$C$61:$C$64,0)),IF(L35&lt;=INDEX($D$61:$D$64,MATCH(M35,$C$61:$C$64,0)),0,IF(L35&lt;=INDEX($E$61:$E$64,MATCH(M35,$C$61:$C$64,0)),INDEX($F$61:$F$64,MATCH(M35,$C$61:$C$64,0)),INDEX($G$61:$G$64,MATCH(M35,$C$61:$C$64,0))))))</f>
        <v/>
      </c>
      <c r="O35" s="4"/>
      <c r="P35" s="4"/>
      <c r="Q35" s="4"/>
      <c r="R35" s="4"/>
    </row>
    <row r="36" spans="1:18" x14ac:dyDescent="0.2">
      <c r="A36" s="3"/>
      <c r="B36" s="42"/>
      <c r="C36" s="43"/>
      <c r="D36" s="43"/>
      <c r="E36" s="43"/>
      <c r="F36" s="43"/>
      <c r="G36" s="43"/>
      <c r="H36" s="43"/>
      <c r="I36" s="43"/>
      <c r="J36" s="43"/>
      <c r="K36" s="44"/>
      <c r="L36" s="43"/>
      <c r="M36" s="43"/>
      <c r="N36" s="43"/>
      <c r="O36" s="43"/>
      <c r="P36" s="43"/>
      <c r="Q36" s="43"/>
      <c r="R36" s="43"/>
    </row>
    <row r="37" spans="1:18" x14ac:dyDescent="0.2">
      <c r="A37" t="s">
        <v>901</v>
      </c>
      <c r="B37" t="s">
        <v>1514</v>
      </c>
      <c r="C37" t="s">
        <v>1515</v>
      </c>
      <c r="D37" t="s">
        <v>163</v>
      </c>
      <c r="E37">
        <f>IF(C37="Lower or similar to majors",0,IF(C37="Moderately higher",10,IF(C37="Significantly higher/very high volatility",20,IF(C37="Unknown",10,""))))</f>
        <v>20</v>
      </c>
      <c r="F37">
        <f>IF(D37="High",0,IF(D37="Medium",0.05,IF(D37="Low",0.1,IF(D37="Unknown",0.15,""))))</f>
        <v>0</v>
      </c>
      <c r="G37">
        <f>E37*(1+F37)</f>
        <v>20</v>
      </c>
      <c r="H37" t="s">
        <v>1516</v>
      </c>
      <c r="I37" t="s">
        <v>1517</v>
      </c>
      <c r="J37" t="s">
        <v>166</v>
      </c>
      <c r="M37" t="s">
        <v>184</v>
      </c>
      <c r="N37">
        <f>IF(M37="","",IF(L37="",INDEX($F$61:$F$64,MATCH(M37,$C$61:$C$64,0)),IF(L37&lt;=INDEX($D$61:$D$64,MATCH(M37,$C$61:$C$64,0)),0,IF(L37&lt;=INDEX($E$61:$E$64,MATCH(M37,$C$61:$C$64,0)),INDEX($F$61:$F$64,MATCH(M37,$C$61:$C$64,0)),INDEX($G$61:$G$64,MATCH(M37,$C$61:$C$64,0))))))</f>
        <v>3</v>
      </c>
      <c r="O37">
        <f>G37+N37</f>
        <v>23</v>
      </c>
      <c r="P37" t="s">
        <v>168</v>
      </c>
      <c r="R37" t="s">
        <v>1518</v>
      </c>
    </row>
    <row r="38" spans="1:18" x14ac:dyDescent="0.2">
      <c r="A38" t="s">
        <v>907</v>
      </c>
      <c r="B38" t="s">
        <v>1519</v>
      </c>
      <c r="C38" t="s">
        <v>275</v>
      </c>
      <c r="D38" t="s">
        <v>315</v>
      </c>
      <c r="E38">
        <f>IF(C38="No unusual instability",0,IF(C38="Some heightened instability",10,IF(C38="Highly unstable with frequent extreme moves",20,IF(C38="Unknown",10,""))))</f>
        <v>10</v>
      </c>
      <c r="F38">
        <f>IF(D38="High",0,IF(D38="Medium",0.05,IF(D38="Low",0.1,IF(D38="Unknown",0.15,""))))</f>
        <v>0.1</v>
      </c>
      <c r="G38">
        <f>E38*(1+F38)</f>
        <v>11</v>
      </c>
      <c r="M38" t="s">
        <v>184</v>
      </c>
      <c r="N38">
        <f>IF(M38="","",IF(L38="",INDEX($F$61:$F$64,MATCH(M38,$C$61:$C$64,0)),IF(L38&lt;=INDEX($D$61:$D$64,MATCH(M38,$C$61:$C$64,0)),0,IF(L38&lt;=INDEX($E$61:$E$64,MATCH(M38,$C$61:$C$64,0)),INDEX($F$61:$F$64,MATCH(M38,$C$61:$C$64,0)),INDEX($G$61:$G$64,MATCH(M38,$C$61:$C$64,0))))))</f>
        <v>3</v>
      </c>
      <c r="O38">
        <f>G38+N38</f>
        <v>14</v>
      </c>
      <c r="P38" t="s">
        <v>168</v>
      </c>
      <c r="R38" t="s">
        <v>1520</v>
      </c>
    </row>
    <row r="39" spans="1:18" x14ac:dyDescent="0.2">
      <c r="A39" t="s">
        <v>919</v>
      </c>
      <c r="B39" t="s">
        <v>1521</v>
      </c>
      <c r="C39" t="s">
        <v>1522</v>
      </c>
      <c r="D39" t="s">
        <v>163</v>
      </c>
      <c r="E39">
        <v>0</v>
      </c>
      <c r="F39">
        <f>IF(D39="High",0,IF(D39="Medium",0.05,IF(D39="Low",0.1,IF(D39="Unknown",0.15,""))))</f>
        <v>0</v>
      </c>
      <c r="G39">
        <f>E39*(1+F39)</f>
        <v>0</v>
      </c>
      <c r="H39" t="s">
        <v>1523</v>
      </c>
      <c r="I39" t="s">
        <v>827</v>
      </c>
      <c r="J39" t="s">
        <v>166</v>
      </c>
      <c r="M39" t="s">
        <v>305</v>
      </c>
      <c r="N39">
        <f>IF(M39="","",IF(L39="",INDEX($F$61:$F$64,MATCH(M39,$C$61:$C$64,0)),IF(L39&lt;=INDEX($D$61:$D$64,MATCH(M39,$C$61:$C$64,0)),0,IF(L39&lt;=INDEX($E$61:$E$64,MATCH(M39,$C$61:$C$64,0)),INDEX($F$61:$F$64,MATCH(M39,$C$61:$C$64,0)),INDEX($G$61:$G$64,MATCH(M39,$C$61:$C$64,0))))))</f>
        <v>2</v>
      </c>
      <c r="O39">
        <f>G39+N39</f>
        <v>2</v>
      </c>
      <c r="P39" t="s">
        <v>168</v>
      </c>
      <c r="Q39" t="s">
        <v>871</v>
      </c>
      <c r="R39" t="s">
        <v>1524</v>
      </c>
    </row>
    <row r="40" spans="1:18" x14ac:dyDescent="0.2">
      <c r="A40" s="3"/>
      <c r="B40" s="42"/>
      <c r="C40" s="43"/>
      <c r="D40" s="43"/>
      <c r="E40" s="43"/>
      <c r="F40" s="43"/>
      <c r="G40" s="43"/>
      <c r="H40" s="43"/>
      <c r="I40" s="43"/>
      <c r="J40" s="43"/>
      <c r="K40" s="44"/>
      <c r="L40" s="43"/>
      <c r="M40" s="43"/>
      <c r="N40" s="43"/>
      <c r="O40" s="43"/>
      <c r="P40" s="43"/>
      <c r="Q40" s="43"/>
      <c r="R40" s="43"/>
    </row>
    <row r="41" spans="1:18" x14ac:dyDescent="0.2">
      <c r="A41" t="s">
        <v>925</v>
      </c>
      <c r="B41" t="s">
        <v>1525</v>
      </c>
      <c r="C41" t="s">
        <v>1526</v>
      </c>
      <c r="D41" t="s">
        <v>174</v>
      </c>
      <c r="E41">
        <f>IF(C41="Modest/typical for crypto (&lt;70%)",0,IF(C41="Severe (70–90%)",10,IF(C41="Extreme (&gt;90%)",20,IF(C41="Unknown",10,""))))</f>
        <v>10</v>
      </c>
      <c r="F41">
        <f>IF(D41="High",0,IF(D41="Medium",0.05,IF(D41="Low",0.1,IF(D41="Unknown",0.15,""))))</f>
        <v>0.05</v>
      </c>
      <c r="G41">
        <f>E41*(1+F41)</f>
        <v>10.5</v>
      </c>
      <c r="H41" t="s">
        <v>1506</v>
      </c>
      <c r="I41" t="s">
        <v>1527</v>
      </c>
      <c r="J41" t="s">
        <v>250</v>
      </c>
      <c r="M41" t="s">
        <v>305</v>
      </c>
      <c r="N41">
        <f>IF(M41="","",IF(L41="",INDEX($F$61:$F$64,MATCH(M41,$C$61:$C$64,0)),IF(L41&lt;=INDEX($D$61:$D$64,MATCH(M41,$C$61:$C$64,0)),0,IF(L41&lt;=INDEX($E$61:$E$64,MATCH(M41,$C$61:$C$64,0)),INDEX($F$61:$F$64,MATCH(M41,$C$61:$C$64,0)),INDEX($G$61:$G$64,MATCH(M41,$C$61:$C$64,0))))))</f>
        <v>2</v>
      </c>
      <c r="O41">
        <f>G41+N41</f>
        <v>12.5</v>
      </c>
      <c r="P41" t="s">
        <v>168</v>
      </c>
      <c r="R41" t="s">
        <v>1528</v>
      </c>
    </row>
    <row r="42" spans="1:18" x14ac:dyDescent="0.2">
      <c r="A42" t="s">
        <v>932</v>
      </c>
      <c r="B42" t="s">
        <v>1529</v>
      </c>
      <c r="C42" t="s">
        <v>1530</v>
      </c>
      <c r="D42" t="s">
        <v>174</v>
      </c>
      <c r="E42">
        <f>IF(C42="No such incidents",0,IF(C42="Minor/isolated technical event fully resolved",10,IF(C42="Significant or repeated flash-crash/depeg events",20,IF(C42="Unknown",10,""))))</f>
        <v>0</v>
      </c>
      <c r="F42">
        <f>IF(D42="High",0,IF(D42="Medium",0.05,IF(D42="Low",0.1,IF(D42="Unknown",0.15,""))))</f>
        <v>0.05</v>
      </c>
      <c r="G42">
        <f>E42*(1+F42)</f>
        <v>0</v>
      </c>
      <c r="H42" t="s">
        <v>1531</v>
      </c>
      <c r="I42" t="s">
        <v>1532</v>
      </c>
      <c r="J42" t="s">
        <v>166</v>
      </c>
      <c r="M42" t="s">
        <v>276</v>
      </c>
      <c r="N42">
        <f>IF(M42="","",IF(L42="",INDEX($F$61:$F$64,MATCH(M42,$C$61:$C$64,0)),IF(L42&lt;=INDEX($D$61:$D$64,MATCH(M42,$C$61:$C$64,0)),0,IF(L42&lt;=INDEX($E$61:$E$64,MATCH(M42,$C$61:$C$64,0)),INDEX($F$61:$F$64,MATCH(M42,$C$61:$C$64,0)),INDEX($G$61:$G$64,MATCH(M42,$C$61:$C$64,0))))))</f>
        <v>5</v>
      </c>
      <c r="O42">
        <f>G42+N42</f>
        <v>5</v>
      </c>
      <c r="P42" t="str">
        <f>IF(AND(C42="Significant or repeated flash-crash/depeg events",OR(D42="High",D42="Medium")),"Review Required","No Review")</f>
        <v>No Review</v>
      </c>
      <c r="Q42" t="s">
        <v>1533</v>
      </c>
      <c r="R42" t="s">
        <v>1534</v>
      </c>
    </row>
    <row r="43" spans="1:18" x14ac:dyDescent="0.2">
      <c r="A43" t="s">
        <v>939</v>
      </c>
      <c r="B43" t="s">
        <v>1535</v>
      </c>
      <c r="C43" t="s">
        <v>1536</v>
      </c>
      <c r="D43" t="s">
        <v>174</v>
      </c>
      <c r="E43">
        <f>IF(C43="Recovers to prior ranges",0,IF(C43="Partial recovery but remains impaired",10,IF(C43="Fails to recover (persistent impairment)",20,IF(C43="Unknown",10,""))))</f>
        <v>10</v>
      </c>
      <c r="F43">
        <f>IF(D43="High",0,IF(D43="Medium",0.05,IF(D43="Low",0.1,IF(D43="Unknown",0.15,""))))</f>
        <v>0.05</v>
      </c>
      <c r="G43">
        <f>E43*(1+F43)</f>
        <v>10.5</v>
      </c>
      <c r="H43" t="s">
        <v>1537</v>
      </c>
      <c r="I43" t="s">
        <v>1538</v>
      </c>
      <c r="J43" t="s">
        <v>250</v>
      </c>
      <c r="M43" t="s">
        <v>184</v>
      </c>
      <c r="N43">
        <f>IF(M43="","",IF(L43="",INDEX($F$61:$F$64,MATCH(M43,$C$61:$C$64,0)),IF(L43&lt;=INDEX($D$61:$D$64,MATCH(M43,$C$61:$C$64,0)),0,IF(L43&lt;=INDEX($E$61:$E$64,MATCH(M43,$C$61:$C$64,0)),INDEX($F$61:$F$64,MATCH(M43,$C$61:$C$64,0)),INDEX($G$61:$G$64,MATCH(M43,$C$61:$C$64,0))))))</f>
        <v>3</v>
      </c>
      <c r="O43">
        <f>G43+N43</f>
        <v>13.5</v>
      </c>
      <c r="P43" t="s">
        <v>168</v>
      </c>
      <c r="R43" t="s">
        <v>1539</v>
      </c>
    </row>
    <row r="44" spans="1:18" x14ac:dyDescent="0.2">
      <c r="A44" t="s">
        <v>946</v>
      </c>
      <c r="B44" t="s">
        <v>1540</v>
      </c>
      <c r="C44" t="s">
        <v>1541</v>
      </c>
      <c r="D44" t="s">
        <v>163</v>
      </c>
      <c r="E44">
        <v>0</v>
      </c>
      <c r="F44">
        <f>IF(D44="High",0,IF(D44="Medium",0.05,IF(D44="Low",0.1,IF(D44="Unknown",0.15,""))))</f>
        <v>0</v>
      </c>
      <c r="G44">
        <f>E44*(1+F44)</f>
        <v>0</v>
      </c>
      <c r="H44" t="s">
        <v>1542</v>
      </c>
      <c r="I44" t="s">
        <v>1543</v>
      </c>
      <c r="J44" t="s">
        <v>250</v>
      </c>
      <c r="M44" t="s">
        <v>305</v>
      </c>
      <c r="N44">
        <f>IF(M44="","",IF(L44="",INDEX($F$61:$F$64,MATCH(M44,$C$61:$C$64,0)),IF(L44&lt;=INDEX($D$61:$D$64,MATCH(M44,$C$61:$C$64,0)),0,IF(L44&lt;=INDEX($E$61:$E$64,MATCH(M44,$C$61:$C$64,0)),INDEX($F$61:$F$64,MATCH(M44,$C$61:$C$64,0)),INDEX($G$61:$G$64,MATCH(M44,$C$61:$C$64,0))))))</f>
        <v>2</v>
      </c>
      <c r="O44">
        <f>G44+N44</f>
        <v>2</v>
      </c>
      <c r="P44" t="s">
        <v>168</v>
      </c>
      <c r="Q44" t="s">
        <v>871</v>
      </c>
      <c r="R44" t="s">
        <v>1544</v>
      </c>
    </row>
    <row r="45" spans="1:18" x14ac:dyDescent="0.2">
      <c r="A45" s="4"/>
      <c r="B45" s="5" t="s">
        <v>1545</v>
      </c>
      <c r="C45" s="4"/>
      <c r="D45" s="4"/>
      <c r="E45" s="4"/>
      <c r="F45" s="4"/>
      <c r="G45" s="4"/>
      <c r="H45" s="4"/>
      <c r="I45" s="4"/>
      <c r="J45" s="4"/>
      <c r="K45" s="23"/>
      <c r="L45" s="4"/>
      <c r="M45" s="4"/>
      <c r="N45" s="4" t="str">
        <f>IF(M45="","",IF(L45="",INDEX($F$61:$F$64,MATCH(M45,$C$61:$C$64,0)),IF(L45&lt;=INDEX($D$61:$D$64,MATCH(M45,$C$61:$C$64,0)),0,IF(L45&lt;=INDEX($E$61:$E$64,MATCH(M45,$C$61:$C$64,0)),INDEX($F$61:$F$64,MATCH(M45,$C$61:$C$64,0)),INDEX($G$61:$G$64,MATCH(M45,$C$61:$C$64,0))))))</f>
        <v/>
      </c>
      <c r="O45" s="4"/>
      <c r="P45" s="4"/>
      <c r="Q45" s="4"/>
      <c r="R45" s="4"/>
    </row>
    <row r="46" spans="1:18" x14ac:dyDescent="0.2">
      <c r="A46" s="3"/>
      <c r="B46" s="42"/>
      <c r="C46" s="43"/>
      <c r="D46" s="43"/>
      <c r="E46" s="43"/>
      <c r="F46" s="43"/>
      <c r="G46" s="43"/>
      <c r="H46" s="43"/>
      <c r="I46" s="43"/>
      <c r="J46" s="43"/>
      <c r="K46" s="44"/>
      <c r="L46" s="43"/>
      <c r="M46" s="43"/>
      <c r="N46" s="43"/>
      <c r="O46" s="43"/>
      <c r="P46" s="43"/>
      <c r="Q46" s="43"/>
      <c r="R46" s="43"/>
    </row>
    <row r="47" spans="1:18" x14ac:dyDescent="0.2">
      <c r="A47" t="s">
        <v>444</v>
      </c>
      <c r="B47" t="s">
        <v>1546</v>
      </c>
      <c r="C47" t="s">
        <v>1547</v>
      </c>
      <c r="D47" t="s">
        <v>163</v>
      </c>
      <c r="E47">
        <f>IF(C47="Listed on multiple top-tier exchanges",0,IF(C47="Listed on a mix of mid-tier and some major exchanges",10,IF(C47="Listed only on small or lower-quality exchanges",20,IF(C47="Unknown",10,""))))</f>
        <v>0</v>
      </c>
      <c r="F47">
        <f>IF(D47="High",0,IF(D47="Medium",0.05,IF(D47="Low",0.1,IF(D47="Unknown",0.15,""))))</f>
        <v>0</v>
      </c>
      <c r="G47">
        <f>E47*(1+F47)</f>
        <v>0</v>
      </c>
      <c r="H47" t="s">
        <v>1548</v>
      </c>
      <c r="I47" t="s">
        <v>1502</v>
      </c>
      <c r="J47" t="s">
        <v>166</v>
      </c>
      <c r="M47" t="s">
        <v>167</v>
      </c>
      <c r="N47">
        <f>IF(M47="","",IF(L47="",INDEX($F$61:$F$64,MATCH(M47,$C$61:$C$64,0)),IF(L47&lt;=INDEX($D$61:$D$64,MATCH(M47,$C$61:$C$64,0)),0,IF(L47&lt;=INDEX($E$61:$E$64,MATCH(M47,$C$61:$C$64,0)),INDEX($F$61:$F$64,MATCH(M47,$C$61:$C$64,0)),INDEX($G$61:$G$64,MATCH(M47,$C$61:$C$64,0))))))</f>
        <v>0</v>
      </c>
      <c r="O47">
        <f>G47+N47</f>
        <v>0</v>
      </c>
      <c r="P47" t="s">
        <v>168</v>
      </c>
      <c r="R47" t="s">
        <v>1549</v>
      </c>
    </row>
    <row r="48" spans="1:18" x14ac:dyDescent="0.2">
      <c r="A48" t="s">
        <v>451</v>
      </c>
      <c r="B48" t="s">
        <v>1550</v>
      </c>
      <c r="C48" t="s">
        <v>1551</v>
      </c>
      <c r="D48" t="s">
        <v>174</v>
      </c>
      <c r="E48">
        <f>IF(C48="Included in major indices/ETPs",0,IF(C48="Included only in niche indices",10,IF(C48="Not included in any indices/ETPs",20,IF(C48="Unknown",10,""))))</f>
        <v>20</v>
      </c>
      <c r="F48">
        <f>IF(D48="High",0,IF(D48="Medium",0.05,IF(D48="Low",0.1,IF(D48="Unknown",0.15,""))))</f>
        <v>0.05</v>
      </c>
      <c r="G48">
        <f>E48*(1+F48)</f>
        <v>21</v>
      </c>
      <c r="H48" t="s">
        <v>1552</v>
      </c>
      <c r="I48" t="s">
        <v>1553</v>
      </c>
      <c r="J48" t="s">
        <v>250</v>
      </c>
      <c r="M48" t="s">
        <v>167</v>
      </c>
      <c r="N48">
        <f>IF(M48="","",IF(L48="",INDEX($F$61:$F$64,MATCH(M48,$C$61:$C$64,0)),IF(L48&lt;=INDEX($D$61:$D$64,MATCH(M48,$C$61:$C$64,0)),0,IF(L48&lt;=INDEX($E$61:$E$64,MATCH(M48,$C$61:$C$64,0)),INDEX($F$61:$F$64,MATCH(M48,$C$61:$C$64,0)),INDEX($G$61:$G$64,MATCH(M48,$C$61:$C$64,0))))))</f>
        <v>0</v>
      </c>
      <c r="O48">
        <f>G48+N48</f>
        <v>21</v>
      </c>
      <c r="P48" t="s">
        <v>168</v>
      </c>
      <c r="R48" t="s">
        <v>1554</v>
      </c>
    </row>
    <row r="49" spans="1:18" x14ac:dyDescent="0.2">
      <c r="A49" t="s">
        <v>467</v>
      </c>
      <c r="B49" t="s">
        <v>1555</v>
      </c>
      <c r="C49" t="s">
        <v>1556</v>
      </c>
      <c r="D49" t="s">
        <v>163</v>
      </c>
      <c r="E49">
        <v>0</v>
      </c>
      <c r="F49">
        <f>IF(D49="High",0,IF(D49="Medium",0.05,IF(D49="Low",0.1,IF(D49="Unknown",0.15,""))))</f>
        <v>0</v>
      </c>
      <c r="G49">
        <f>E49*(1+F49)</f>
        <v>0</v>
      </c>
      <c r="H49" t="s">
        <v>1557</v>
      </c>
      <c r="I49" t="s">
        <v>1558</v>
      </c>
      <c r="J49" t="s">
        <v>166</v>
      </c>
      <c r="M49" t="s">
        <v>167</v>
      </c>
      <c r="N49">
        <f>IF(M49="","",IF(L49="",INDEX($F$61:$F$64,MATCH(M49,$C$61:$C$64,0)),IF(L49&lt;=INDEX($D$61:$D$64,MATCH(M49,$C$61:$C$64,0)),0,IF(L49&lt;=INDEX($E$61:$E$64,MATCH(M49,$C$61:$C$64,0)),INDEX($F$61:$F$64,MATCH(M49,$C$61:$C$64,0)),INDEX($G$61:$G$64,MATCH(M49,$C$61:$C$64,0))))))</f>
        <v>0</v>
      </c>
      <c r="O49">
        <f>G49+N49</f>
        <v>0</v>
      </c>
      <c r="P49" t="s">
        <v>168</v>
      </c>
      <c r="Q49" t="s">
        <v>871</v>
      </c>
      <c r="R49" t="s">
        <v>1559</v>
      </c>
    </row>
    <row r="50" spans="1:18" x14ac:dyDescent="0.2">
      <c r="A50" s="3"/>
      <c r="B50" s="42"/>
      <c r="C50" s="43"/>
      <c r="D50" s="43"/>
      <c r="E50" s="43"/>
      <c r="F50" s="43"/>
      <c r="G50" s="43"/>
      <c r="H50" s="43"/>
      <c r="I50" s="43"/>
      <c r="J50" s="43"/>
      <c r="K50" s="44"/>
      <c r="L50" s="43"/>
      <c r="M50" s="43"/>
      <c r="N50" s="43"/>
      <c r="O50" s="43"/>
      <c r="P50" s="43"/>
      <c r="Q50" s="43"/>
      <c r="R50" s="43"/>
    </row>
    <row r="51" spans="1:18" x14ac:dyDescent="0.2">
      <c r="A51" t="s">
        <v>472</v>
      </c>
      <c r="B51" t="s">
        <v>1560</v>
      </c>
      <c r="C51" t="s">
        <v>1561</v>
      </c>
      <c r="D51" t="s">
        <v>174</v>
      </c>
      <c r="E51">
        <f>IF(C51="No market-integrity halts reported",0,IF(C51="Single/isolated halt resolved",10,IF(C51="Multiple or sustained market-integrity halts",20,IF(C51="Unknown",10,""))))</f>
        <v>0</v>
      </c>
      <c r="F51">
        <f>IF(D51="High",0,IF(D51="Medium",0.05,IF(D51="Low",0.1,IF(D51="Unknown",0.15,""))))</f>
        <v>0.05</v>
      </c>
      <c r="G51">
        <f>E51*(1+F51)</f>
        <v>0</v>
      </c>
      <c r="H51" t="s">
        <v>1562</v>
      </c>
      <c r="I51" t="s">
        <v>1563</v>
      </c>
      <c r="J51" t="s">
        <v>166</v>
      </c>
      <c r="M51" t="s">
        <v>276</v>
      </c>
      <c r="N51">
        <f>IF(M51="","",IF(L51="",INDEX($F$61:$F$64,MATCH(M51,$C$61:$C$64,0)),IF(L51&lt;=INDEX($D$61:$D$64,MATCH(M51,$C$61:$C$64,0)),0,IF(L51&lt;=INDEX($E$61:$E$64,MATCH(M51,$C$61:$C$64,0)),INDEX($F$61:$F$64,MATCH(M51,$C$61:$C$64,0)),INDEX($G$61:$G$64,MATCH(M51,$C$61:$C$64,0))))))</f>
        <v>5</v>
      </c>
      <c r="O51">
        <f>G51+N51</f>
        <v>5</v>
      </c>
      <c r="P51" t="str">
        <f>IF(AND(C51="Multiple or sustained market-integrity halts",OR(D51="High",D51="Medium")),"Review Required","No Review")</f>
        <v>No Review</v>
      </c>
      <c r="Q51" t="s">
        <v>1564</v>
      </c>
      <c r="R51" t="s">
        <v>1565</v>
      </c>
    </row>
    <row r="52" spans="1:18" x14ac:dyDescent="0.2">
      <c r="A52" t="s">
        <v>477</v>
      </c>
      <c r="B52" t="s">
        <v>1566</v>
      </c>
      <c r="C52" t="s">
        <v>1567</v>
      </c>
      <c r="D52" t="s">
        <v>174</v>
      </c>
      <c r="E52">
        <f>IF(C52="No such delistings reported",0,IF(C52="Single delisting with clear resolution",10,IF(C52="One or more delistings for integrity/protection reasons",20,IF(C52="Unknown",10,""))))</f>
        <v>0</v>
      </c>
      <c r="F52">
        <f>IF(D52="High",0,IF(D52="Medium",0.05,IF(D52="Low",0.1,IF(D52="Unknown",0.15,""))))</f>
        <v>0.05</v>
      </c>
      <c r="G52">
        <f>E52*(1+F52)</f>
        <v>0</v>
      </c>
      <c r="H52" t="s">
        <v>1568</v>
      </c>
      <c r="I52" t="s">
        <v>1569</v>
      </c>
      <c r="J52" t="s">
        <v>166</v>
      </c>
      <c r="M52" t="s">
        <v>276</v>
      </c>
      <c r="N52">
        <f>IF(M52="","",IF(L52="",INDEX($F$61:$F$64,MATCH(M52,$C$61:$C$64,0)),IF(L52&lt;=INDEX($D$61:$D$64,MATCH(M52,$C$61:$C$64,0)),0,IF(L52&lt;=INDEX($E$61:$E$64,MATCH(M52,$C$61:$C$64,0)),INDEX($F$61:$F$64,MATCH(M52,$C$61:$C$64,0)),INDEX($G$61:$G$64,MATCH(M52,$C$61:$C$64,0))))))</f>
        <v>5</v>
      </c>
      <c r="O52">
        <f>G52+N52</f>
        <v>5</v>
      </c>
      <c r="P52" t="str">
        <f>IF(AND(C52="One or more delistings for integrity/protection reasons",OR(D52="High",D52="Medium")),"Review Required","No Review")</f>
        <v>No Review</v>
      </c>
      <c r="Q52" t="s">
        <v>1570</v>
      </c>
      <c r="R52" t="s">
        <v>1571</v>
      </c>
    </row>
    <row r="53" spans="1:18" x14ac:dyDescent="0.2">
      <c r="A53" t="s">
        <v>480</v>
      </c>
      <c r="B53" t="s">
        <v>1572</v>
      </c>
      <c r="C53" t="s">
        <v>1573</v>
      </c>
      <c r="D53" t="s">
        <v>174</v>
      </c>
      <c r="E53">
        <f>IF(C53="No specific warnings found",0,IF(C53="Generic/high-level risk warnings only",10,IF(C53="Specific warnings about this token",20,IF(C53="Unknown",10,""))))</f>
        <v>0</v>
      </c>
      <c r="F53">
        <f>IF(D53="High",0,IF(D53="Medium",0.05,IF(D53="Low",0.1,IF(D53="Unknown",0.15,""))))</f>
        <v>0.05</v>
      </c>
      <c r="G53">
        <f>E53*(1+F53)</f>
        <v>0</v>
      </c>
      <c r="H53" t="s">
        <v>1574</v>
      </c>
      <c r="I53" t="s">
        <v>1575</v>
      </c>
      <c r="J53" t="s">
        <v>166</v>
      </c>
      <c r="M53" t="s">
        <v>276</v>
      </c>
      <c r="N53">
        <f>IF(M53="","",IF(L53="",INDEX($F$61:$F$64,MATCH(M53,$C$61:$C$64,0)),IF(L53&lt;=INDEX($D$61:$D$64,MATCH(M53,$C$61:$C$64,0)),0,IF(L53&lt;=INDEX($E$61:$E$64,MATCH(M53,$C$61:$C$64,0)),INDEX($F$61:$F$64,MATCH(M53,$C$61:$C$64,0)),INDEX($G$61:$G$64,MATCH(M53,$C$61:$C$64,0))))))</f>
        <v>5</v>
      </c>
      <c r="O53">
        <f>G53+N53</f>
        <v>5</v>
      </c>
      <c r="P53" t="str">
        <f>IF(AND(C53="Specific warnings about this token",OR(D53="High",D53="Medium")),"Review Required","No Review")</f>
        <v>No Review</v>
      </c>
      <c r="Q53" t="s">
        <v>1576</v>
      </c>
      <c r="R53" t="s">
        <v>1577</v>
      </c>
    </row>
    <row r="54" spans="1:18" x14ac:dyDescent="0.2">
      <c r="A54" t="s">
        <v>496</v>
      </c>
      <c r="B54" t="s">
        <v>1578</v>
      </c>
      <c r="C54" t="s">
        <v>1579</v>
      </c>
      <c r="D54" t="s">
        <v>174</v>
      </c>
      <c r="E54">
        <v>0</v>
      </c>
      <c r="F54">
        <f>IF(D54="High",0,IF(D54="Medium",0.05,IF(D54="Low",0.1,IF(D54="Unknown",0.15,""))))</f>
        <v>0.05</v>
      </c>
      <c r="G54">
        <f>E54*(1+F54)</f>
        <v>0</v>
      </c>
      <c r="H54" t="s">
        <v>1580</v>
      </c>
      <c r="I54" t="s">
        <v>1581</v>
      </c>
      <c r="J54" t="s">
        <v>166</v>
      </c>
      <c r="M54" t="s">
        <v>276</v>
      </c>
      <c r="N54">
        <f>IF(M54="","",IF(L54="",INDEX($F$61:$F$64,MATCH(M54,$C$61:$C$64,0)),IF(L54&lt;=INDEX($D$61:$D$64,MATCH(M54,$C$61:$C$64,0)),0,IF(L54&lt;=INDEX($E$61:$E$64,MATCH(M54,$C$61:$C$64,0)),INDEX($F$61:$F$64,MATCH(M54,$C$61:$C$64,0)),INDEX($G$61:$G$64,MATCH(M54,$C$61:$C$64,0))))))</f>
        <v>5</v>
      </c>
      <c r="O54">
        <f>G54+N54</f>
        <v>5</v>
      </c>
      <c r="P54" t="s">
        <v>168</v>
      </c>
      <c r="Q54" t="s">
        <v>871</v>
      </c>
      <c r="R54" t="s">
        <v>1582</v>
      </c>
    </row>
    <row r="59" spans="1:18" x14ac:dyDescent="0.2">
      <c r="C59" s="54" t="s">
        <v>548</v>
      </c>
      <c r="D59" s="55"/>
      <c r="E59" s="55"/>
      <c r="F59" s="55"/>
      <c r="G59" s="56"/>
    </row>
    <row r="60" spans="1:18" x14ac:dyDescent="0.2">
      <c r="C60" s="31" t="s">
        <v>152</v>
      </c>
      <c r="D60" s="32" t="s">
        <v>549</v>
      </c>
      <c r="E60" s="32" t="s">
        <v>550</v>
      </c>
      <c r="F60" s="32" t="s">
        <v>551</v>
      </c>
      <c r="G60" s="32" t="s">
        <v>552</v>
      </c>
    </row>
    <row r="61" spans="1:18" x14ac:dyDescent="0.2">
      <c r="C61" s="33" t="s">
        <v>276</v>
      </c>
      <c r="D61" s="34">
        <v>90</v>
      </c>
      <c r="E61" s="34">
        <v>180</v>
      </c>
      <c r="F61" s="34">
        <v>5</v>
      </c>
      <c r="G61" s="35">
        <v>10</v>
      </c>
    </row>
    <row r="62" spans="1:18" x14ac:dyDescent="0.2">
      <c r="C62" s="36" t="s">
        <v>184</v>
      </c>
      <c r="D62" s="34">
        <v>180</v>
      </c>
      <c r="E62" s="34">
        <v>365</v>
      </c>
      <c r="F62" s="34">
        <v>3</v>
      </c>
      <c r="G62" s="35">
        <v>6</v>
      </c>
    </row>
    <row r="63" spans="1:18" x14ac:dyDescent="0.2">
      <c r="C63" s="36" t="s">
        <v>305</v>
      </c>
      <c r="D63" s="34">
        <v>365</v>
      </c>
      <c r="E63" s="34">
        <v>730</v>
      </c>
      <c r="F63" s="34">
        <v>2</v>
      </c>
      <c r="G63" s="35">
        <v>4</v>
      </c>
    </row>
    <row r="64" spans="1:18" x14ac:dyDescent="0.2">
      <c r="C64" s="31" t="s">
        <v>167</v>
      </c>
      <c r="D64" s="37">
        <v>9999</v>
      </c>
      <c r="E64" s="37">
        <v>9999</v>
      </c>
      <c r="F64" s="37">
        <v>0</v>
      </c>
      <c r="G64" s="32">
        <v>0</v>
      </c>
    </row>
    <row r="68" spans="3:5" ht="16" customHeight="1" thickBot="1" x14ac:dyDescent="0.25"/>
    <row r="69" spans="3:5" ht="16" customHeight="1" thickBot="1" x14ac:dyDescent="0.25">
      <c r="C69" s="48" t="s">
        <v>553</v>
      </c>
      <c r="D69" s="49"/>
      <c r="E69" s="50"/>
    </row>
    <row r="70" spans="3:5" x14ac:dyDescent="0.2">
      <c r="C70" s="45" t="s">
        <v>554</v>
      </c>
      <c r="D70" s="46"/>
      <c r="E70" s="8">
        <f>IF(COUNTIFS($A$4:$A$54,"A*",$C$4:$C$54,"&lt;&gt;")=0,"",AVERAGEIFS($O$4:$O$54,$A$4:$A$54,"A*",$C$4:$C$54,"&lt;&gt;"))</f>
        <v>10.5</v>
      </c>
    </row>
    <row r="71" spans="3:5" x14ac:dyDescent="0.2">
      <c r="C71" s="45" t="s">
        <v>555</v>
      </c>
      <c r="D71" s="46"/>
      <c r="E71" s="8">
        <f>IF(COUNTIFS($A$4:$A$54,"B*",$C$4:$C$54,"&lt;&gt;")=0,"",AVERAGEIFS($O$4:$O$54,$A$4:$A$54,"B*",$C$4:$C$54,"&lt;&gt;"))</f>
        <v>9.6875</v>
      </c>
    </row>
    <row r="72" spans="3:5" x14ac:dyDescent="0.2">
      <c r="C72" s="45" t="s">
        <v>556</v>
      </c>
      <c r="D72" s="46"/>
      <c r="E72" s="8">
        <f>IF(COUNTIFS($A$4:$A$54,"C*",$C$4:$C$54,"&lt;&gt;")=0,"",AVERAGEIFS($O$4:$O$54,$A$4:$A$54,"C*",$C$4:$C$54,"&lt;&gt;"))</f>
        <v>6.625</v>
      </c>
    </row>
    <row r="73" spans="3:5" x14ac:dyDescent="0.2">
      <c r="C73" s="45" t="s">
        <v>557</v>
      </c>
      <c r="D73" s="46"/>
      <c r="E73" s="8">
        <f>IF(COUNTIFS($A$4:$A$54,"D*",$C$4:$C$54,"&lt;&gt;")=0,"",AVERAGEIFS($O$4:$O$54,$A$4:$A$54,"D*",$C$4:$C$54,"&lt;&gt;"))</f>
        <v>10.285714285714286</v>
      </c>
    </row>
    <row r="74" spans="3:5" x14ac:dyDescent="0.2">
      <c r="C74" s="45" t="s">
        <v>558</v>
      </c>
      <c r="D74" s="46"/>
      <c r="E74" s="8">
        <f>IF(COUNTIFS($A$4:$A$54,"E*",$C$4:$C$54,"&lt;&gt;")=0,"",AVERAGEIFS($O$4:$O$54,$A$4:$A$54,"E*",$C$4:$C$54,"&lt;&gt;"))</f>
        <v>5.8571428571428568</v>
      </c>
    </row>
    <row r="75" spans="3:5" x14ac:dyDescent="0.2">
      <c r="C75" s="45" t="s">
        <v>559</v>
      </c>
      <c r="D75" s="46"/>
      <c r="E75" s="8">
        <f>IF(COUNTIF($C$4:$C$54,"&lt;&gt;")=0,"",AVERAGEIFS($O$4:$O$54,$C$4:$C$54,"&lt;&gt;"))</f>
        <v>8.6184210526315788</v>
      </c>
    </row>
    <row r="76" spans="3:5" x14ac:dyDescent="0.2">
      <c r="C76" s="45" t="s">
        <v>560</v>
      </c>
      <c r="D76" s="46"/>
      <c r="E76" s="8" t="str">
        <f>IF(E75="","",IF(E75&lt;3,"Very Low",IF(E75&lt;6,"Low",IF(E75&lt;9,"Medium",IF(E75&lt;12,"Medium-High","High")))))</f>
        <v>Medium</v>
      </c>
    </row>
    <row r="77" spans="3:5" x14ac:dyDescent="0.2">
      <c r="C77" s="51" t="s">
        <v>561</v>
      </c>
      <c r="D77" s="52"/>
      <c r="E77" s="9" t="str">
        <f>IF(COUNT($E$70:$E$74)=0,"",IF($E$70=MIN($E$70:$E$74),"A",IF($E$71=MIN($E$70:$E$74),"B",IF($E$72=MIN($E$70:$E$74),"C",IF($E$73=MIN($E$70:$E$74),"D","E")))))</f>
        <v>E</v>
      </c>
    </row>
  </sheetData>
  <mergeCells count="20">
    <mergeCell ref="B25:R25"/>
    <mergeCell ref="B3:R3"/>
    <mergeCell ref="B46:R46"/>
    <mergeCell ref="C73:D73"/>
    <mergeCell ref="C75:D75"/>
    <mergeCell ref="B8:R8"/>
    <mergeCell ref="B14:R14"/>
    <mergeCell ref="C59:G59"/>
    <mergeCell ref="C71:D71"/>
    <mergeCell ref="C69:E69"/>
    <mergeCell ref="C70:D70"/>
    <mergeCell ref="B19:R19"/>
    <mergeCell ref="B40:R40"/>
    <mergeCell ref="C72:D72"/>
    <mergeCell ref="B30:R30"/>
    <mergeCell ref="B36:R36"/>
    <mergeCell ref="C77:D77"/>
    <mergeCell ref="B50:R50"/>
    <mergeCell ref="C74:D74"/>
    <mergeCell ref="C76:D76"/>
  </mergeCells>
  <conditionalFormatting sqref="O4:O60">
    <cfRule type="colorScale" priority="11">
      <colorScale>
        <cfvo type="num" val="0"/>
        <cfvo type="percentile" val="50"/>
        <cfvo type="num" val="25"/>
        <color rgb="FF73FB79"/>
        <color rgb="FFFFFD78"/>
        <color rgb="FFFF2600"/>
      </colorScale>
    </cfRule>
  </conditionalFormatting>
  <conditionalFormatting sqref="P4:P54">
    <cfRule type="cellIs" dxfId="15" priority="12" operator="equal">
      <formula>"No Review"</formula>
    </cfRule>
    <cfRule type="cellIs" dxfId="14" priority="13" operator="equal">
      <formula>"Review Required"</formula>
    </cfRule>
  </conditionalFormatting>
  <dataValidations count="1">
    <dataValidation type="list" showInputMessage="1" showErrorMessage="1" sqref="M4:M67" xr:uid="{00000000-0002-0000-0500-000000000000}">
      <formula1>"Critical–Fast,Operational–Medium,Background–Slow,Evergreen–No Penalty"</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2"/>
  <sheetViews>
    <sheetView topLeftCell="I1" workbookViewId="0">
      <selection activeCell="R32" sqref="R32"/>
    </sheetView>
  </sheetViews>
  <sheetFormatPr baseColWidth="10" defaultColWidth="8.83203125" defaultRowHeight="15" x14ac:dyDescent="0.2"/>
  <cols>
    <col min="1" max="1" width="13.6640625" customWidth="1"/>
    <col min="2" max="2" width="255.6640625" customWidth="1"/>
    <col min="3" max="5" width="15.83203125" customWidth="1"/>
    <col min="6" max="6" width="18.6640625" customWidth="1"/>
    <col min="7" max="7" width="23.5" customWidth="1"/>
    <col min="8" max="10" width="15.83203125" customWidth="1"/>
    <col min="11" max="11" width="22.5" style="24" customWidth="1"/>
    <col min="12" max="15" width="15.83203125" customWidth="1"/>
    <col min="16" max="16" width="19.6640625" customWidth="1"/>
    <col min="17" max="17" width="119.33203125" customWidth="1"/>
    <col min="18" max="18" width="69.33203125" customWidth="1"/>
    <col min="19" max="19" width="8.83203125" customWidth="1"/>
    <col min="20" max="23" width="18.5" customWidth="1"/>
  </cols>
  <sheetData>
    <row r="1" spans="1:19" x14ac:dyDescent="0.2">
      <c r="A1" s="1" t="s">
        <v>140</v>
      </c>
      <c r="B1" s="1" t="s">
        <v>141</v>
      </c>
      <c r="C1" s="1" t="s">
        <v>142</v>
      </c>
      <c r="D1" s="1" t="s">
        <v>143</v>
      </c>
      <c r="E1" s="1" t="s">
        <v>144</v>
      </c>
      <c r="F1" s="1" t="s">
        <v>145</v>
      </c>
      <c r="G1" s="1" t="s">
        <v>146</v>
      </c>
      <c r="H1" s="1" t="s">
        <v>147</v>
      </c>
      <c r="I1" s="1" t="s">
        <v>148</v>
      </c>
      <c r="J1" s="1" t="s">
        <v>149</v>
      </c>
      <c r="K1" s="22" t="s">
        <v>150</v>
      </c>
      <c r="L1" s="1" t="s">
        <v>151</v>
      </c>
      <c r="M1" s="1" t="s">
        <v>152</v>
      </c>
      <c r="N1" s="1" t="s">
        <v>153</v>
      </c>
      <c r="O1" s="1" t="s">
        <v>154</v>
      </c>
      <c r="P1" s="1" t="s">
        <v>155</v>
      </c>
      <c r="Q1" s="1" t="s">
        <v>156</v>
      </c>
      <c r="R1" s="1" t="s">
        <v>157</v>
      </c>
      <c r="S1" t="s">
        <v>158</v>
      </c>
    </row>
    <row r="2" spans="1:19" x14ac:dyDescent="0.2">
      <c r="A2" s="4"/>
      <c r="B2" s="5" t="s">
        <v>1583</v>
      </c>
      <c r="C2" s="4"/>
      <c r="D2" s="4"/>
      <c r="E2" s="4"/>
      <c r="F2" s="4"/>
      <c r="G2" s="4"/>
      <c r="H2" s="4"/>
      <c r="I2" s="4"/>
      <c r="J2" s="4"/>
      <c r="K2" s="23"/>
      <c r="L2" s="4"/>
      <c r="M2" s="4"/>
      <c r="N2" s="4"/>
      <c r="O2" s="4"/>
      <c r="P2" s="4"/>
      <c r="Q2" s="4"/>
      <c r="R2" s="4"/>
    </row>
    <row r="3" spans="1:19" x14ac:dyDescent="0.2">
      <c r="A3" s="3"/>
      <c r="B3" s="42"/>
      <c r="C3" s="43"/>
      <c r="D3" s="43"/>
      <c r="E3" s="43"/>
      <c r="F3" s="43"/>
      <c r="G3" s="43"/>
      <c r="H3" s="43"/>
      <c r="I3" s="43"/>
      <c r="J3" s="43"/>
      <c r="K3" s="44"/>
      <c r="L3" s="43"/>
      <c r="M3" s="43"/>
      <c r="N3" s="43"/>
      <c r="O3" s="43"/>
      <c r="P3" s="43"/>
      <c r="Q3" s="43"/>
      <c r="R3" s="43"/>
    </row>
    <row r="4" spans="1:19" x14ac:dyDescent="0.2">
      <c r="A4" t="s">
        <v>160</v>
      </c>
      <c r="B4" t="s">
        <v>1584</v>
      </c>
      <c r="C4" t="s">
        <v>1585</v>
      </c>
      <c r="D4" t="s">
        <v>174</v>
      </c>
      <c r="E4">
        <f>IF(C4="Clear and credible utility/business model",0,IF(C4="Partially clear with some gaps",10,IF(C4="Weak or mainly narrative with little substance",20,IF(C4="Unknown",10,""))))</f>
        <v>10</v>
      </c>
      <c r="F4">
        <f>IF(D4="High",0,IF(D4="Medium",0.05,IF(D4="Low",0.1,IF(D4="Unknown",0.15,""))))</f>
        <v>0.05</v>
      </c>
      <c r="G4">
        <f>E4*(1+F4)</f>
        <v>10.5</v>
      </c>
      <c r="H4" t="s">
        <v>1586</v>
      </c>
      <c r="I4" t="s">
        <v>1587</v>
      </c>
      <c r="J4" t="s">
        <v>166</v>
      </c>
      <c r="M4" t="s">
        <v>167</v>
      </c>
      <c r="N4">
        <f>IF(M4="","",IF(L4="",INDEX($F$37:$F$40,MATCH(M4,$C$37:$C$40,0)),IF(L4&lt;=INDEX($D$37:$D$40,MATCH(M4,$C$37:$C$40,0)),0,IF(L4&lt;=INDEX($E$37:$E$40,MATCH(M4,$C$37:$C$40,0)),INDEX($F$37:$F$40,MATCH(M4,$C$37:$C$40,0)),INDEX($G$37:$G$40,MATCH(M4,$C$37:$C$40,0))))))</f>
        <v>0</v>
      </c>
      <c r="O4">
        <f>G4+N4</f>
        <v>10.5</v>
      </c>
      <c r="P4" t="s">
        <v>168</v>
      </c>
      <c r="R4" t="s">
        <v>1588</v>
      </c>
    </row>
    <row r="5" spans="1:19" x14ac:dyDescent="0.2">
      <c r="A5" t="s">
        <v>171</v>
      </c>
      <c r="B5" t="s">
        <v>1589</v>
      </c>
      <c r="C5" t="s">
        <v>1590</v>
      </c>
      <c r="D5" t="s">
        <v>163</v>
      </c>
      <c r="E5">
        <f>IF(C5="Primarily utility/usage-driven",0,IF(C5="Mixed (both usage and speculation)",10,IF(C5="Heavily dependent on speculation/narrative",20,IF(C5="Unknown",10,""))))</f>
        <v>20</v>
      </c>
      <c r="F5">
        <f>IF(D5="High",0,IF(D5="Medium",0.05,IF(D5="Low",0.1,IF(D5="Unknown",0.15,""))))</f>
        <v>0</v>
      </c>
      <c r="G5">
        <f>E5*(1+F5)</f>
        <v>20</v>
      </c>
      <c r="H5" t="s">
        <v>1591</v>
      </c>
      <c r="I5" t="s">
        <v>755</v>
      </c>
      <c r="J5" t="s">
        <v>166</v>
      </c>
      <c r="M5" t="s">
        <v>167</v>
      </c>
      <c r="N5">
        <f>IF(M5="","",IF(L5="",INDEX($F$37:$F$40,MATCH(M5,$C$37:$C$40,0)),IF(L5&lt;=INDEX($D$37:$D$40,MATCH(M5,$C$37:$C$40,0)),0,IF(L5&lt;=INDEX($E$37:$E$40,MATCH(M5,$C$37:$C$40,0)),INDEX($F$37:$F$40,MATCH(M5,$C$37:$C$40,0)),INDEX($G$37:$G$40,MATCH(M5,$C$37:$C$40,0))))))</f>
        <v>0</v>
      </c>
      <c r="O5">
        <f>G5+N5</f>
        <v>20</v>
      </c>
      <c r="P5" t="str">
        <f>IF(AND(C5="Heavily dependent on speculation/narrative",OR(D5="High",D5="Medium")),"Review Required","No Review")</f>
        <v>Review Required</v>
      </c>
      <c r="Q5" t="s">
        <v>1592</v>
      </c>
      <c r="R5" t="s">
        <v>1593</v>
      </c>
    </row>
    <row r="6" spans="1:19" x14ac:dyDescent="0.2">
      <c r="A6" t="s">
        <v>179</v>
      </c>
      <c r="B6" t="s">
        <v>1594</v>
      </c>
      <c r="C6" t="s">
        <v>1595</v>
      </c>
      <c r="D6" t="s">
        <v>163</v>
      </c>
      <c r="E6">
        <f>IF(C6="Diversified across multiple drivers",0,IF(C6="Moderately concentrated",10,IF(C6="Highly concentrated in a single driver",20,IF(C6="Unknown",10,""))))</f>
        <v>20</v>
      </c>
      <c r="F6">
        <f>IF(D6="High",0,IF(D6="Medium",0.05,IF(D6="Low",0.1,IF(D6="Unknown",0.15,""))))</f>
        <v>0</v>
      </c>
      <c r="G6">
        <f>E6*(1+F6)</f>
        <v>20</v>
      </c>
      <c r="H6" t="s">
        <v>1596</v>
      </c>
      <c r="I6" t="s">
        <v>1597</v>
      </c>
      <c r="J6" t="s">
        <v>166</v>
      </c>
      <c r="M6" t="s">
        <v>167</v>
      </c>
      <c r="N6">
        <f>IF(M6="","",IF(L6="",INDEX($F$37:$F$40,MATCH(M6,$C$37:$C$40,0)),IF(L6&lt;=INDEX($D$37:$D$40,MATCH(M6,$C$37:$C$40,0)),0,IF(L6&lt;=INDEX($E$37:$E$40,MATCH(M6,$C$37:$C$40,0)),INDEX($F$37:$F$40,MATCH(M6,$C$37:$C$40,0)),INDEX($G$37:$G$40,MATCH(M6,$C$37:$C$40,0))))))</f>
        <v>0</v>
      </c>
      <c r="O6">
        <f>G6+N6</f>
        <v>20</v>
      </c>
      <c r="P6" t="s">
        <v>168</v>
      </c>
      <c r="R6" t="s">
        <v>1598</v>
      </c>
    </row>
    <row r="7" spans="1:19" x14ac:dyDescent="0.2">
      <c r="A7" t="s">
        <v>201</v>
      </c>
      <c r="B7" t="s">
        <v>1599</v>
      </c>
      <c r="C7" t="s">
        <v>1600</v>
      </c>
      <c r="D7" t="s">
        <v>174</v>
      </c>
      <c r="E7">
        <v>0</v>
      </c>
      <c r="F7">
        <f>IF(D7="High",0,IF(D7="Medium",0.05,IF(D7="Low",0.1,IF(D7="Unknown",0.15,""))))</f>
        <v>0.05</v>
      </c>
      <c r="G7">
        <f>E7*(1+F7)</f>
        <v>0</v>
      </c>
      <c r="H7" t="s">
        <v>1601</v>
      </c>
      <c r="I7" t="s">
        <v>1602</v>
      </c>
      <c r="J7" t="s">
        <v>166</v>
      </c>
      <c r="M7" t="s">
        <v>167</v>
      </c>
      <c r="N7">
        <f>IF(M7="","",IF(L7="",INDEX($F$37:$F$40,MATCH(M7,$C$37:$C$40,0)),IF(L7&lt;=INDEX($D$37:$D$40,MATCH(M7,$C$37:$C$40,0)),0,IF(L7&lt;=INDEX($E$37:$E$40,MATCH(M7,$C$37:$C$40,0)),INDEX($F$37:$F$40,MATCH(M7,$C$37:$C$40,0)),INDEX($G$37:$G$40,MATCH(M7,$C$37:$C$40,0))))))</f>
        <v>0</v>
      </c>
      <c r="O7">
        <f>G7+N7</f>
        <v>0</v>
      </c>
      <c r="P7" t="s">
        <v>168</v>
      </c>
      <c r="Q7" t="s">
        <v>871</v>
      </c>
      <c r="R7" t="s">
        <v>1603</v>
      </c>
    </row>
    <row r="8" spans="1:19" x14ac:dyDescent="0.2">
      <c r="A8" s="4"/>
      <c r="B8" s="5" t="s">
        <v>1604</v>
      </c>
      <c r="C8" s="4"/>
      <c r="D8" s="4"/>
      <c r="E8" s="4"/>
      <c r="F8" s="4"/>
      <c r="G8" s="4"/>
      <c r="H8" s="4"/>
      <c r="I8" s="4"/>
      <c r="J8" s="4"/>
      <c r="K8" s="23"/>
      <c r="L8" s="4"/>
      <c r="M8" s="4"/>
      <c r="N8" s="4" t="str">
        <f>IF(M8="","",IF(L8="",INDEX($F$37:$F$40,MATCH(M8,$C$37:$C$40,0)),IF(L8&lt;=INDEX($D$37:$D$40,MATCH(M8,$C$37:$C$40,0)),0,IF(L8&lt;=INDEX($E$37:$E$40,MATCH(M8,$C$37:$C$40,0)),INDEX($F$37:$F$40,MATCH(M8,$C$37:$C$40,0)),INDEX($G$37:$G$40,MATCH(M8,$C$37:$C$40,0))))))</f>
        <v/>
      </c>
      <c r="O8" s="4"/>
      <c r="P8" s="4"/>
      <c r="Q8" s="4"/>
      <c r="R8" s="4"/>
    </row>
    <row r="9" spans="1:19" x14ac:dyDescent="0.2">
      <c r="A9" s="3"/>
      <c r="B9" s="42"/>
      <c r="C9" s="43"/>
      <c r="D9" s="43"/>
      <c r="E9" s="43"/>
      <c r="F9" s="43"/>
      <c r="G9" s="43"/>
      <c r="H9" s="43"/>
      <c r="I9" s="43"/>
      <c r="J9" s="43"/>
      <c r="K9" s="44"/>
      <c r="L9" s="43"/>
      <c r="M9" s="43"/>
      <c r="N9" s="43"/>
      <c r="O9" s="43"/>
      <c r="P9" s="43"/>
      <c r="Q9" s="43"/>
      <c r="R9" s="43"/>
    </row>
    <row r="10" spans="1:19" x14ac:dyDescent="0.2">
      <c r="A10" t="s">
        <v>245</v>
      </c>
      <c r="B10" t="s">
        <v>1605</v>
      </c>
      <c r="C10" t="s">
        <v>1606</v>
      </c>
      <c r="D10" t="s">
        <v>174</v>
      </c>
      <c r="E10">
        <f>IF(C10="No actions identified",0,IF(C10="Minor actions or warnings resolved",10,IF(C10="Significant or ongoing enforcement actions",20,IF(C10="Unknown",10,""))))</f>
        <v>0</v>
      </c>
      <c r="F10">
        <f>IF(D10="High",0,IF(D10="Medium",0.05,IF(D10="Low",0.1,IF(D10="Unknown",0.15,""))))</f>
        <v>0.05</v>
      </c>
      <c r="G10">
        <f>E10*(1+F10)</f>
        <v>0</v>
      </c>
      <c r="H10" t="s">
        <v>1607</v>
      </c>
      <c r="I10" t="s">
        <v>1608</v>
      </c>
      <c r="J10" t="s">
        <v>166</v>
      </c>
      <c r="M10" t="s">
        <v>305</v>
      </c>
      <c r="N10">
        <f>IF(M10="","",IF(L10="",INDEX($F$37:$F$40,MATCH(M10,$C$37:$C$40,0)),IF(L10&lt;=INDEX($D$37:$D$40,MATCH(M10,$C$37:$C$40,0)),0,IF(L10&lt;=INDEX($E$37:$E$40,MATCH(M10,$C$37:$C$40,0)),INDEX($F$37:$F$40,MATCH(M10,$C$37:$C$40,0)),INDEX($G$37:$G$40,MATCH(M10,$C$37:$C$40,0))))))</f>
        <v>2</v>
      </c>
      <c r="O10">
        <f>G10+N10</f>
        <v>2</v>
      </c>
      <c r="P10" t="str">
        <f>IF(AND(C10="Significant or ongoing enforcement actions",OR(D10="High",D10="Medium")),"Review Required","No Review")</f>
        <v>No Review</v>
      </c>
      <c r="Q10" t="s">
        <v>1609</v>
      </c>
      <c r="R10" t="s">
        <v>1610</v>
      </c>
    </row>
    <row r="11" spans="1:19" x14ac:dyDescent="0.2">
      <c r="A11" t="s">
        <v>252</v>
      </c>
      <c r="B11" t="s">
        <v>1611</v>
      </c>
      <c r="C11" t="s">
        <v>1612</v>
      </c>
      <c r="D11" t="s">
        <v>174</v>
      </c>
      <c r="E11">
        <f>IF(C11="No such issues identified",0,IF(C11="Some allegations but contested/resolved",10,IF(C11="Clear or repeated findings of serious misconduct",20,IF(C11="Unknown",10,""))))</f>
        <v>10</v>
      </c>
      <c r="F11">
        <f>IF(D11="High",0,IF(D11="Medium",0.05,IF(D11="Low",0.1,IF(D11="Unknown",0.15,""))))</f>
        <v>0.05</v>
      </c>
      <c r="G11">
        <f>E11*(1+F11)</f>
        <v>10.5</v>
      </c>
      <c r="H11" t="s">
        <v>1613</v>
      </c>
      <c r="I11" t="s">
        <v>1614</v>
      </c>
      <c r="J11" t="s">
        <v>166</v>
      </c>
      <c r="M11" t="s">
        <v>305</v>
      </c>
      <c r="N11">
        <f>IF(M11="","",IF(L11="",INDEX($F$37:$F$40,MATCH(M11,$C$37:$C$40,0)),IF(L11&lt;=INDEX($D$37:$D$40,MATCH(M11,$C$37:$C$40,0)),0,IF(L11&lt;=INDEX($E$37:$E$40,MATCH(M11,$C$37:$C$40,0)),INDEX($F$37:$F$40,MATCH(M11,$C$37:$C$40,0)),INDEX($G$37:$G$40,MATCH(M11,$C$37:$C$40,0))))))</f>
        <v>2</v>
      </c>
      <c r="O11">
        <f>G11+N11</f>
        <v>12.5</v>
      </c>
      <c r="P11" t="str">
        <f>IF(AND(C11="Clear or repeated findings of serious misconduct",OR(D11="High",D11="Medium")),"Review Required","No Review")</f>
        <v>No Review</v>
      </c>
      <c r="Q11" t="s">
        <v>1615</v>
      </c>
      <c r="R11" t="s">
        <v>1616</v>
      </c>
    </row>
    <row r="12" spans="1:19" x14ac:dyDescent="0.2">
      <c r="A12" t="s">
        <v>257</v>
      </c>
      <c r="B12" t="s">
        <v>1617</v>
      </c>
      <c r="C12" t="s">
        <v>1618</v>
      </c>
      <c r="D12" t="s">
        <v>163</v>
      </c>
      <c r="E12">
        <f>IF(C12="No material conflicts identified",0,IF(C12="Some concerns but mitigated or disclosed",10,IF(C12="Significant or opaque conflicts/extractive structures",20,IF(C12="Unknown",10,""))))</f>
        <v>20</v>
      </c>
      <c r="F12">
        <f>IF(D12="High",0,IF(D12="Medium",0.05,IF(D12="Low",0.1,IF(D12="Unknown",0.15,""))))</f>
        <v>0</v>
      </c>
      <c r="G12">
        <f>E12*(1+F12)</f>
        <v>20</v>
      </c>
      <c r="H12" t="s">
        <v>1619</v>
      </c>
      <c r="I12" t="s">
        <v>1620</v>
      </c>
      <c r="J12" t="s">
        <v>166</v>
      </c>
      <c r="M12" t="s">
        <v>305</v>
      </c>
      <c r="N12">
        <f>IF(M12="","",IF(L12="",INDEX($F$37:$F$40,MATCH(M12,$C$37:$C$40,0)),IF(L12&lt;=INDEX($D$37:$D$40,MATCH(M12,$C$37:$C$40,0)),0,IF(L12&lt;=INDEX($E$37:$E$40,MATCH(M12,$C$37:$C$40,0)),INDEX($F$37:$F$40,MATCH(M12,$C$37:$C$40,0)),INDEX($G$37:$G$40,MATCH(M12,$C$37:$C$40,0))))))</f>
        <v>2</v>
      </c>
      <c r="O12">
        <f>G12+N12</f>
        <v>22</v>
      </c>
      <c r="P12" t="s">
        <v>168</v>
      </c>
      <c r="R12" t="s">
        <v>1621</v>
      </c>
    </row>
    <row r="13" spans="1:19" x14ac:dyDescent="0.2">
      <c r="A13" t="s">
        <v>621</v>
      </c>
      <c r="B13" t="s">
        <v>1622</v>
      </c>
      <c r="C13" t="s">
        <v>1623</v>
      </c>
      <c r="D13" t="s">
        <v>174</v>
      </c>
      <c r="E13">
        <v>0</v>
      </c>
      <c r="F13">
        <f>IF(D13="High",0,IF(D13="Medium",0.05,IF(D13="Low",0.1,IF(D13="Unknown",0.15,""))))</f>
        <v>0.05</v>
      </c>
      <c r="G13">
        <f>E13*(1+F13)</f>
        <v>0</v>
      </c>
      <c r="H13" t="s">
        <v>1624</v>
      </c>
      <c r="I13" t="s">
        <v>1625</v>
      </c>
      <c r="J13" t="s">
        <v>166</v>
      </c>
      <c r="M13" t="s">
        <v>305</v>
      </c>
      <c r="N13">
        <f>IF(M13="","",IF(L13="",INDEX($F$37:$F$40,MATCH(M13,$C$37:$C$40,0)),IF(L13&lt;=INDEX($D$37:$D$40,MATCH(M13,$C$37:$C$40,0)),0,IF(L13&lt;=INDEX($E$37:$E$40,MATCH(M13,$C$37:$C$40,0)),INDEX($F$37:$F$40,MATCH(M13,$C$37:$C$40,0)),INDEX($G$37:$G$40,MATCH(M13,$C$37:$C$40,0))))))</f>
        <v>2</v>
      </c>
      <c r="O13">
        <f>G13+N13</f>
        <v>2</v>
      </c>
      <c r="P13" t="s">
        <v>168</v>
      </c>
      <c r="Q13" t="s">
        <v>871</v>
      </c>
      <c r="R13" t="s">
        <v>1626</v>
      </c>
    </row>
    <row r="14" spans="1:19" x14ac:dyDescent="0.2">
      <c r="A14" s="4"/>
      <c r="B14" s="5" t="s">
        <v>1627</v>
      </c>
      <c r="C14" s="4"/>
      <c r="D14" s="4"/>
      <c r="E14" s="4"/>
      <c r="F14" s="4"/>
      <c r="G14" s="4"/>
      <c r="H14" s="4"/>
      <c r="I14" s="4"/>
      <c r="J14" s="4"/>
      <c r="K14" s="23"/>
      <c r="L14" s="4"/>
      <c r="M14" s="4"/>
      <c r="N14" s="4" t="str">
        <f>IF(M14="","",IF(L14="",INDEX($F$37:$F$40,MATCH(M14,$C$37:$C$40,0)),IF(L14&lt;=INDEX($D$37:$D$40,MATCH(M14,$C$37:$C$40,0)),0,IF(L14&lt;=INDEX($E$37:$E$40,MATCH(M14,$C$37:$C$40,0)),INDEX($F$37:$F$40,MATCH(M14,$C$37:$C$40,0)),INDEX($G$37:$G$40,MATCH(M14,$C$37:$C$40,0))))))</f>
        <v/>
      </c>
      <c r="O14" s="4"/>
      <c r="P14" s="4"/>
      <c r="Q14" s="4"/>
      <c r="R14" s="4"/>
    </row>
    <row r="15" spans="1:19" x14ac:dyDescent="0.2">
      <c r="A15" s="3"/>
      <c r="B15" s="42"/>
      <c r="C15" s="43"/>
      <c r="D15" s="43"/>
      <c r="E15" s="43"/>
      <c r="F15" s="43"/>
      <c r="G15" s="43"/>
      <c r="H15" s="43"/>
      <c r="I15" s="43"/>
      <c r="J15" s="43"/>
      <c r="K15" s="44"/>
      <c r="L15" s="43"/>
      <c r="M15" s="43"/>
      <c r="N15" s="43"/>
      <c r="O15" s="43"/>
      <c r="P15" s="43"/>
      <c r="Q15" s="43"/>
      <c r="R15" s="43"/>
    </row>
    <row r="16" spans="1:19" x14ac:dyDescent="0.2">
      <c r="A16" t="s">
        <v>628</v>
      </c>
      <c r="B16" t="s">
        <v>1628</v>
      </c>
      <c r="C16" t="s">
        <v>1629</v>
      </c>
      <c r="D16" t="s">
        <v>163</v>
      </c>
      <c r="E16">
        <f>IF(C16="Generally positive or balanced",0,IF(C16="Mixed with some critical pieces",10,IF(C16="Predominantly negative or scandal-focused",20,IF(C16="Unknown",10,""))))</f>
        <v>20</v>
      </c>
      <c r="F16">
        <f>IF(D16="High",0,IF(D16="Medium",0.05,IF(D16="Low",0.1,IF(D16="Unknown",0.15,""))))</f>
        <v>0</v>
      </c>
      <c r="G16">
        <f>E16*(1+F16)</f>
        <v>20</v>
      </c>
      <c r="H16" t="s">
        <v>1630</v>
      </c>
      <c r="I16" t="s">
        <v>1631</v>
      </c>
      <c r="J16" t="s">
        <v>166</v>
      </c>
      <c r="M16" t="s">
        <v>184</v>
      </c>
      <c r="N16">
        <f>IF(M16="","",IF(L16="",INDEX($F$37:$F$40,MATCH(M16,$C$37:$C$40,0)),IF(L16&lt;=INDEX($D$37:$D$40,MATCH(M16,$C$37:$C$40,0)),0,IF(L16&lt;=INDEX($E$37:$E$40,MATCH(M16,$C$37:$C$40,0)),INDEX($F$37:$F$40,MATCH(M16,$C$37:$C$40,0)),INDEX($G$37:$G$40,MATCH(M16,$C$37:$C$40,0))))))</f>
        <v>3</v>
      </c>
      <c r="O16">
        <f>G16+N16</f>
        <v>23</v>
      </c>
      <c r="P16" t="s">
        <v>168</v>
      </c>
      <c r="R16" t="s">
        <v>1632</v>
      </c>
    </row>
    <row r="17" spans="1:18" x14ac:dyDescent="0.2">
      <c r="A17" t="s">
        <v>635</v>
      </c>
      <c r="B17" t="s">
        <v>1633</v>
      </c>
      <c r="C17" t="s">
        <v>1634</v>
      </c>
      <c r="D17" t="s">
        <v>163</v>
      </c>
      <c r="E17">
        <f>IF(C17="No major controversies identified",0,IF(C17="Some controversy but limited in scope",10,IF(C17="Major or repeated controversies affecting many users",20,IF(C17="Unknown",10,""))))</f>
        <v>20</v>
      </c>
      <c r="F17">
        <f>IF(D17="High",0,IF(D17="Medium",0.05,IF(D17="Low",0.1,IF(D17="Unknown",0.15,""))))</f>
        <v>0</v>
      </c>
      <c r="G17">
        <f>E17*(1+F17)</f>
        <v>20</v>
      </c>
      <c r="H17" t="s">
        <v>1635</v>
      </c>
      <c r="I17" t="s">
        <v>1636</v>
      </c>
      <c r="J17" t="s">
        <v>166</v>
      </c>
      <c r="M17" t="s">
        <v>184</v>
      </c>
      <c r="N17">
        <f>IF(M17="","",IF(L17="",INDEX($F$37:$F$40,MATCH(M17,$C$37:$C$40,0)),IF(L17&lt;=INDEX($D$37:$D$40,MATCH(M17,$C$37:$C$40,0)),0,IF(L17&lt;=INDEX($E$37:$E$40,MATCH(M17,$C$37:$C$40,0)),INDEX($F$37:$F$40,MATCH(M17,$C$37:$C$40,0)),INDEX($G$37:$G$40,MATCH(M17,$C$37:$C$40,0))))))</f>
        <v>3</v>
      </c>
      <c r="O17">
        <f>G17+N17</f>
        <v>23</v>
      </c>
      <c r="P17" t="str">
        <f>IF(AND(C17="Major or repeated controversies affecting many users",OR(D17="High",D17="Medium")),"Review Required","No Review")</f>
        <v>Review Required</v>
      </c>
      <c r="Q17" t="s">
        <v>1637</v>
      </c>
      <c r="R17" t="s">
        <v>1638</v>
      </c>
    </row>
    <row r="18" spans="1:18" x14ac:dyDescent="0.2">
      <c r="A18" t="s">
        <v>638</v>
      </c>
      <c r="B18" t="s">
        <v>1639</v>
      </c>
      <c r="C18" t="s">
        <v>1640</v>
      </c>
      <c r="D18" t="s">
        <v>174</v>
      </c>
      <c r="E18">
        <f>IF(C18="Generally positive or neutral",0,IF(C18="Mixed with some pattern of complaints",10,IF(C18="Predominantly negative or repeated serious complaints",20,IF(C18="Unknown",10,""))))</f>
        <v>10</v>
      </c>
      <c r="F18">
        <f>IF(D18="High",0,IF(D18="Medium",0.05,IF(D18="Low",0.1,IF(D18="Unknown",0.15,""))))</f>
        <v>0.05</v>
      </c>
      <c r="G18">
        <f>E18*(1+F18)</f>
        <v>10.5</v>
      </c>
      <c r="H18" t="s">
        <v>1641</v>
      </c>
      <c r="I18" t="s">
        <v>1642</v>
      </c>
      <c r="J18" t="s">
        <v>250</v>
      </c>
      <c r="M18" t="s">
        <v>184</v>
      </c>
      <c r="N18">
        <f>IF(M18="","",IF(L18="",INDEX($F$37:$F$40,MATCH(M18,$C$37:$C$40,0)),IF(L18&lt;=INDEX($D$37:$D$40,MATCH(M18,$C$37:$C$40,0)),0,IF(L18&lt;=INDEX($E$37:$E$40,MATCH(M18,$C$37:$C$40,0)),INDEX($F$37:$F$40,MATCH(M18,$C$37:$C$40,0)),INDEX($G$37:$G$40,MATCH(M18,$C$37:$C$40,0))))))</f>
        <v>3</v>
      </c>
      <c r="O18">
        <f>G18+N18</f>
        <v>13.5</v>
      </c>
      <c r="P18" t="str">
        <f>IF(AND(C18="Predominantly negative or repeated serious complaints",OR(D18="High",D18="Medium")),"Review Required","No Review")</f>
        <v>No Review</v>
      </c>
      <c r="Q18" t="s">
        <v>1643</v>
      </c>
      <c r="R18" t="s">
        <v>1644</v>
      </c>
    </row>
    <row r="19" spans="1:18" x14ac:dyDescent="0.2">
      <c r="A19" t="s">
        <v>665</v>
      </c>
      <c r="B19" t="s">
        <v>1645</v>
      </c>
      <c r="C19" t="s">
        <v>1646</v>
      </c>
      <c r="D19" t="s">
        <v>163</v>
      </c>
      <c r="E19">
        <v>0</v>
      </c>
      <c r="F19">
        <f>IF(D19="High",0,IF(D19="Medium",0.05,IF(D19="Low",0.1,IF(D19="Unknown",0.15,""))))</f>
        <v>0</v>
      </c>
      <c r="G19">
        <f>E19*(1+F19)</f>
        <v>0</v>
      </c>
      <c r="H19" t="s">
        <v>1647</v>
      </c>
      <c r="I19" t="s">
        <v>1648</v>
      </c>
      <c r="J19" t="s">
        <v>166</v>
      </c>
      <c r="M19" t="s">
        <v>305</v>
      </c>
      <c r="N19">
        <f>IF(M19="","",IF(L19="",INDEX($F$37:$F$40,MATCH(M19,$C$37:$C$40,0)),IF(L19&lt;=INDEX($D$37:$D$40,MATCH(M19,$C$37:$C$40,0)),0,IF(L19&lt;=INDEX($E$37:$E$40,MATCH(M19,$C$37:$C$40,0)),INDEX($F$37:$F$40,MATCH(M19,$C$37:$C$40,0)),INDEX($G$37:$G$40,MATCH(M19,$C$37:$C$40,0))))))</f>
        <v>2</v>
      </c>
      <c r="O19">
        <f>G19+N19</f>
        <v>2</v>
      </c>
      <c r="P19" t="s">
        <v>168</v>
      </c>
      <c r="Q19" t="s">
        <v>871</v>
      </c>
      <c r="R19" t="s">
        <v>1649</v>
      </c>
    </row>
    <row r="20" spans="1:18" x14ac:dyDescent="0.2">
      <c r="A20" s="4"/>
      <c r="B20" s="5" t="s">
        <v>1650</v>
      </c>
      <c r="C20" s="4"/>
      <c r="D20" s="4"/>
      <c r="E20" s="4"/>
      <c r="F20" s="4"/>
      <c r="G20" s="4"/>
      <c r="H20" s="4"/>
      <c r="I20" s="4"/>
      <c r="J20" s="4"/>
      <c r="K20" s="23"/>
      <c r="L20" s="4"/>
      <c r="M20" s="4"/>
      <c r="N20" s="4" t="str">
        <f>IF(M20="","",IF(L20="",INDEX($F$37:$F$40,MATCH(M20,$C$37:$C$40,0)),IF(L20&lt;=INDEX($D$37:$D$40,MATCH(M20,$C$37:$C$40,0)),0,IF(L20&lt;=INDEX($E$37:$E$40,MATCH(M20,$C$37:$C$40,0)),INDEX($F$37:$F$40,MATCH(M20,$C$37:$C$40,0)),INDEX($G$37:$G$40,MATCH(M20,$C$37:$C$40,0))))))</f>
        <v/>
      </c>
      <c r="O20" s="4"/>
      <c r="P20" s="4"/>
      <c r="Q20" s="4"/>
      <c r="R20" s="4"/>
    </row>
    <row r="21" spans="1:18" x14ac:dyDescent="0.2">
      <c r="A21" s="3"/>
      <c r="B21" s="42"/>
      <c r="C21" s="43"/>
      <c r="D21" s="43"/>
      <c r="E21" s="43"/>
      <c r="F21" s="43"/>
      <c r="G21" s="43"/>
      <c r="H21" s="43"/>
      <c r="I21" s="43"/>
      <c r="J21" s="43"/>
      <c r="K21" s="44"/>
      <c r="L21" s="43"/>
      <c r="M21" s="43"/>
      <c r="N21" s="43"/>
      <c r="O21" s="43"/>
      <c r="P21" s="43"/>
      <c r="Q21" s="43"/>
      <c r="R21" s="43"/>
    </row>
    <row r="22" spans="1:18" x14ac:dyDescent="0.2">
      <c r="A22" t="s">
        <v>901</v>
      </c>
      <c r="B22" t="s">
        <v>1651</v>
      </c>
      <c r="C22" t="s">
        <v>1652</v>
      </c>
      <c r="D22" t="s">
        <v>163</v>
      </c>
      <c r="E22">
        <f>IF(C22="Low impact (e.g., PoS or similar)",0,IF(C22="Moderate impact",10,IF(C22="High impact (e.g., PoW with high energy use)",20,IF(C22="Unknown",10,""))))</f>
        <v>0</v>
      </c>
      <c r="F22">
        <f>IF(D22="High",0,IF(D22="Medium",0.05,IF(D22="Low",0.1,IF(D22="Unknown",0.15,""))))</f>
        <v>0</v>
      </c>
      <c r="G22">
        <f>E22*(1+F22)</f>
        <v>0</v>
      </c>
      <c r="H22" t="s">
        <v>1653</v>
      </c>
      <c r="I22" t="s">
        <v>1654</v>
      </c>
      <c r="J22" t="s">
        <v>166</v>
      </c>
      <c r="M22" t="s">
        <v>305</v>
      </c>
      <c r="N22">
        <f>IF(M22="","",IF(L22="",INDEX($F$37:$F$40,MATCH(M22,$C$37:$C$40,0)),IF(L22&lt;=INDEX($D$37:$D$40,MATCH(M22,$C$37:$C$40,0)),0,IF(L22&lt;=INDEX($E$37:$E$40,MATCH(M22,$C$37:$C$40,0)),INDEX($F$37:$F$40,MATCH(M22,$C$37:$C$40,0)),INDEX($G$37:$G$40,MATCH(M22,$C$37:$C$40,0))))))</f>
        <v>2</v>
      </c>
      <c r="O22">
        <f>G22+N22</f>
        <v>2</v>
      </c>
      <c r="P22" t="s">
        <v>168</v>
      </c>
      <c r="R22" t="s">
        <v>1655</v>
      </c>
    </row>
    <row r="23" spans="1:18" x14ac:dyDescent="0.2">
      <c r="A23" t="s">
        <v>907</v>
      </c>
      <c r="B23" t="s">
        <v>1656</v>
      </c>
      <c r="C23" t="s">
        <v>1657</v>
      </c>
      <c r="D23" t="s">
        <v>163</v>
      </c>
      <c r="E23">
        <f>IF(C23="No material ESG controversies identified",0,IF(C23="Some ESG criticisms but limited",10,IF(C23="Significant or repeated ESG controversies",20,IF(C23="Unknown",10,""))))</f>
        <v>20</v>
      </c>
      <c r="F23">
        <f>IF(D23="High",0,IF(D23="Medium",0.05,IF(D23="Low",0.1,IF(D23="Unknown",0.15,""))))</f>
        <v>0</v>
      </c>
      <c r="G23">
        <f>E23*(1+F23)</f>
        <v>20</v>
      </c>
      <c r="H23" t="s">
        <v>1658</v>
      </c>
      <c r="I23" t="s">
        <v>1659</v>
      </c>
      <c r="J23" t="s">
        <v>166</v>
      </c>
      <c r="M23" t="s">
        <v>305</v>
      </c>
      <c r="N23">
        <f>IF(M23="","",IF(L23="",INDEX($F$37:$F$40,MATCH(M23,$C$37:$C$40,0)),IF(L23&lt;=INDEX($D$37:$D$40,MATCH(M23,$C$37:$C$40,0)),0,IF(L23&lt;=INDEX($E$37:$E$40,MATCH(M23,$C$37:$C$40,0)),INDEX($F$37:$F$40,MATCH(M23,$C$37:$C$40,0)),INDEX($G$37:$G$40,MATCH(M23,$C$37:$C$40,0))))))</f>
        <v>2</v>
      </c>
      <c r="O23">
        <f>G23+N23</f>
        <v>22</v>
      </c>
      <c r="P23" t="str">
        <f>IF(AND(C23="Significant or repeated ESG controversies",OR(D23="High",D23="Medium")),"Review Required","No Review")</f>
        <v>Review Required</v>
      </c>
      <c r="Q23" t="s">
        <v>1660</v>
      </c>
      <c r="R23" t="s">
        <v>1661</v>
      </c>
    </row>
    <row r="24" spans="1:18" x14ac:dyDescent="0.2">
      <c r="A24" t="s">
        <v>919</v>
      </c>
      <c r="B24" t="s">
        <v>1662</v>
      </c>
      <c r="C24" t="s">
        <v>1663</v>
      </c>
      <c r="D24" t="s">
        <v>174</v>
      </c>
      <c r="E24">
        <v>0</v>
      </c>
      <c r="F24">
        <f>IF(D24="High",0,IF(D24="Medium",0.05,IF(D24="Low",0.1,IF(D24="Unknown",0.15,""))))</f>
        <v>0.05</v>
      </c>
      <c r="G24">
        <f>E24*(1+F24)</f>
        <v>0</v>
      </c>
      <c r="H24" t="s">
        <v>1664</v>
      </c>
      <c r="I24" t="s">
        <v>1665</v>
      </c>
      <c r="J24" t="s">
        <v>166</v>
      </c>
      <c r="M24" t="s">
        <v>305</v>
      </c>
      <c r="N24">
        <f>IF(M24="","",IF(L24="",INDEX($F$37:$F$40,MATCH(M24,$C$37:$C$40,0)),IF(L24&lt;=INDEX($D$37:$D$40,MATCH(M24,$C$37:$C$40,0)),0,IF(L24&lt;=INDEX($E$37:$E$40,MATCH(M24,$C$37:$C$40,0)),INDEX($F$37:$F$40,MATCH(M24,$C$37:$C$40,0)),INDEX($G$37:$G$40,MATCH(M24,$C$37:$C$40,0))))))</f>
        <v>2</v>
      </c>
      <c r="O24">
        <f>G24+N24</f>
        <v>2</v>
      </c>
      <c r="P24" t="s">
        <v>168</v>
      </c>
      <c r="Q24" t="s">
        <v>871</v>
      </c>
      <c r="R24" t="s">
        <v>1666</v>
      </c>
    </row>
    <row r="25" spans="1:18" x14ac:dyDescent="0.2">
      <c r="A25" s="4"/>
      <c r="B25" s="5" t="s">
        <v>1667</v>
      </c>
      <c r="C25" s="4"/>
      <c r="D25" s="4"/>
      <c r="E25" s="4"/>
      <c r="F25" s="4"/>
      <c r="G25" s="4"/>
      <c r="H25" s="4"/>
      <c r="I25" s="4"/>
      <c r="J25" s="4"/>
      <c r="K25" s="23"/>
      <c r="L25" s="4"/>
      <c r="M25" s="4"/>
      <c r="N25" s="4" t="str">
        <f>IF(M25="","",IF(L25="",INDEX($F$37:$F$40,MATCH(M25,$C$37:$C$40,0)),IF(L25&lt;=INDEX($D$37:$D$40,MATCH(M25,$C$37:$C$40,0)),0,IF(L25&lt;=INDEX($E$37:$E$40,MATCH(M25,$C$37:$C$40,0)),INDEX($F$37:$F$40,MATCH(M25,$C$37:$C$40,0)),INDEX($G$37:$G$40,MATCH(M25,$C$37:$C$40,0))))))</f>
        <v/>
      </c>
      <c r="O25" s="4"/>
      <c r="P25" s="4"/>
      <c r="Q25" s="4"/>
      <c r="R25" s="4"/>
    </row>
    <row r="26" spans="1:18" x14ac:dyDescent="0.2">
      <c r="A26" s="3"/>
      <c r="B26" s="42"/>
      <c r="C26" s="43"/>
      <c r="D26" s="43"/>
      <c r="E26" s="43"/>
      <c r="F26" s="43"/>
      <c r="G26" s="43"/>
      <c r="H26" s="43"/>
      <c r="I26" s="43"/>
      <c r="J26" s="43"/>
      <c r="K26" s="44"/>
      <c r="L26" s="43"/>
      <c r="M26" s="43"/>
      <c r="N26" s="43"/>
      <c r="O26" s="43"/>
      <c r="P26" s="43"/>
      <c r="Q26" s="43"/>
      <c r="R26" s="43"/>
    </row>
    <row r="27" spans="1:18" x14ac:dyDescent="0.2">
      <c r="A27" t="s">
        <v>444</v>
      </c>
      <c r="B27" t="s">
        <v>1668</v>
      </c>
      <c r="C27" t="s">
        <v>1669</v>
      </c>
      <c r="D27" t="s">
        <v>163</v>
      </c>
      <c r="E27">
        <f>IF(C27="Backed/partnered with reputable institutions",0,IF(C27="Mix of reputable and lesser-known partners",10,IF(C27="Mainly low-quality or opaque partners",20,IF(C27="Unknown",10,""))))</f>
        <v>0</v>
      </c>
      <c r="F27">
        <f>IF(D27="High",0,IF(D27="Medium",0.05,IF(D27="Low",0.1,IF(D27="Unknown",0.15,""))))</f>
        <v>0</v>
      </c>
      <c r="G27">
        <f>E27*(1+F27)</f>
        <v>0</v>
      </c>
      <c r="H27" t="s">
        <v>1670</v>
      </c>
      <c r="I27" t="s">
        <v>1671</v>
      </c>
      <c r="J27" t="s">
        <v>166</v>
      </c>
      <c r="M27" t="s">
        <v>167</v>
      </c>
      <c r="N27">
        <f>IF(M27="","",IF(L27="",INDEX($F$37:$F$40,MATCH(M27,$C$37:$C$40,0)),IF(L27&lt;=INDEX($D$37:$D$40,MATCH(M27,$C$37:$C$40,0)),0,IF(L27&lt;=INDEX($E$37:$E$40,MATCH(M27,$C$37:$C$40,0)),INDEX($F$37:$F$40,MATCH(M27,$C$37:$C$40,0)),INDEX($G$37:$G$40,MATCH(M27,$C$37:$C$40,0))))))</f>
        <v>0</v>
      </c>
      <c r="O27">
        <f>G27+N27</f>
        <v>0</v>
      </c>
      <c r="P27" t="s">
        <v>168</v>
      </c>
      <c r="R27" t="s">
        <v>1672</v>
      </c>
    </row>
    <row r="28" spans="1:18" x14ac:dyDescent="0.2">
      <c r="A28" t="s">
        <v>451</v>
      </c>
      <c r="B28" t="s">
        <v>1673</v>
      </c>
      <c r="C28" t="s">
        <v>1674</v>
      </c>
      <c r="D28" t="s">
        <v>174</v>
      </c>
      <c r="E28">
        <f>IF(C28="No such exits identified",0,IF(C28="Some exits for neutral/commercial reasons",10,IF(C28="Exits explicitly citing risk or conduct concerns",20,IF(C28="Unknown",10,""))))</f>
        <v>0</v>
      </c>
      <c r="F28">
        <f>IF(D28="High",0,IF(D28="Medium",0.05,IF(D28="Low",0.1,IF(D28="Unknown",0.15,""))))</f>
        <v>0.05</v>
      </c>
      <c r="G28">
        <f>E28*(1+F28)</f>
        <v>0</v>
      </c>
      <c r="H28" t="s">
        <v>1675</v>
      </c>
      <c r="I28" t="s">
        <v>1676</v>
      </c>
      <c r="J28" t="s">
        <v>166</v>
      </c>
      <c r="M28" t="s">
        <v>184</v>
      </c>
      <c r="N28">
        <f>IF(M28="","",IF(L28="",INDEX($F$37:$F$40,MATCH(M28,$C$37:$C$40,0)),IF(L28&lt;=INDEX($D$37:$D$40,MATCH(M28,$C$37:$C$40,0)),0,IF(L28&lt;=INDEX($E$37:$E$40,MATCH(M28,$C$37:$C$40,0)),INDEX($F$37:$F$40,MATCH(M28,$C$37:$C$40,0)),INDEX($G$37:$G$40,MATCH(M28,$C$37:$C$40,0))))))</f>
        <v>3</v>
      </c>
      <c r="O28">
        <f>G28+N28</f>
        <v>3</v>
      </c>
      <c r="P28" t="str">
        <f>IF(AND(C28="Exits explicitly citing risk or conduct concerns",OR(D28="High",D28="Medium")),"Review Required","No Review")</f>
        <v>No Review</v>
      </c>
      <c r="Q28" t="s">
        <v>1677</v>
      </c>
      <c r="R28" t="s">
        <v>1678</v>
      </c>
    </row>
    <row r="29" spans="1:18" x14ac:dyDescent="0.2">
      <c r="A29" t="s">
        <v>457</v>
      </c>
      <c r="B29" t="s">
        <v>1679</v>
      </c>
      <c r="C29" t="s">
        <v>1680</v>
      </c>
      <c r="D29" t="s">
        <v>174</v>
      </c>
      <c r="E29">
        <f>IF(C29="Some positive or neutral inclusion/partnership",0,IF(C29="No material association identified",10,IF(C29="Public distancing or explicit exclusion",20,IF(C29="Unknown",10,""))))</f>
        <v>10</v>
      </c>
      <c r="F29">
        <f>IF(D29="High",0,IF(D29="Medium",0.05,IF(D29="Low",0.1,IF(D29="Unknown",0.15,""))))</f>
        <v>0.05</v>
      </c>
      <c r="G29">
        <f>E29*(1+F29)</f>
        <v>10.5</v>
      </c>
      <c r="H29" t="s">
        <v>1681</v>
      </c>
      <c r="I29" t="s">
        <v>1682</v>
      </c>
      <c r="J29" t="s">
        <v>166</v>
      </c>
      <c r="M29" t="s">
        <v>167</v>
      </c>
      <c r="N29">
        <f>IF(M29="","",IF(L29="",INDEX($F$37:$F$40,MATCH(M29,$C$37:$C$40,0)),IF(L29&lt;=INDEX($D$37:$D$40,MATCH(M29,$C$37:$C$40,0)),0,IF(L29&lt;=INDEX($E$37:$E$40,MATCH(M29,$C$37:$C$40,0)),INDEX($F$37:$F$40,MATCH(M29,$C$37:$C$40,0)),INDEX($G$37:$G$40,MATCH(M29,$C$37:$C$40,0))))))</f>
        <v>0</v>
      </c>
      <c r="O29">
        <f>G29+N29</f>
        <v>10.5</v>
      </c>
      <c r="P29" t="str">
        <f>IF(AND(C29="Public distancing or explicit exclusion",OR(D29="High",D29="Medium")),"Review Required","No Review")</f>
        <v>No Review</v>
      </c>
      <c r="Q29" t="s">
        <v>1683</v>
      </c>
      <c r="R29" t="s">
        <v>1684</v>
      </c>
    </row>
    <row r="30" spans="1:18" x14ac:dyDescent="0.2">
      <c r="A30" t="s">
        <v>467</v>
      </c>
      <c r="B30" t="s">
        <v>1685</v>
      </c>
      <c r="C30" t="s">
        <v>1686</v>
      </c>
      <c r="D30" t="s">
        <v>174</v>
      </c>
      <c r="E30">
        <v>0</v>
      </c>
      <c r="F30">
        <f>IF(D30="High",0,IF(D30="Medium",0.05,IF(D30="Low",0.1,IF(D30="Unknown",0.15,""))))</f>
        <v>0.05</v>
      </c>
      <c r="G30">
        <f>E30*(1+F30)</f>
        <v>0</v>
      </c>
      <c r="H30" t="s">
        <v>1687</v>
      </c>
      <c r="I30" t="s">
        <v>1688</v>
      </c>
      <c r="J30" t="s">
        <v>166</v>
      </c>
      <c r="M30" t="s">
        <v>167</v>
      </c>
      <c r="N30">
        <f>IF(M30="","",IF(L30="",INDEX($F$37:$F$40,MATCH(M30,$C$37:$C$40,0)),IF(L30&lt;=INDEX($D$37:$D$40,MATCH(M30,$C$37:$C$40,0)),0,IF(L30&lt;=INDEX($E$37:$E$40,MATCH(M30,$C$37:$C$40,0)),INDEX($F$37:$F$40,MATCH(M30,$C$37:$C$40,0)),INDEX($G$37:$G$40,MATCH(M30,$C$37:$C$40,0))))))</f>
        <v>0</v>
      </c>
      <c r="O30">
        <f>G30+N30</f>
        <v>0</v>
      </c>
      <c r="P30" t="s">
        <v>168</v>
      </c>
      <c r="Q30" t="s">
        <v>871</v>
      </c>
      <c r="R30" t="s">
        <v>1689</v>
      </c>
    </row>
    <row r="35" spans="3:7" x14ac:dyDescent="0.2">
      <c r="C35" s="54" t="s">
        <v>548</v>
      </c>
      <c r="D35" s="55"/>
      <c r="E35" s="55"/>
      <c r="F35" s="55"/>
      <c r="G35" s="56"/>
    </row>
    <row r="36" spans="3:7" x14ac:dyDescent="0.2">
      <c r="C36" s="31" t="s">
        <v>152</v>
      </c>
      <c r="D36" s="32" t="s">
        <v>549</v>
      </c>
      <c r="E36" s="32" t="s">
        <v>550</v>
      </c>
      <c r="F36" s="32" t="s">
        <v>551</v>
      </c>
      <c r="G36" s="32" t="s">
        <v>552</v>
      </c>
    </row>
    <row r="37" spans="3:7" x14ac:dyDescent="0.2">
      <c r="C37" s="33" t="s">
        <v>276</v>
      </c>
      <c r="D37" s="34">
        <v>90</v>
      </c>
      <c r="E37" s="34">
        <v>180</v>
      </c>
      <c r="F37" s="34">
        <v>5</v>
      </c>
      <c r="G37" s="35">
        <v>10</v>
      </c>
    </row>
    <row r="38" spans="3:7" x14ac:dyDescent="0.2">
      <c r="C38" s="36" t="s">
        <v>184</v>
      </c>
      <c r="D38" s="34">
        <v>180</v>
      </c>
      <c r="E38" s="34">
        <v>365</v>
      </c>
      <c r="F38" s="34">
        <v>3</v>
      </c>
      <c r="G38" s="35">
        <v>6</v>
      </c>
    </row>
    <row r="39" spans="3:7" x14ac:dyDescent="0.2">
      <c r="C39" s="36" t="s">
        <v>305</v>
      </c>
      <c r="D39" s="34">
        <v>365</v>
      </c>
      <c r="E39" s="34">
        <v>730</v>
      </c>
      <c r="F39" s="34">
        <v>2</v>
      </c>
      <c r="G39" s="35">
        <v>4</v>
      </c>
    </row>
    <row r="40" spans="3:7" x14ac:dyDescent="0.2">
      <c r="C40" s="31" t="s">
        <v>167</v>
      </c>
      <c r="D40" s="37">
        <v>9999</v>
      </c>
      <c r="E40" s="37">
        <v>9999</v>
      </c>
      <c r="F40" s="37">
        <v>0</v>
      </c>
      <c r="G40" s="32">
        <v>0</v>
      </c>
    </row>
    <row r="43" spans="3:7" ht="16" customHeight="1" thickBot="1" x14ac:dyDescent="0.25"/>
    <row r="44" spans="3:7" ht="16" customHeight="1" thickBot="1" x14ac:dyDescent="0.25">
      <c r="C44" s="48" t="s">
        <v>553</v>
      </c>
      <c r="D44" s="49"/>
      <c r="E44" s="50"/>
    </row>
    <row r="45" spans="3:7" x14ac:dyDescent="0.2">
      <c r="C45" s="45" t="s">
        <v>554</v>
      </c>
      <c r="D45" s="46"/>
      <c r="E45" s="8">
        <f>IF(COUNTIFS($A$4:$A$30,"A*",$C$4:$C$30,"&lt;&gt;")=0,"",AVERAGEIFS($O$4:$O$30,$A$4:$A$30,"A*",$C$4:$C$30,"&lt;&gt;"))</f>
        <v>12.625</v>
      </c>
    </row>
    <row r="46" spans="3:7" x14ac:dyDescent="0.2">
      <c r="C46" s="45" t="s">
        <v>555</v>
      </c>
      <c r="D46" s="46"/>
      <c r="E46" s="8">
        <f>IF(COUNTIFS($A$4:$A$30,"B*",$C$4:$C$30,"&lt;&gt;")=0,"",AVERAGEIFS($O$4:$O$30,$A$4:$A$30,"B*",$C$4:$C$30,"&lt;&gt;"))</f>
        <v>9.625</v>
      </c>
    </row>
    <row r="47" spans="3:7" x14ac:dyDescent="0.2">
      <c r="C47" s="45" t="s">
        <v>556</v>
      </c>
      <c r="D47" s="46"/>
      <c r="E47" s="8">
        <f>IF(COUNTIFS($A$4:$A$30,"C*",$C$4:$C$30,"&lt;&gt;")=0,"",AVERAGEIFS($O$4:$O$30,$A$4:$A$30,"C*",$C$4:$C$30,"&lt;&gt;"))</f>
        <v>15.375</v>
      </c>
    </row>
    <row r="48" spans="3:7" x14ac:dyDescent="0.2">
      <c r="C48" s="45" t="s">
        <v>557</v>
      </c>
      <c r="D48" s="46"/>
      <c r="E48" s="8">
        <f>IF(COUNTIFS($A$4:$A$30,"D*",$C$4:$C$30,"&lt;&gt;")=0,"",AVERAGEIFS($O$4:$O$30,$A$4:$A$30,"D*",$C$4:$C$30,"&lt;&gt;"))</f>
        <v>8.6666666666666661</v>
      </c>
    </row>
    <row r="49" spans="3:5" x14ac:dyDescent="0.2">
      <c r="C49" s="45" t="s">
        <v>558</v>
      </c>
      <c r="D49" s="46"/>
      <c r="E49" s="8">
        <f>IF(COUNTIFS($A$4:$A$30,"E*",$C$4:$C$30,"&lt;&gt;")=0,"",AVERAGEIFS($O$4:$O$30,$A$4:$A$30,"E*",$C$4:$C$30,"&lt;&gt;"))</f>
        <v>3.375</v>
      </c>
    </row>
    <row r="50" spans="3:5" x14ac:dyDescent="0.2">
      <c r="C50" s="45" t="s">
        <v>559</v>
      </c>
      <c r="D50" s="46"/>
      <c r="E50" s="8">
        <f>IF(COUNTIF($C$4:$C$30,"&lt;&gt;")=0,"",AVERAGEIFS($O$4:$O$30,$C$4:$C$30,"&lt;&gt;"))</f>
        <v>10</v>
      </c>
    </row>
    <row r="51" spans="3:5" x14ac:dyDescent="0.2">
      <c r="C51" s="45" t="s">
        <v>560</v>
      </c>
      <c r="D51" s="46"/>
      <c r="E51" s="8" t="str">
        <f>IF(E50="","",IF(E50&lt;3,"Very Low",IF(E50&lt;6,"Low",IF(E50&lt;9,"Medium",IF(E50&lt;12,"Medium-High","High")))))</f>
        <v>Medium-High</v>
      </c>
    </row>
    <row r="52" spans="3:5" x14ac:dyDescent="0.2">
      <c r="C52" s="51" t="s">
        <v>561</v>
      </c>
      <c r="D52" s="52"/>
      <c r="E52" s="9" t="str">
        <f>IF(COUNT($E$45:$E$49)=0,"",IF($E$45=MIN($E$45:$E$49),"A",IF($E$46=MIN($E$45:$E$49),"B",IF($E$47=MIN($E$45:$E$49),"C",IF($E$48=MIN($E$45:$E$49),"D","E")))))</f>
        <v>E</v>
      </c>
    </row>
  </sheetData>
  <mergeCells count="15">
    <mergeCell ref="C52:D52"/>
    <mergeCell ref="B3:R3"/>
    <mergeCell ref="C48:D48"/>
    <mergeCell ref="C49:D49"/>
    <mergeCell ref="B9:R9"/>
    <mergeCell ref="B21:R21"/>
    <mergeCell ref="C51:D51"/>
    <mergeCell ref="B15:R15"/>
    <mergeCell ref="C50:D50"/>
    <mergeCell ref="C45:D45"/>
    <mergeCell ref="C35:G35"/>
    <mergeCell ref="B26:R26"/>
    <mergeCell ref="C46:D46"/>
    <mergeCell ref="C44:E44"/>
    <mergeCell ref="C47:D47"/>
  </mergeCells>
  <conditionalFormatting sqref="O4:O40">
    <cfRule type="colorScale" priority="6">
      <colorScale>
        <cfvo type="num" val="0"/>
        <cfvo type="percentile" val="50"/>
        <cfvo type="num" val="25"/>
        <color rgb="FF73FB79"/>
        <color rgb="FFFFFD78"/>
        <color rgb="FFFF2600"/>
      </colorScale>
    </cfRule>
  </conditionalFormatting>
  <conditionalFormatting sqref="P4:P30">
    <cfRule type="cellIs" dxfId="13" priority="7" operator="equal">
      <formula>"No Review"</formula>
    </cfRule>
    <cfRule type="cellIs" dxfId="12" priority="8" operator="equal">
      <formula>"Review Required"</formula>
    </cfRule>
  </conditionalFormatting>
  <dataValidations count="1">
    <dataValidation type="list" showInputMessage="1" showErrorMessage="1" sqref="M4:M42" xr:uid="{00000000-0002-0000-0600-000000000000}">
      <formula1>"Critical–Fast,Operational–Medium,Background–Slow,Evergreen–No Penalty"</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30"/>
  <sheetViews>
    <sheetView workbookViewId="0">
      <selection activeCell="F9" sqref="F9"/>
    </sheetView>
  </sheetViews>
  <sheetFormatPr baseColWidth="10" defaultColWidth="8.83203125" defaultRowHeight="15" x14ac:dyDescent="0.2"/>
  <cols>
    <col min="1" max="1" width="37.83203125" customWidth="1"/>
    <col min="2" max="5" width="21.33203125" customWidth="1"/>
    <col min="6" max="6" width="29" customWidth="1"/>
    <col min="7" max="9" width="21.33203125" customWidth="1"/>
  </cols>
  <sheetData>
    <row r="1" spans="1:8" x14ac:dyDescent="0.2">
      <c r="A1" s="18" t="s">
        <v>1690</v>
      </c>
      <c r="B1" s="18" t="s">
        <v>1691</v>
      </c>
      <c r="C1" s="18" t="s">
        <v>1692</v>
      </c>
      <c r="D1" s="18" t="s">
        <v>1693</v>
      </c>
      <c r="E1" s="18" t="s">
        <v>1694</v>
      </c>
      <c r="F1" s="18" t="s">
        <v>1695</v>
      </c>
      <c r="G1" s="18" t="s">
        <v>1696</v>
      </c>
      <c r="H1" s="18" t="s">
        <v>1697</v>
      </c>
    </row>
    <row r="2" spans="1:8" x14ac:dyDescent="0.2">
      <c r="A2" s="7" t="s">
        <v>1698</v>
      </c>
      <c r="B2" s="11">
        <v>0.15</v>
      </c>
      <c r="C2" s="11">
        <f ca="1">'Token Fundamentals &amp; Governance'!E106</f>
        <v>8.8030303030303028</v>
      </c>
      <c r="D2" s="11" t="str">
        <f ca="1">'Token Fundamentals &amp; Governance'!E107</f>
        <v>Medium</v>
      </c>
      <c r="E2" s="11">
        <f t="shared" ref="E2:E7" ca="1" si="0">IF(C2="","",IF(C2&lt;3,1,IF(C2&lt;6,2,IF(C2&lt;9,3,IF(C2&lt;12,4,5)))))</f>
        <v>3</v>
      </c>
      <c r="F2" s="11">
        <f t="shared" ref="F2:F7" ca="1" si="1">B2*C2</f>
        <v>1.3204545454545453</v>
      </c>
      <c r="G2" s="11" t="str">
        <f>IF(COUNTIF('Token Fundamentals &amp; Governance'!P:P,"Review Required")&gt;0,"Yes","No")</f>
        <v>Yes</v>
      </c>
      <c r="H2" s="12" t="str">
        <f ca="1">'Token Fundamentals &amp; Governance'!E108</f>
        <v>D</v>
      </c>
    </row>
    <row r="3" spans="1:8" x14ac:dyDescent="0.2">
      <c r="A3" s="8" t="s">
        <v>1699</v>
      </c>
      <c r="B3">
        <v>0.2</v>
      </c>
      <c r="C3">
        <f ca="1">'Regulatory &amp; Legal Risk'!E83</f>
        <v>7.427083333333333</v>
      </c>
      <c r="D3" t="str">
        <f ca="1">'Regulatory &amp; Legal Risk'!E84</f>
        <v>Medium</v>
      </c>
      <c r="E3">
        <f t="shared" ca="1" si="0"/>
        <v>3</v>
      </c>
      <c r="F3">
        <f t="shared" ca="1" si="1"/>
        <v>1.4854166666666666</v>
      </c>
      <c r="G3" t="str">
        <f>IF(COUNTIF('Regulatory &amp; Legal Risk'!P:P,"Review Required")&gt;0,"Yes","No")</f>
        <v>Yes</v>
      </c>
      <c r="H3" s="14" t="str">
        <f ca="1">'Regulatory &amp; Legal Risk'!E85</f>
        <v>D</v>
      </c>
    </row>
    <row r="4" spans="1:8" x14ac:dyDescent="0.2">
      <c r="A4" s="8" t="s">
        <v>1700</v>
      </c>
      <c r="B4">
        <v>0.25</v>
      </c>
      <c r="C4">
        <f ca="1">'AML &amp; Sanctions Risk'!E77</f>
        <v>3.3624999999999998</v>
      </c>
      <c r="D4" t="str">
        <f ca="1">'AML &amp; Sanctions Risk'!E78</f>
        <v>Low</v>
      </c>
      <c r="E4">
        <f t="shared" ca="1" si="0"/>
        <v>2</v>
      </c>
      <c r="F4">
        <f t="shared" ca="1" si="1"/>
        <v>0.84062499999999996</v>
      </c>
      <c r="G4" t="str">
        <f>IF(COUNTIF('AML &amp; Sanctions Risk'!P:P,"Review Required")&gt;0,"Yes","No")</f>
        <v>No</v>
      </c>
      <c r="H4" s="14" t="str">
        <f ca="1">'AML &amp; Sanctions Risk'!E79</f>
        <v>C</v>
      </c>
    </row>
    <row r="5" spans="1:8" x14ac:dyDescent="0.2">
      <c r="A5" s="8" t="s">
        <v>1701</v>
      </c>
      <c r="B5">
        <v>0.2</v>
      </c>
      <c r="C5">
        <f ca="1">'Technical &amp; Protocol Security'!E124</f>
        <v>8.5641025641025639</v>
      </c>
      <c r="D5" t="str">
        <f ca="1">'Technical &amp; Protocol Security'!E125</f>
        <v>Medium</v>
      </c>
      <c r="E5">
        <f t="shared" ca="1" si="0"/>
        <v>3</v>
      </c>
      <c r="F5">
        <f t="shared" ca="1" si="1"/>
        <v>1.712820512820513</v>
      </c>
      <c r="G5" t="str">
        <f>IF(COUNTIF('Technical &amp; Protocol Security'!P:P,"Review Required")&gt;0,"Yes","No")</f>
        <v>Yes</v>
      </c>
      <c r="H5" s="14" t="str">
        <f ca="1">'Technical &amp; Protocol Security'!E126</f>
        <v>D</v>
      </c>
    </row>
    <row r="6" spans="1:8" x14ac:dyDescent="0.2">
      <c r="A6" s="8" t="s">
        <v>1702</v>
      </c>
      <c r="B6">
        <v>0.15</v>
      </c>
      <c r="C6">
        <f>'Market &amp; Liquidity Integrity'!E75</f>
        <v>8.6184210526315788</v>
      </c>
      <c r="D6" t="str">
        <f>'Market &amp; Liquidity Integrity'!E76</f>
        <v>Medium</v>
      </c>
      <c r="E6">
        <f t="shared" si="0"/>
        <v>3</v>
      </c>
      <c r="F6">
        <f t="shared" si="1"/>
        <v>1.2927631578947367</v>
      </c>
      <c r="G6" t="str">
        <f>IF(COUNTIF('Market &amp; Liquidity Integrity'!P:P,"Review Required")&gt;0,"Yes","No")</f>
        <v>No</v>
      </c>
      <c r="H6" s="14" t="str">
        <f>'Market &amp; Liquidity Integrity'!E77</f>
        <v>E</v>
      </c>
    </row>
    <row r="7" spans="1:8" x14ac:dyDescent="0.2">
      <c r="A7" s="9" t="s">
        <v>1703</v>
      </c>
      <c r="B7" s="16">
        <v>0.05</v>
      </c>
      <c r="C7" s="16">
        <f>'Strategic, Reputational &amp; ESG'!E50</f>
        <v>10</v>
      </c>
      <c r="D7" s="16" t="str">
        <f>'Strategic, Reputational &amp; ESG'!E51</f>
        <v>Medium-High</v>
      </c>
      <c r="E7" s="16">
        <f t="shared" si="0"/>
        <v>4</v>
      </c>
      <c r="F7" s="16">
        <f t="shared" si="1"/>
        <v>0.5</v>
      </c>
      <c r="G7" s="16" t="str">
        <f>IF(COUNTIF('Strategic, Reputational &amp; ESG'!P:P,"Review Required")&gt;0,"Yes","No")</f>
        <v>Yes</v>
      </c>
      <c r="H7" s="17" t="str">
        <f>'Strategic, Reputational &amp; ESG'!E52</f>
        <v>E</v>
      </c>
    </row>
    <row r="8" spans="1:8" x14ac:dyDescent="0.2">
      <c r="A8" s="8"/>
      <c r="B8" s="7"/>
    </row>
    <row r="9" spans="1:8" x14ac:dyDescent="0.2">
      <c r="A9" s="8" t="s">
        <v>1704</v>
      </c>
      <c r="B9" s="8">
        <f ca="1">IF(SUM(B2:B7)=0,"",SUM(F2:F7)/SUM(B2:B7))</f>
        <v>7.1520798828364622</v>
      </c>
    </row>
    <row r="10" spans="1:8" x14ac:dyDescent="0.2">
      <c r="A10" s="8" t="s">
        <v>1705</v>
      </c>
      <c r="B10" s="8" t="str">
        <f ca="1">IF(B9="","",IF(B9&lt;3,"Very Low",IF(B9&lt;6,"Low",IF(B9&lt;9,"Medium",IF(B9&lt;12,"Medium-High","High")))))</f>
        <v>Medium</v>
      </c>
    </row>
    <row r="11" spans="1:8" x14ac:dyDescent="0.2">
      <c r="A11" s="9" t="s">
        <v>1706</v>
      </c>
      <c r="B11" s="9">
        <f ca="1">IF(B9="","",IF(B9&lt;3,1,IF(B9&lt;6,2,IF(B9&lt;9,3,IF(B9&lt;12,4,5)))))</f>
        <v>3</v>
      </c>
    </row>
    <row r="13" spans="1:8" x14ac:dyDescent="0.2">
      <c r="A13" s="57" t="s">
        <v>1707</v>
      </c>
      <c r="B13" s="39"/>
      <c r="C13" s="39"/>
      <c r="D13" s="39"/>
      <c r="E13" s="39"/>
      <c r="F13" s="40"/>
    </row>
    <row r="14" spans="1:8" x14ac:dyDescent="0.2">
      <c r="A14" s="18" t="s">
        <v>1690</v>
      </c>
      <c r="B14" s="18" t="s">
        <v>1708</v>
      </c>
      <c r="C14" s="18" t="s">
        <v>1709</v>
      </c>
      <c r="D14" s="18" t="s">
        <v>1710</v>
      </c>
      <c r="E14" s="18" t="s">
        <v>1711</v>
      </c>
      <c r="F14" s="18" t="s">
        <v>1712</v>
      </c>
    </row>
    <row r="15" spans="1:8" x14ac:dyDescent="0.2">
      <c r="A15" s="7" t="s">
        <v>1698</v>
      </c>
      <c r="B15" s="10" t="str">
        <f ca="1">IF('Token Fundamentals &amp; Governance'!E101="","",IF('Token Fundamentals &amp; Governance'!E101&lt;3,"Very Low",IF('Token Fundamentals &amp; Governance'!E101&lt;6,"Low",IF('Token Fundamentals &amp; Governance'!E101&lt;9,"Medium",IF('Token Fundamentals &amp; Governance'!E101&lt;12,"Medium-High","High")))))</f>
        <v>Medium-High</v>
      </c>
      <c r="C15" s="11" t="str">
        <f ca="1">IF('Token Fundamentals &amp; Governance'!E102="","",IF('Token Fundamentals &amp; Governance'!E102&lt;3,"Very Low",IF('Token Fundamentals &amp; Governance'!E102&lt;6,"Low",IF('Token Fundamentals &amp; Governance'!E102&lt;9,"Medium",IF('Token Fundamentals &amp; Governance'!E102&lt;12,"Medium-High","High")))))</f>
        <v>Medium-High</v>
      </c>
      <c r="D15" s="11" t="str">
        <f ca="1">IF('Token Fundamentals &amp; Governance'!E103="","",IF('Token Fundamentals &amp; Governance'!E103&lt;3,"Very Low",IF('Token Fundamentals &amp; Governance'!E103&lt;6,"Low",IF('Token Fundamentals &amp; Governance'!E103&lt;9,"Medium",IF('Token Fundamentals &amp; Governance'!E103&lt;12,"Medium-High","High")))))</f>
        <v>Medium</v>
      </c>
      <c r="E15" s="11" t="str">
        <f ca="1">IF('Token Fundamentals &amp; Governance'!E104="","",IF('Token Fundamentals &amp; Governance'!E104&lt;3,"Very Low",IF('Token Fundamentals &amp; Governance'!E104&lt;6,"Low",IF('Token Fundamentals &amp; Governance'!E104&lt;9,"Medium",IF('Token Fundamentals &amp; Governance'!E104&lt;12,"Medium-High","High")))))</f>
        <v>Low</v>
      </c>
      <c r="F15" s="12" t="str">
        <f ca="1">IF('Token Fundamentals &amp; Governance'!E105="","",IF('Token Fundamentals &amp; Governance'!E105&lt;3,"Very Low",IF('Token Fundamentals &amp; Governance'!E105&lt;6,"Low",IF('Token Fundamentals &amp; Governance'!E105&lt;9,"Medium",IF('Token Fundamentals &amp; Governance'!E105&lt;12,"Medium-High","High")))))</f>
        <v>Medium-High</v>
      </c>
    </row>
    <row r="16" spans="1:8" x14ac:dyDescent="0.2">
      <c r="A16" s="8" t="s">
        <v>1699</v>
      </c>
      <c r="B16" s="13" t="str">
        <f ca="1">IF('Regulatory &amp; Legal Risk'!E78="","",IF('Regulatory &amp; Legal Risk'!E78&lt;3,"Very Low",IF('Regulatory &amp; Legal Risk'!E78&lt;6,"Low",IF('Regulatory &amp; Legal Risk'!E78&lt;9,"Medium",IF('Regulatory &amp; Legal Risk'!E78&lt;12,"Medium-High","High")))))</f>
        <v>Medium</v>
      </c>
      <c r="C16" t="str">
        <f ca="1">IF('Regulatory &amp; Legal Risk'!E79="","",IF('Regulatory &amp; Legal Risk'!E79&lt;3,"Very Low",IF('Regulatory &amp; Legal Risk'!E79&lt;6,"Low",IF('Regulatory &amp; Legal Risk'!E79&lt;9,"Medium",IF('Regulatory &amp; Legal Risk'!E79&lt;12,"Medium-High","High")))))</f>
        <v>Medium</v>
      </c>
      <c r="D16" t="str">
        <f ca="1">IF('Regulatory &amp; Legal Risk'!E80="","",IF('Regulatory &amp; Legal Risk'!E80&lt;3,"Very Low",IF('Regulatory &amp; Legal Risk'!E80&lt;6,"Low",IF('Regulatory &amp; Legal Risk'!E80&lt;9,"Medium",IF('Regulatory &amp; Legal Risk'!E80&lt;12,"Medium-High","High")))))</f>
        <v>High</v>
      </c>
      <c r="E16" t="str">
        <f ca="1">IF('Regulatory &amp; Legal Risk'!E81="","",IF('Regulatory &amp; Legal Risk'!E81&lt;3,"Very Low",IF('Regulatory &amp; Legal Risk'!E81&lt;6,"Low",IF('Regulatory &amp; Legal Risk'!E81&lt;9,"Medium",IF('Regulatory &amp; Legal Risk'!E81&lt;12,"Medium-High","High")))))</f>
        <v>Very Low</v>
      </c>
      <c r="F16" s="14" t="str">
        <f ca="1">IF('Regulatory &amp; Legal Risk'!E82="","",IF('Regulatory &amp; Legal Risk'!E82&lt;3,"Very Low",IF('Regulatory &amp; Legal Risk'!E82&lt;6,"Low",IF('Regulatory &amp; Legal Risk'!E82&lt;9,"Medium",IF('Regulatory &amp; Legal Risk'!E82&lt;12,"Medium-High","High")))))</f>
        <v>Medium</v>
      </c>
    </row>
    <row r="17" spans="1:6" x14ac:dyDescent="0.2">
      <c r="A17" s="8" t="s">
        <v>1700</v>
      </c>
      <c r="B17" s="13" t="str">
        <f ca="1">IF('AML &amp; Sanctions Risk'!E72="","",IF('AML &amp; Sanctions Risk'!E72&lt;3,"Very Low",IF('AML &amp; Sanctions Risk'!E72&lt;6,"Low",IF('AML &amp; Sanctions Risk'!E72&lt;9,"Medium",IF('AML &amp; Sanctions Risk'!E72&lt;12,"Medium-High","High")))))</f>
        <v>Very Low</v>
      </c>
      <c r="C17" t="str">
        <f ca="1">IF('AML &amp; Sanctions Risk'!E73="","",IF('AML &amp; Sanctions Risk'!E73&lt;3,"Very Low",IF('AML &amp; Sanctions Risk'!E73&lt;6,"Low",IF('AML &amp; Sanctions Risk'!E73&lt;9,"Medium",IF('AML &amp; Sanctions Risk'!E73&lt;12,"Medium-High","High")))))</f>
        <v>Low</v>
      </c>
      <c r="D17" t="str">
        <f ca="1">IF('AML &amp; Sanctions Risk'!E74="","",IF('AML &amp; Sanctions Risk'!E74&lt;3,"Very Low",IF('AML &amp; Sanctions Risk'!E74&lt;6,"Low",IF('AML &amp; Sanctions Risk'!E74&lt;9,"Medium",IF('AML &amp; Sanctions Risk'!E74&lt;12,"Medium-High","High")))))</f>
        <v>Very Low</v>
      </c>
      <c r="E17" t="str">
        <f ca="1">IF('AML &amp; Sanctions Risk'!E75="","",IF('AML &amp; Sanctions Risk'!E75&lt;3,"Very Low",IF('AML &amp; Sanctions Risk'!E75&lt;6,"Low",IF('AML &amp; Sanctions Risk'!E75&lt;9,"Medium",IF('AML &amp; Sanctions Risk'!E75&lt;12,"Medium-High","High")))))</f>
        <v>Medium</v>
      </c>
      <c r="F17" s="14" t="str">
        <f ca="1">IF('AML &amp; Sanctions Risk'!E76="","",IF('AML &amp; Sanctions Risk'!E76&lt;3,"Very Low",IF('AML &amp; Sanctions Risk'!E76&lt;6,"Low",IF('AML &amp; Sanctions Risk'!E76&lt;9,"Medium",IF('AML &amp; Sanctions Risk'!E76&lt;12,"Medium-High","High")))))</f>
        <v>Very Low</v>
      </c>
    </row>
    <row r="18" spans="1:6" x14ac:dyDescent="0.2">
      <c r="A18" s="8" t="s">
        <v>1701</v>
      </c>
      <c r="B18" s="13" t="str">
        <f ca="1">IF('Technical &amp; Protocol Security'!E119="","",IF('Technical &amp; Protocol Security'!E119&lt;3,"Very Low",IF('Technical &amp; Protocol Security'!E119&lt;6,"Low",IF('Technical &amp; Protocol Security'!E119&lt;9,"Medium",IF('Technical &amp; Protocol Security'!E119&lt;12,"Medium-High","High")))))</f>
        <v>Medium-High</v>
      </c>
      <c r="C18" t="str">
        <f ca="1">IF('Technical &amp; Protocol Security'!E120="","",IF('Technical &amp; Protocol Security'!E120&lt;3,"Very Low",IF('Technical &amp; Protocol Security'!E120&lt;6,"Low",IF('Technical &amp; Protocol Security'!E120&lt;9,"Medium",IF('Technical &amp; Protocol Security'!E120&lt;12,"Medium-High","High")))))</f>
        <v>Medium-High</v>
      </c>
      <c r="D18" t="str">
        <f ca="1">IF('Technical &amp; Protocol Security'!E121="","",IF('Technical &amp; Protocol Security'!E121&lt;3,"Very Low",IF('Technical &amp; Protocol Security'!E121&lt;6,"Low",IF('Technical &amp; Protocol Security'!E121&lt;9,"Medium",IF('Technical &amp; Protocol Security'!E121&lt;12,"Medium-High","High")))))</f>
        <v>Medium-High</v>
      </c>
      <c r="E18" t="str">
        <f ca="1">IF('Technical &amp; Protocol Security'!E122="","",IF('Technical &amp; Protocol Security'!E122&lt;3,"Very Low",IF('Technical &amp; Protocol Security'!E122&lt;6,"Low",IF('Technical &amp; Protocol Security'!E122&lt;9,"Medium",IF('Technical &amp; Protocol Security'!E122&lt;12,"Medium-High","High")))))</f>
        <v>Medium</v>
      </c>
      <c r="F18" s="14" t="str">
        <f ca="1">IF('Technical &amp; Protocol Security'!E123="","",IF('Technical &amp; Protocol Security'!E123&lt;3,"Very Low",IF('Technical &amp; Protocol Security'!E123&lt;6,"Low",IF('Technical &amp; Protocol Security'!E123&lt;9,"Medium",IF('Technical &amp; Protocol Security'!E123&lt;12,"Medium-High","High")))))</f>
        <v>Medium</v>
      </c>
    </row>
    <row r="19" spans="1:6" x14ac:dyDescent="0.2">
      <c r="A19" s="8" t="s">
        <v>1702</v>
      </c>
      <c r="B19" s="13" t="str">
        <f>IF('Market &amp; Liquidity Integrity'!E70="","",IF('Market &amp; Liquidity Integrity'!E70&lt;3,"Very Low",IF('Market &amp; Liquidity Integrity'!E70&lt;6,"Low",IF('Market &amp; Liquidity Integrity'!E70&lt;9,"Medium",IF('Market &amp; Liquidity Integrity'!E70&lt;12,"Medium-High","High")))))</f>
        <v>Medium-High</v>
      </c>
      <c r="C19" t="str">
        <f>IF('Market &amp; Liquidity Integrity'!E71="","",IF('Market &amp; Liquidity Integrity'!E71&lt;3,"Very Low",IF('Market &amp; Liquidity Integrity'!E71&lt;6,"Low",IF('Market &amp; Liquidity Integrity'!E71&lt;9,"Medium",IF('Market &amp; Liquidity Integrity'!E71&lt;12,"Medium-High","High")))))</f>
        <v>Medium-High</v>
      </c>
      <c r="D19" t="str">
        <f>IF('Market &amp; Liquidity Integrity'!E72="","",IF('Market &amp; Liquidity Integrity'!E72&lt;3,"Very Low",IF('Market &amp; Liquidity Integrity'!E72&lt;6,"Low",IF('Market &amp; Liquidity Integrity'!E72&lt;9,"Medium",IF('Market &amp; Liquidity Integrity'!E72&lt;12,"Medium-High","High")))))</f>
        <v>Medium</v>
      </c>
      <c r="E19" t="str">
        <f>IF('Market &amp; Liquidity Integrity'!E73="","",IF('Market &amp; Liquidity Integrity'!E73&lt;3,"Very Low",IF('Market &amp; Liquidity Integrity'!E73&lt;6,"Low",IF('Market &amp; Liquidity Integrity'!E73&lt;9,"Medium",IF('Market &amp; Liquidity Integrity'!E73&lt;12,"Medium-High","High")))))</f>
        <v>Medium-High</v>
      </c>
      <c r="F19" s="14" t="str">
        <f>IF('Market &amp; Liquidity Integrity'!E74="","",IF('Market &amp; Liquidity Integrity'!E74&lt;3,"Very Low",IF('Market &amp; Liquidity Integrity'!E74&lt;6,"Low",IF('Market &amp; Liquidity Integrity'!E74&lt;9,"Medium",IF('Market &amp; Liquidity Integrity'!E74&lt;12,"Medium-High","High")))))</f>
        <v>Low</v>
      </c>
    </row>
    <row r="20" spans="1:6" x14ac:dyDescent="0.2">
      <c r="A20" s="9" t="s">
        <v>1703</v>
      </c>
      <c r="B20" s="15" t="str">
        <f>IF('Strategic, Reputational &amp; ESG'!E45="","",IF('Strategic, Reputational &amp; ESG'!E45&lt;3,"Very Low",IF('Strategic, Reputational &amp; ESG'!E45&lt;6,"Low",IF('Strategic, Reputational &amp; ESG'!E45&lt;9,"Medium",IF('Strategic, Reputational &amp; ESG'!E45&lt;12,"Medium-High","High")))))</f>
        <v>High</v>
      </c>
      <c r="C20" s="16" t="str">
        <f>IF('Strategic, Reputational &amp; ESG'!E46="","",IF('Strategic, Reputational &amp; ESG'!E46&lt;3,"Very Low",IF('Strategic, Reputational &amp; ESG'!E46&lt;6,"Low",IF('Strategic, Reputational &amp; ESG'!E46&lt;9,"Medium",IF('Strategic, Reputational &amp; ESG'!E46&lt;12,"Medium-High","High")))))</f>
        <v>Medium-High</v>
      </c>
      <c r="D20" s="16" t="str">
        <f>IF('Strategic, Reputational &amp; ESG'!E47="","",IF('Strategic, Reputational &amp; ESG'!E47&lt;3,"Very Low",IF('Strategic, Reputational &amp; ESG'!E47&lt;6,"Low",IF('Strategic, Reputational &amp; ESG'!E47&lt;9,"Medium",IF('Strategic, Reputational &amp; ESG'!E47&lt;12,"Medium-High","High")))))</f>
        <v>High</v>
      </c>
      <c r="E20" s="16" t="str">
        <f>IF('Strategic, Reputational &amp; ESG'!E48="","",IF('Strategic, Reputational &amp; ESG'!E48&lt;3,"Very Low",IF('Strategic, Reputational &amp; ESG'!E48&lt;6,"Low",IF('Strategic, Reputational &amp; ESG'!E48&lt;9,"Medium",IF('Strategic, Reputational &amp; ESG'!E48&lt;12,"Medium-High","High")))))</f>
        <v>Medium</v>
      </c>
      <c r="F20" s="17" t="str">
        <f>IF('Strategic, Reputational &amp; ESG'!E49="","",IF('Strategic, Reputational &amp; ESG'!E49&lt;3,"Very Low",IF('Strategic, Reputational &amp; ESG'!E49&lt;6,"Low",IF('Strategic, Reputational &amp; ESG'!E49&lt;9,"Medium",IF('Strategic, Reputational &amp; ESG'!E49&lt;12,"Medium-High","High")))))</f>
        <v>Low</v>
      </c>
    </row>
    <row r="22" spans="1:6" ht="16" customHeight="1" thickBot="1" x14ac:dyDescent="0.25"/>
    <row r="23" spans="1:6" ht="16" customHeight="1" thickBot="1" x14ac:dyDescent="0.25">
      <c r="A23" s="58" t="s">
        <v>1713</v>
      </c>
      <c r="B23" s="50"/>
    </row>
    <row r="24" spans="1:6" x14ac:dyDescent="0.2">
      <c r="A24" s="8"/>
      <c r="B24" s="8"/>
    </row>
    <row r="25" spans="1:6" x14ac:dyDescent="0.2">
      <c r="A25" s="8" t="s">
        <v>1714</v>
      </c>
      <c r="B25" s="8" t="str">
        <f>IF(COUNTIF(G2:G7,"Yes")&gt;0,"Yes","No")</f>
        <v>Yes</v>
      </c>
    </row>
    <row r="26" spans="1:6" x14ac:dyDescent="0.2">
      <c r="A26" s="8"/>
      <c r="B26" s="8"/>
    </row>
    <row r="27" spans="1:6" x14ac:dyDescent="0.2">
      <c r="A27" s="8" t="s">
        <v>1715</v>
      </c>
      <c r="B27" s="8" t="str">
        <f>IF(COUNTIF(G2:G7,"Yes")=0,"None",LEFT(IF(G2="Yes",A2&amp;", ","")&amp;IF(G3="Yes",A3&amp;", ","")&amp;IF(G4="Yes",A4&amp;", ","")&amp;IF(G5="Yes",A5&amp;", ","")&amp;IF(G6="Yes",A6&amp;", ","")&amp;IF(G7="Yes",A7&amp;", ",""),LEN(IF(G2="Yes",A2&amp;", ","")&amp;IF(G3="Yes",A3&amp;", ","")&amp;IF(G4="Yes",A4&amp;", ","")&amp;IF(G5="Yes",A5&amp;", ","")&amp;IF(G6="Yes",A6&amp;", ","")&amp;IF(G7="Yes",A7&amp;", ",""))-2))</f>
        <v>Token Fundamentals &amp; Governance, Regulatory &amp; Legal Risk, Technical &amp; Protocol Security, Strategic, Reputational &amp; ESG</v>
      </c>
    </row>
    <row r="28" spans="1:6" x14ac:dyDescent="0.2">
      <c r="A28" s="8"/>
      <c r="B28" s="8"/>
    </row>
    <row r="29" spans="1:6" x14ac:dyDescent="0.2">
      <c r="A29" s="8" t="s">
        <v>1716</v>
      </c>
      <c r="B29" s="9" t="str">
        <f ca="1">IF(COUNTIF(D2:D7,"Medium-High")+COUNTIF(D2:D7,"High")=0,"None",LEFT(IF(OR(D2="Medium-High",D2="High"),A2&amp;", ","")&amp;IF(OR(D3="Medium-High",D3="High"),A3&amp;", ","")&amp;IF(OR(D4="Medium-High",D4="High"),A4&amp;", ","")&amp;IF(OR(D5="Medium-High",D5="High"),A5&amp;", ","")&amp;IF(OR(D6="Medium-High",D6="High"),A6&amp;", ","")&amp;IF(OR(D7="Medium-High",D7="High"),A7&amp;", ",""),LEN(IF(OR(D2="Medium-High",D2="High"),A2&amp;", ","")&amp;IF(OR(D3="Medium-High",D3="High"),A3&amp;", ","")&amp;IF(OR(D4="Medium-High",D4="High"),A4&amp;", ","")&amp;IF(OR(D5="Medium-High",D5="High"),A5&amp;", ","")&amp;IF(OR(D6="Medium-High",D6="High"),A6&amp;", ","")&amp;IF(OR(D7="Medium-High",D7="High"),A7&amp;", ",""))-2))</f>
        <v>Strategic, Reputational &amp; ESG</v>
      </c>
    </row>
    <row r="30" spans="1:6" x14ac:dyDescent="0.2">
      <c r="A30" s="27"/>
    </row>
  </sheetData>
  <mergeCells count="2">
    <mergeCell ref="A13:F13"/>
    <mergeCell ref="A23:B23"/>
  </mergeCells>
  <conditionalFormatting sqref="B15:F20">
    <cfRule type="cellIs" dxfId="11" priority="8" operator="equal">
      <formula>"Very Low"</formula>
    </cfRule>
    <cfRule type="cellIs" dxfId="10" priority="9" stopIfTrue="1" operator="equal">
      <formula>"Low"</formula>
    </cfRule>
    <cfRule type="cellIs" dxfId="9" priority="10" stopIfTrue="1" operator="equal">
      <formula>"Medium"</formula>
    </cfRule>
    <cfRule type="cellIs" dxfId="8" priority="11" operator="equal">
      <formula>"Medium-High"</formula>
    </cfRule>
    <cfRule type="cellIs" dxfId="7" priority="12" stopIfTrue="1" operator="equal">
      <formula>"High"</formula>
    </cfRule>
  </conditionalFormatting>
  <conditionalFormatting sqref="D2:D7">
    <cfRule type="cellIs" dxfId="6" priority="1" stopIfTrue="1" operator="equal">
      <formula>"Very Low"</formula>
    </cfRule>
    <cfRule type="cellIs" dxfId="5" priority="2" stopIfTrue="1" operator="equal">
      <formula>"Low"</formula>
    </cfRule>
    <cfRule type="cellIs" dxfId="4" priority="3" stopIfTrue="1" operator="equal">
      <formula>"Medium"</formula>
    </cfRule>
    <cfRule type="cellIs" dxfId="3" priority="4" stopIfTrue="1" operator="equal">
      <formula>"Medium-High"</formula>
    </cfRule>
    <cfRule type="cellIs" dxfId="2" priority="5" stopIfTrue="1" operator="equal">
      <formula>"High"</formula>
    </cfRule>
  </conditionalFormatting>
  <conditionalFormatting sqref="G2:G7">
    <cfRule type="cellIs" dxfId="1" priority="6" operator="equal">
      <formula>"Yes"</formula>
    </cfRule>
    <cfRule type="cellIs" dxfId="0" priority="7" operator="equal">
      <formula>"No"</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8</vt:i4>
      </vt:variant>
      <vt:variant>
        <vt:lpstr>Named Ranges</vt:lpstr>
      </vt:variant>
      <vt:variant>
        <vt:i4>7</vt:i4>
      </vt:variant>
    </vt:vector>
  </HeadingPairs>
  <TitlesOfParts>
    <vt:vector size="15" baseType="lpstr">
      <vt:lpstr>Overview</vt:lpstr>
      <vt:lpstr>Token Fundamentals &amp; Governance</vt:lpstr>
      <vt:lpstr>Regulatory &amp; Legal Risk</vt:lpstr>
      <vt:lpstr>AML &amp; Sanctions Risk</vt:lpstr>
      <vt:lpstr>Technical &amp; Protocol Security</vt:lpstr>
      <vt:lpstr>Market &amp; Liquidity Integrity</vt:lpstr>
      <vt:lpstr>Strategic, Reputational &amp; ESG</vt:lpstr>
      <vt:lpstr>Master_Summary</vt:lpstr>
      <vt:lpstr>Structure_Map</vt:lpstr>
      <vt:lpstr>Tab1_Map</vt:lpstr>
      <vt:lpstr>Tab2_Map</vt:lpstr>
      <vt:lpstr>Tab3_Map</vt:lpstr>
      <vt:lpstr>Tab4_Map</vt:lpstr>
      <vt:lpstr>Tab5_Map</vt:lpstr>
      <vt:lpstr>Tab6_Map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Nikolas Spence</cp:lastModifiedBy>
  <dcterms:created xsi:type="dcterms:W3CDTF">2025-11-02T22:21:41Z</dcterms:created>
  <dcterms:modified xsi:type="dcterms:W3CDTF">2025-12-08T20:53:29Z</dcterms:modified>
</cp:coreProperties>
</file>