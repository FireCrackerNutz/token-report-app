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https://englebertapp-my.sharepoint.com/personal/nikolas_zeyro_one1/Documents/Coding/New Cryptoasset Listing Framework/Example DDQ Runs/V9_6/"/>
    </mc:Choice>
  </mc:AlternateContent>
  <xr:revisionPtr revIDLastSave="2" documentId="8_{812172C1-C731-A740-BF4D-FD5389E6CE57}" xr6:coauthVersionLast="47" xr6:coauthVersionMax="47" xr10:uidLastSave="{655D9D13-2254-1240-8A89-BF4B42DC138E}"/>
  <bookViews>
    <workbookView xWindow="0" yWindow="680" windowWidth="29400" windowHeight="17240" firstSheet="1" activeTab="6" xr2:uid="{00000000-000D-0000-FFFF-FFFF00000000}"/>
  </bookViews>
  <sheets>
    <sheet name="Overview" sheetId="1" r:id="rId1"/>
    <sheet name="Token Fundamentals &amp; Governance" sheetId="2" r:id="rId2"/>
    <sheet name="Regulatory &amp; Legal Risk" sheetId="3" r:id="rId3"/>
    <sheet name="AML &amp; Sanctions Risk" sheetId="4" r:id="rId4"/>
    <sheet name="Technical &amp; Protocol Security" sheetId="5" r:id="rId5"/>
    <sheet name="Market &amp; Liquidity Integrity" sheetId="6" r:id="rId6"/>
    <sheet name="Strategic, Reputational &amp; ESG" sheetId="7" r:id="rId7"/>
    <sheet name="Master_Summary" sheetId="8" r:id="rId8"/>
  </sheets>
  <definedNames>
    <definedName name="Structure_Map">Overview!$D$80</definedName>
    <definedName name="Tab1_Map">Overview!$D$238</definedName>
    <definedName name="Tab2_Map">Overview!$D$265</definedName>
    <definedName name="Tab3_Map">Overview!$D$295</definedName>
    <definedName name="Tab4_Map">Overview!$D$326</definedName>
    <definedName name="Tab5_Map">Overview!$D$357</definedName>
    <definedName name="Tab6_Map">Overview!$D$386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2" l="1"/>
  <c r="N30" i="7"/>
  <c r="K30" i="7"/>
  <c r="F30" i="7"/>
  <c r="G30" i="7" s="1"/>
  <c r="O30" i="7" s="1"/>
  <c r="P29" i="7"/>
  <c r="N29" i="7"/>
  <c r="K29" i="7"/>
  <c r="F29" i="7"/>
  <c r="E29" i="7"/>
  <c r="G29" i="7" s="1"/>
  <c r="O29" i="7" s="1"/>
  <c r="P28" i="7"/>
  <c r="N28" i="7"/>
  <c r="K28" i="7"/>
  <c r="F28" i="7"/>
  <c r="E28" i="7"/>
  <c r="G28" i="7" s="1"/>
  <c r="O28" i="7" s="1"/>
  <c r="N27" i="7"/>
  <c r="K27" i="7"/>
  <c r="F27" i="7"/>
  <c r="E27" i="7"/>
  <c r="G27" i="7" s="1"/>
  <c r="O27" i="7" s="1"/>
  <c r="E49" i="7" s="1"/>
  <c r="F20" i="8" s="1"/>
  <c r="N25" i="7"/>
  <c r="K25" i="7"/>
  <c r="N24" i="7"/>
  <c r="K24" i="7"/>
  <c r="F24" i="7"/>
  <c r="G24" i="7" s="1"/>
  <c r="O24" i="7" s="1"/>
  <c r="P23" i="7"/>
  <c r="N23" i="7"/>
  <c r="K23" i="7"/>
  <c r="F23" i="7"/>
  <c r="E23" i="7"/>
  <c r="G23" i="7" s="1"/>
  <c r="O23" i="7" s="1"/>
  <c r="N22" i="7"/>
  <c r="K22" i="7"/>
  <c r="G22" i="7"/>
  <c r="O22" i="7" s="1"/>
  <c r="E48" i="7" s="1"/>
  <c r="E20" i="8" s="1"/>
  <c r="F22" i="7"/>
  <c r="E22" i="7"/>
  <c r="N20" i="7"/>
  <c r="K20" i="7"/>
  <c r="N19" i="7"/>
  <c r="K19" i="7"/>
  <c r="F19" i="7"/>
  <c r="G19" i="7" s="1"/>
  <c r="O19" i="7" s="1"/>
  <c r="P18" i="7"/>
  <c r="N18" i="7"/>
  <c r="K18" i="7"/>
  <c r="F18" i="7"/>
  <c r="E18" i="7"/>
  <c r="G18" i="7" s="1"/>
  <c r="O18" i="7" s="1"/>
  <c r="P17" i="7"/>
  <c r="N17" i="7"/>
  <c r="K17" i="7"/>
  <c r="F17" i="7"/>
  <c r="E17" i="7"/>
  <c r="G17" i="7" s="1"/>
  <c r="O17" i="7" s="1"/>
  <c r="N16" i="7"/>
  <c r="K16" i="7"/>
  <c r="F16" i="7"/>
  <c r="E16" i="7"/>
  <c r="G16" i="7" s="1"/>
  <c r="O16" i="7" s="1"/>
  <c r="E47" i="7" s="1"/>
  <c r="D20" i="8" s="1"/>
  <c r="N14" i="7"/>
  <c r="K14" i="7"/>
  <c r="N13" i="7"/>
  <c r="K13" i="7"/>
  <c r="F13" i="7"/>
  <c r="G13" i="7" s="1"/>
  <c r="O13" i="7" s="1"/>
  <c r="N12" i="7"/>
  <c r="K12" i="7"/>
  <c r="F12" i="7"/>
  <c r="E12" i="7"/>
  <c r="G12" i="7" s="1"/>
  <c r="O12" i="7" s="1"/>
  <c r="P11" i="7"/>
  <c r="N11" i="7"/>
  <c r="K11" i="7"/>
  <c r="F11" i="7"/>
  <c r="E11" i="7"/>
  <c r="G11" i="7" s="1"/>
  <c r="O11" i="7" s="1"/>
  <c r="P10" i="7"/>
  <c r="N10" i="7"/>
  <c r="K10" i="7"/>
  <c r="F10" i="7"/>
  <c r="E10" i="7"/>
  <c r="G10" i="7" s="1"/>
  <c r="O10" i="7" s="1"/>
  <c r="E46" i="7" s="1"/>
  <c r="C20" i="8" s="1"/>
  <c r="N8" i="7"/>
  <c r="K8" i="7"/>
  <c r="N7" i="7"/>
  <c r="K7" i="7"/>
  <c r="F7" i="7"/>
  <c r="G7" i="7" s="1"/>
  <c r="O7" i="7" s="1"/>
  <c r="N6" i="7"/>
  <c r="K6" i="7"/>
  <c r="F6" i="7"/>
  <c r="E6" i="7"/>
  <c r="G6" i="7" s="1"/>
  <c r="O6" i="7" s="1"/>
  <c r="P5" i="7"/>
  <c r="G7" i="8" s="1"/>
  <c r="N5" i="7"/>
  <c r="K5" i="7"/>
  <c r="F5" i="7"/>
  <c r="E5" i="7"/>
  <c r="G5" i="7" s="1"/>
  <c r="O5" i="7" s="1"/>
  <c r="N4" i="7"/>
  <c r="K4" i="7"/>
  <c r="F4" i="7"/>
  <c r="E4" i="7"/>
  <c r="G4" i="7" s="1"/>
  <c r="O4" i="7" s="1"/>
  <c r="N54" i="6"/>
  <c r="K54" i="6"/>
  <c r="F54" i="6"/>
  <c r="G54" i="6" s="1"/>
  <c r="O54" i="6" s="1"/>
  <c r="P53" i="6"/>
  <c r="N53" i="6"/>
  <c r="K53" i="6"/>
  <c r="F53" i="6"/>
  <c r="E53" i="6"/>
  <c r="G53" i="6" s="1"/>
  <c r="O53" i="6" s="1"/>
  <c r="P52" i="6"/>
  <c r="N52" i="6"/>
  <c r="K52" i="6"/>
  <c r="F52" i="6"/>
  <c r="E52" i="6"/>
  <c r="G52" i="6" s="1"/>
  <c r="O52" i="6" s="1"/>
  <c r="P51" i="6"/>
  <c r="N51" i="6"/>
  <c r="K51" i="6"/>
  <c r="F51" i="6"/>
  <c r="E51" i="6"/>
  <c r="G51" i="6" s="1"/>
  <c r="O51" i="6" s="1"/>
  <c r="N49" i="6"/>
  <c r="K49" i="6"/>
  <c r="F49" i="6"/>
  <c r="G49" i="6" s="1"/>
  <c r="O49" i="6" s="1"/>
  <c r="N48" i="6"/>
  <c r="K48" i="6"/>
  <c r="F48" i="6"/>
  <c r="E48" i="6"/>
  <c r="G48" i="6" s="1"/>
  <c r="O48" i="6" s="1"/>
  <c r="N47" i="6"/>
  <c r="K47" i="6"/>
  <c r="F47" i="6"/>
  <c r="E47" i="6"/>
  <c r="G47" i="6" s="1"/>
  <c r="O47" i="6" s="1"/>
  <c r="E74" i="6" s="1"/>
  <c r="F19" i="8" s="1"/>
  <c r="N45" i="6"/>
  <c r="K45" i="6"/>
  <c r="N44" i="6"/>
  <c r="K44" i="6"/>
  <c r="F44" i="6"/>
  <c r="G44" i="6" s="1"/>
  <c r="O44" i="6" s="1"/>
  <c r="N43" i="6"/>
  <c r="K43" i="6"/>
  <c r="F43" i="6"/>
  <c r="E43" i="6"/>
  <c r="G43" i="6" s="1"/>
  <c r="O43" i="6" s="1"/>
  <c r="P42" i="6"/>
  <c r="N42" i="6"/>
  <c r="K42" i="6"/>
  <c r="F42" i="6"/>
  <c r="E42" i="6"/>
  <c r="G42" i="6" s="1"/>
  <c r="O42" i="6" s="1"/>
  <c r="N41" i="6"/>
  <c r="K41" i="6"/>
  <c r="F41" i="6"/>
  <c r="E41" i="6"/>
  <c r="G41" i="6" s="1"/>
  <c r="O41" i="6" s="1"/>
  <c r="N39" i="6"/>
  <c r="K39" i="6"/>
  <c r="F39" i="6"/>
  <c r="G39" i="6" s="1"/>
  <c r="O39" i="6" s="1"/>
  <c r="N38" i="6"/>
  <c r="K38" i="6"/>
  <c r="F38" i="6"/>
  <c r="E38" i="6"/>
  <c r="G38" i="6" s="1"/>
  <c r="O38" i="6" s="1"/>
  <c r="N37" i="6"/>
  <c r="K37" i="6"/>
  <c r="F37" i="6"/>
  <c r="E37" i="6"/>
  <c r="G37" i="6" s="1"/>
  <c r="O37" i="6" s="1"/>
  <c r="E73" i="6" s="1"/>
  <c r="E19" i="8" s="1"/>
  <c r="N35" i="6"/>
  <c r="K35" i="6"/>
  <c r="N34" i="6"/>
  <c r="K34" i="6"/>
  <c r="F34" i="6"/>
  <c r="G34" i="6" s="1"/>
  <c r="O34" i="6" s="1"/>
  <c r="N33" i="6"/>
  <c r="K33" i="6"/>
  <c r="F33" i="6"/>
  <c r="E33" i="6"/>
  <c r="G33" i="6" s="1"/>
  <c r="O33" i="6" s="1"/>
  <c r="N32" i="6"/>
  <c r="K32" i="6"/>
  <c r="F32" i="6"/>
  <c r="E32" i="6"/>
  <c r="G32" i="6" s="1"/>
  <c r="O32" i="6" s="1"/>
  <c r="N31" i="6"/>
  <c r="K31" i="6"/>
  <c r="F31" i="6"/>
  <c r="E31" i="6"/>
  <c r="G31" i="6" s="1"/>
  <c r="O31" i="6" s="1"/>
  <c r="N29" i="6"/>
  <c r="K29" i="6"/>
  <c r="F29" i="6"/>
  <c r="G29" i="6" s="1"/>
  <c r="O29" i="6" s="1"/>
  <c r="N28" i="6"/>
  <c r="K28" i="6"/>
  <c r="F28" i="6"/>
  <c r="E28" i="6"/>
  <c r="G28" i="6" s="1"/>
  <c r="O28" i="6" s="1"/>
  <c r="N27" i="6"/>
  <c r="K27" i="6"/>
  <c r="G27" i="6"/>
  <c r="O27" i="6" s="1"/>
  <c r="F27" i="6"/>
  <c r="E27" i="6"/>
  <c r="P26" i="6"/>
  <c r="N26" i="6"/>
  <c r="K26" i="6"/>
  <c r="F26" i="6"/>
  <c r="E26" i="6"/>
  <c r="G26" i="6" s="1"/>
  <c r="O26" i="6" s="1"/>
  <c r="E72" i="6" s="1"/>
  <c r="D19" i="8" s="1"/>
  <c r="N24" i="6"/>
  <c r="K24" i="6"/>
  <c r="N23" i="6"/>
  <c r="K23" i="6"/>
  <c r="F23" i="6"/>
  <c r="G23" i="6" s="1"/>
  <c r="O23" i="6" s="1"/>
  <c r="P22" i="6"/>
  <c r="N22" i="6"/>
  <c r="K22" i="6"/>
  <c r="F22" i="6"/>
  <c r="G22" i="6" s="1"/>
  <c r="O22" i="6" s="1"/>
  <c r="N21" i="6"/>
  <c r="K21" i="6"/>
  <c r="F21" i="6"/>
  <c r="E21" i="6"/>
  <c r="G21" i="6" s="1"/>
  <c r="O21" i="6" s="1"/>
  <c r="P20" i="6"/>
  <c r="N20" i="6"/>
  <c r="K20" i="6"/>
  <c r="F20" i="6"/>
  <c r="E20" i="6"/>
  <c r="G20" i="6" s="1"/>
  <c r="O20" i="6" s="1"/>
  <c r="N18" i="6"/>
  <c r="K18" i="6"/>
  <c r="F18" i="6"/>
  <c r="G18" i="6" s="1"/>
  <c r="O18" i="6" s="1"/>
  <c r="N17" i="6"/>
  <c r="K17" i="6"/>
  <c r="F17" i="6"/>
  <c r="E17" i="6"/>
  <c r="G17" i="6" s="1"/>
  <c r="O17" i="6" s="1"/>
  <c r="N16" i="6"/>
  <c r="K16" i="6"/>
  <c r="F16" i="6"/>
  <c r="E16" i="6"/>
  <c r="G16" i="6" s="1"/>
  <c r="O16" i="6" s="1"/>
  <c r="N15" i="6"/>
  <c r="K15" i="6"/>
  <c r="F15" i="6"/>
  <c r="E15" i="6"/>
  <c r="G15" i="6" s="1"/>
  <c r="O15" i="6" s="1"/>
  <c r="E71" i="6" s="1"/>
  <c r="C19" i="8" s="1"/>
  <c r="N13" i="6"/>
  <c r="K13" i="6"/>
  <c r="N12" i="6"/>
  <c r="K12" i="6"/>
  <c r="F12" i="6"/>
  <c r="G12" i="6" s="1"/>
  <c r="O12" i="6" s="1"/>
  <c r="N11" i="6"/>
  <c r="K11" i="6"/>
  <c r="F11" i="6"/>
  <c r="E11" i="6"/>
  <c r="G11" i="6" s="1"/>
  <c r="O11" i="6" s="1"/>
  <c r="N10" i="6"/>
  <c r="K10" i="6"/>
  <c r="F10" i="6"/>
  <c r="E10" i="6"/>
  <c r="G10" i="6" s="1"/>
  <c r="O10" i="6" s="1"/>
  <c r="P9" i="6"/>
  <c r="N9" i="6"/>
  <c r="K9" i="6"/>
  <c r="F9" i="6"/>
  <c r="E9" i="6"/>
  <c r="G9" i="6" s="1"/>
  <c r="O9" i="6" s="1"/>
  <c r="N7" i="6"/>
  <c r="K7" i="6"/>
  <c r="F7" i="6"/>
  <c r="G7" i="6" s="1"/>
  <c r="O7" i="6" s="1"/>
  <c r="N6" i="6"/>
  <c r="K6" i="6"/>
  <c r="F6" i="6"/>
  <c r="E6" i="6"/>
  <c r="G6" i="6" s="1"/>
  <c r="O6" i="6" s="1"/>
  <c r="P5" i="6"/>
  <c r="G6" i="8" s="1"/>
  <c r="N5" i="6"/>
  <c r="K5" i="6"/>
  <c r="F5" i="6"/>
  <c r="E5" i="6"/>
  <c r="G5" i="6" s="1"/>
  <c r="O5" i="6" s="1"/>
  <c r="N4" i="6"/>
  <c r="K4" i="6"/>
  <c r="F4" i="6"/>
  <c r="E4" i="6"/>
  <c r="G4" i="6" s="1"/>
  <c r="O4" i="6" s="1"/>
  <c r="N103" i="5"/>
  <c r="K103" i="5"/>
  <c r="F103" i="5"/>
  <c r="G103" i="5" s="1"/>
  <c r="O103" i="5" s="1"/>
  <c r="P102" i="5"/>
  <c r="N102" i="5"/>
  <c r="K102" i="5"/>
  <c r="F102" i="5"/>
  <c r="G102" i="5" s="1"/>
  <c r="O102" i="5" s="1"/>
  <c r="K101" i="5"/>
  <c r="L101" i="5" s="1"/>
  <c r="N101" i="5" s="1"/>
  <c r="F101" i="5"/>
  <c r="E101" i="5"/>
  <c r="G101" i="5" s="1"/>
  <c r="K100" i="5"/>
  <c r="L100" i="5" s="1"/>
  <c r="N100" i="5" s="1"/>
  <c r="F100" i="5"/>
  <c r="E100" i="5"/>
  <c r="G100" i="5" s="1"/>
  <c r="N98" i="5"/>
  <c r="K98" i="5"/>
  <c r="F98" i="5"/>
  <c r="G98" i="5" s="1"/>
  <c r="O98" i="5" s="1"/>
  <c r="P97" i="5"/>
  <c r="K97" i="5"/>
  <c r="L97" i="5" s="1"/>
  <c r="N97" i="5" s="1"/>
  <c r="F97" i="5"/>
  <c r="E97" i="5"/>
  <c r="G97" i="5" s="1"/>
  <c r="K96" i="5"/>
  <c r="L96" i="5" s="1"/>
  <c r="N96" i="5" s="1"/>
  <c r="F96" i="5"/>
  <c r="E96" i="5"/>
  <c r="G96" i="5" s="1"/>
  <c r="K95" i="5"/>
  <c r="L95" i="5" s="1"/>
  <c r="N95" i="5" s="1"/>
  <c r="F95" i="5"/>
  <c r="E95" i="5"/>
  <c r="G95" i="5" s="1"/>
  <c r="N93" i="5"/>
  <c r="K93" i="5"/>
  <c r="F93" i="5"/>
  <c r="G93" i="5" s="1"/>
  <c r="O93" i="5" s="1"/>
  <c r="P92" i="5"/>
  <c r="K92" i="5"/>
  <c r="L92" i="5" s="1"/>
  <c r="N92" i="5" s="1"/>
  <c r="F92" i="5"/>
  <c r="E92" i="5"/>
  <c r="G92" i="5" s="1"/>
  <c r="K91" i="5"/>
  <c r="L91" i="5" s="1"/>
  <c r="N91" i="5" s="1"/>
  <c r="F91" i="5"/>
  <c r="E91" i="5"/>
  <c r="G91" i="5" s="1"/>
  <c r="O91" i="5" s="1"/>
  <c r="K90" i="5"/>
  <c r="L90" i="5" s="1"/>
  <c r="N90" i="5" s="1"/>
  <c r="F90" i="5"/>
  <c r="E90" i="5"/>
  <c r="G90" i="5" s="1"/>
  <c r="O90" i="5" s="1"/>
  <c r="N88" i="5"/>
  <c r="K88" i="5"/>
  <c r="F88" i="5"/>
  <c r="G88" i="5" s="1"/>
  <c r="O88" i="5" s="1"/>
  <c r="P87" i="5"/>
  <c r="K87" i="5"/>
  <c r="L87" i="5" s="1"/>
  <c r="N87" i="5" s="1"/>
  <c r="F87" i="5"/>
  <c r="E87" i="5"/>
  <c r="G87" i="5" s="1"/>
  <c r="K86" i="5"/>
  <c r="L86" i="5" s="1"/>
  <c r="N86" i="5" s="1"/>
  <c r="F86" i="5"/>
  <c r="E86" i="5"/>
  <c r="G86" i="5" s="1"/>
  <c r="K85" i="5"/>
  <c r="L85" i="5" s="1"/>
  <c r="N85" i="5" s="1"/>
  <c r="F85" i="5"/>
  <c r="E85" i="5"/>
  <c r="G85" i="5" s="1"/>
  <c r="N83" i="5"/>
  <c r="K83" i="5"/>
  <c r="N82" i="5"/>
  <c r="K82" i="5"/>
  <c r="F82" i="5"/>
  <c r="G82" i="5" s="1"/>
  <c r="O82" i="5" s="1"/>
  <c r="P81" i="5"/>
  <c r="N81" i="5"/>
  <c r="K81" i="5"/>
  <c r="F81" i="5"/>
  <c r="G81" i="5" s="1"/>
  <c r="O81" i="5" s="1"/>
  <c r="K80" i="5"/>
  <c r="L80" i="5" s="1"/>
  <c r="N80" i="5" s="1"/>
  <c r="F80" i="5"/>
  <c r="E80" i="5"/>
  <c r="G80" i="5" s="1"/>
  <c r="K79" i="5"/>
  <c r="L79" i="5" s="1"/>
  <c r="N79" i="5" s="1"/>
  <c r="F79" i="5"/>
  <c r="E79" i="5"/>
  <c r="G79" i="5" s="1"/>
  <c r="N77" i="5"/>
  <c r="K77" i="5"/>
  <c r="F77" i="5"/>
  <c r="G77" i="5" s="1"/>
  <c r="O77" i="5" s="1"/>
  <c r="P76" i="5"/>
  <c r="K76" i="5"/>
  <c r="L76" i="5" s="1"/>
  <c r="N76" i="5" s="1"/>
  <c r="F76" i="5"/>
  <c r="E76" i="5"/>
  <c r="G76" i="5" s="1"/>
  <c r="P75" i="5"/>
  <c r="K75" i="5"/>
  <c r="L75" i="5" s="1"/>
  <c r="N75" i="5" s="1"/>
  <c r="F75" i="5"/>
  <c r="E75" i="5"/>
  <c r="G75" i="5" s="1"/>
  <c r="K74" i="5"/>
  <c r="L74" i="5" s="1"/>
  <c r="N74" i="5" s="1"/>
  <c r="F74" i="5"/>
  <c r="E74" i="5"/>
  <c r="G74" i="5" s="1"/>
  <c r="N72" i="5"/>
  <c r="K72" i="5"/>
  <c r="F72" i="5"/>
  <c r="G72" i="5" s="1"/>
  <c r="O72" i="5" s="1"/>
  <c r="K71" i="5"/>
  <c r="L71" i="5" s="1"/>
  <c r="N71" i="5" s="1"/>
  <c r="F71" i="5"/>
  <c r="E71" i="5"/>
  <c r="G71" i="5" s="1"/>
  <c r="P70" i="5"/>
  <c r="K70" i="5"/>
  <c r="L70" i="5" s="1"/>
  <c r="N70" i="5" s="1"/>
  <c r="F70" i="5"/>
  <c r="E70" i="5"/>
  <c r="G70" i="5" s="1"/>
  <c r="P69" i="5"/>
  <c r="K69" i="5"/>
  <c r="L69" i="5" s="1"/>
  <c r="N69" i="5" s="1"/>
  <c r="F69" i="5"/>
  <c r="E69" i="5"/>
  <c r="G69" i="5" s="1"/>
  <c r="N67" i="5"/>
  <c r="K67" i="5"/>
  <c r="F67" i="5"/>
  <c r="G67" i="5" s="1"/>
  <c r="O67" i="5" s="1"/>
  <c r="K66" i="5"/>
  <c r="L66" i="5" s="1"/>
  <c r="N66" i="5" s="1"/>
  <c r="F66" i="5"/>
  <c r="E66" i="5"/>
  <c r="G66" i="5" s="1"/>
  <c r="P65" i="5"/>
  <c r="K65" i="5"/>
  <c r="L65" i="5" s="1"/>
  <c r="N65" i="5" s="1"/>
  <c r="F65" i="5"/>
  <c r="E65" i="5"/>
  <c r="G65" i="5" s="1"/>
  <c r="K64" i="5"/>
  <c r="L64" i="5" s="1"/>
  <c r="N64" i="5" s="1"/>
  <c r="F64" i="5"/>
  <c r="E64" i="5"/>
  <c r="G64" i="5" s="1"/>
  <c r="N62" i="5"/>
  <c r="K62" i="5"/>
  <c r="N61" i="5"/>
  <c r="K61" i="5"/>
  <c r="F61" i="5"/>
  <c r="G61" i="5" s="1"/>
  <c r="O61" i="5" s="1"/>
  <c r="K60" i="5"/>
  <c r="L60" i="5" s="1"/>
  <c r="N60" i="5" s="1"/>
  <c r="F60" i="5"/>
  <c r="E60" i="5"/>
  <c r="G60" i="5" s="1"/>
  <c r="P59" i="5"/>
  <c r="K59" i="5"/>
  <c r="L59" i="5" s="1"/>
  <c r="N59" i="5" s="1"/>
  <c r="F59" i="5"/>
  <c r="E59" i="5"/>
  <c r="G59" i="5" s="1"/>
  <c r="P58" i="5"/>
  <c r="K58" i="5"/>
  <c r="L58" i="5" s="1"/>
  <c r="N58" i="5" s="1"/>
  <c r="F58" i="5"/>
  <c r="E58" i="5"/>
  <c r="G58" i="5" s="1"/>
  <c r="N56" i="5"/>
  <c r="K56" i="5"/>
  <c r="F56" i="5"/>
  <c r="G56" i="5" s="1"/>
  <c r="O56" i="5" s="1"/>
  <c r="K55" i="5"/>
  <c r="L55" i="5" s="1"/>
  <c r="N55" i="5" s="1"/>
  <c r="F55" i="5"/>
  <c r="E55" i="5"/>
  <c r="G55" i="5" s="1"/>
  <c r="P54" i="5"/>
  <c r="K54" i="5"/>
  <c r="L54" i="5" s="1"/>
  <c r="N54" i="5" s="1"/>
  <c r="F54" i="5"/>
  <c r="E54" i="5"/>
  <c r="G54" i="5" s="1"/>
  <c r="N52" i="5"/>
  <c r="K52" i="5"/>
  <c r="F52" i="5"/>
  <c r="G52" i="5" s="1"/>
  <c r="O52" i="5" s="1"/>
  <c r="K51" i="5"/>
  <c r="L51" i="5" s="1"/>
  <c r="N51" i="5" s="1"/>
  <c r="F51" i="5"/>
  <c r="E51" i="5"/>
  <c r="G51" i="5" s="1"/>
  <c r="K50" i="5"/>
  <c r="L50" i="5" s="1"/>
  <c r="N50" i="5" s="1"/>
  <c r="F50" i="5"/>
  <c r="E50" i="5"/>
  <c r="G50" i="5" s="1"/>
  <c r="K49" i="5"/>
  <c r="L49" i="5" s="1"/>
  <c r="N49" i="5" s="1"/>
  <c r="F49" i="5"/>
  <c r="E49" i="5"/>
  <c r="G49" i="5" s="1"/>
  <c r="N47" i="5"/>
  <c r="K47" i="5"/>
  <c r="F47" i="5"/>
  <c r="G47" i="5" s="1"/>
  <c r="O47" i="5" s="1"/>
  <c r="P46" i="5"/>
  <c r="K46" i="5"/>
  <c r="L46" i="5" s="1"/>
  <c r="N46" i="5" s="1"/>
  <c r="F46" i="5"/>
  <c r="E46" i="5"/>
  <c r="G46" i="5" s="1"/>
  <c r="K45" i="5"/>
  <c r="L45" i="5" s="1"/>
  <c r="N45" i="5" s="1"/>
  <c r="F45" i="5"/>
  <c r="E45" i="5"/>
  <c r="G45" i="5" s="1"/>
  <c r="P44" i="5"/>
  <c r="K44" i="5"/>
  <c r="L44" i="5" s="1"/>
  <c r="N44" i="5" s="1"/>
  <c r="F44" i="5"/>
  <c r="E44" i="5"/>
  <c r="G44" i="5" s="1"/>
  <c r="N42" i="5"/>
  <c r="K42" i="5"/>
  <c r="N41" i="5"/>
  <c r="K41" i="5"/>
  <c r="F41" i="5"/>
  <c r="G41" i="5" s="1"/>
  <c r="O41" i="5" s="1"/>
  <c r="P40" i="5"/>
  <c r="K40" i="5"/>
  <c r="L40" i="5" s="1"/>
  <c r="N40" i="5" s="1"/>
  <c r="F40" i="5"/>
  <c r="E40" i="5"/>
  <c r="G40" i="5" s="1"/>
  <c r="K39" i="5"/>
  <c r="L39" i="5" s="1"/>
  <c r="N39" i="5" s="1"/>
  <c r="F39" i="5"/>
  <c r="E39" i="5"/>
  <c r="G39" i="5" s="1"/>
  <c r="N37" i="5"/>
  <c r="K37" i="5"/>
  <c r="F37" i="5"/>
  <c r="G37" i="5" s="1"/>
  <c r="O37" i="5" s="1"/>
  <c r="K36" i="5"/>
  <c r="L36" i="5" s="1"/>
  <c r="N36" i="5" s="1"/>
  <c r="F36" i="5"/>
  <c r="E36" i="5"/>
  <c r="G36" i="5" s="1"/>
  <c r="P35" i="5"/>
  <c r="K35" i="5"/>
  <c r="L35" i="5" s="1"/>
  <c r="N35" i="5" s="1"/>
  <c r="F35" i="5"/>
  <c r="E35" i="5"/>
  <c r="G35" i="5" s="1"/>
  <c r="P34" i="5"/>
  <c r="K34" i="5"/>
  <c r="L34" i="5" s="1"/>
  <c r="N34" i="5" s="1"/>
  <c r="F34" i="5"/>
  <c r="E34" i="5"/>
  <c r="G34" i="5" s="1"/>
  <c r="N32" i="5"/>
  <c r="K32" i="5"/>
  <c r="F32" i="5"/>
  <c r="G32" i="5" s="1"/>
  <c r="O32" i="5" s="1"/>
  <c r="P31" i="5"/>
  <c r="K31" i="5"/>
  <c r="L31" i="5" s="1"/>
  <c r="N31" i="5" s="1"/>
  <c r="F31" i="5"/>
  <c r="E31" i="5"/>
  <c r="G31" i="5" s="1"/>
  <c r="K30" i="5"/>
  <c r="L30" i="5" s="1"/>
  <c r="N30" i="5" s="1"/>
  <c r="F30" i="5"/>
  <c r="E30" i="5"/>
  <c r="G30" i="5" s="1"/>
  <c r="K29" i="5"/>
  <c r="L29" i="5" s="1"/>
  <c r="N29" i="5" s="1"/>
  <c r="F29" i="5"/>
  <c r="E29" i="5"/>
  <c r="G29" i="5" s="1"/>
  <c r="N27" i="5"/>
  <c r="K27" i="5"/>
  <c r="N26" i="5"/>
  <c r="K26" i="5"/>
  <c r="F26" i="5"/>
  <c r="G26" i="5" s="1"/>
  <c r="O26" i="5" s="1"/>
  <c r="P25" i="5"/>
  <c r="K25" i="5"/>
  <c r="L25" i="5" s="1"/>
  <c r="N25" i="5" s="1"/>
  <c r="F25" i="5"/>
  <c r="E25" i="5"/>
  <c r="G25" i="5" s="1"/>
  <c r="P24" i="5"/>
  <c r="K24" i="5"/>
  <c r="L24" i="5" s="1"/>
  <c r="N24" i="5" s="1"/>
  <c r="F24" i="5"/>
  <c r="E24" i="5"/>
  <c r="G24" i="5" s="1"/>
  <c r="K23" i="5"/>
  <c r="L23" i="5" s="1"/>
  <c r="N23" i="5" s="1"/>
  <c r="F23" i="5"/>
  <c r="E23" i="5"/>
  <c r="G23" i="5" s="1"/>
  <c r="N21" i="5"/>
  <c r="K21" i="5"/>
  <c r="F21" i="5"/>
  <c r="G21" i="5" s="1"/>
  <c r="O21" i="5" s="1"/>
  <c r="P20" i="5"/>
  <c r="K20" i="5"/>
  <c r="L20" i="5" s="1"/>
  <c r="N20" i="5" s="1"/>
  <c r="F20" i="5"/>
  <c r="E20" i="5"/>
  <c r="G20" i="5" s="1"/>
  <c r="K19" i="5"/>
  <c r="L19" i="5" s="1"/>
  <c r="N19" i="5" s="1"/>
  <c r="F19" i="5"/>
  <c r="E19" i="5"/>
  <c r="G19" i="5" s="1"/>
  <c r="K18" i="5"/>
  <c r="L18" i="5" s="1"/>
  <c r="N18" i="5" s="1"/>
  <c r="F18" i="5"/>
  <c r="E18" i="5"/>
  <c r="G18" i="5" s="1"/>
  <c r="K17" i="5"/>
  <c r="L17" i="5" s="1"/>
  <c r="N17" i="5" s="1"/>
  <c r="F17" i="5"/>
  <c r="E17" i="5"/>
  <c r="G17" i="5" s="1"/>
  <c r="N15" i="5"/>
  <c r="K15" i="5"/>
  <c r="F15" i="5"/>
  <c r="G15" i="5" s="1"/>
  <c r="O15" i="5" s="1"/>
  <c r="K14" i="5"/>
  <c r="L14" i="5" s="1"/>
  <c r="N14" i="5" s="1"/>
  <c r="F14" i="5"/>
  <c r="E14" i="5"/>
  <c r="G14" i="5" s="1"/>
  <c r="K13" i="5"/>
  <c r="L13" i="5" s="1"/>
  <c r="N13" i="5" s="1"/>
  <c r="F13" i="5"/>
  <c r="E13" i="5"/>
  <c r="G13" i="5" s="1"/>
  <c r="P12" i="5"/>
  <c r="K12" i="5"/>
  <c r="L12" i="5" s="1"/>
  <c r="N12" i="5" s="1"/>
  <c r="F12" i="5"/>
  <c r="E12" i="5"/>
  <c r="G12" i="5" s="1"/>
  <c r="K11" i="5"/>
  <c r="L11" i="5" s="1"/>
  <c r="N11" i="5" s="1"/>
  <c r="F11" i="5"/>
  <c r="E11" i="5"/>
  <c r="G11" i="5" s="1"/>
  <c r="N9" i="5"/>
  <c r="K9" i="5"/>
  <c r="F9" i="5"/>
  <c r="G9" i="5" s="1"/>
  <c r="O9" i="5" s="1"/>
  <c r="P8" i="5"/>
  <c r="K8" i="5"/>
  <c r="L8" i="5" s="1"/>
  <c r="N8" i="5" s="1"/>
  <c r="F8" i="5"/>
  <c r="E8" i="5"/>
  <c r="G8" i="5" s="1"/>
  <c r="P7" i="5"/>
  <c r="K7" i="5"/>
  <c r="L7" i="5" s="1"/>
  <c r="N7" i="5" s="1"/>
  <c r="F7" i="5"/>
  <c r="E7" i="5"/>
  <c r="G7" i="5" s="1"/>
  <c r="K6" i="5"/>
  <c r="L6" i="5" s="1"/>
  <c r="N6" i="5" s="1"/>
  <c r="F6" i="5"/>
  <c r="E6" i="5"/>
  <c r="G6" i="5" s="1"/>
  <c r="K5" i="5"/>
  <c r="L5" i="5" s="1"/>
  <c r="N5" i="5" s="1"/>
  <c r="F5" i="5"/>
  <c r="E5" i="5"/>
  <c r="G5" i="5" s="1"/>
  <c r="P4" i="5"/>
  <c r="G5" i="8" s="1"/>
  <c r="K4" i="5"/>
  <c r="L4" i="5" s="1"/>
  <c r="N4" i="5" s="1"/>
  <c r="F4" i="5"/>
  <c r="E4" i="5"/>
  <c r="G4" i="5" s="1"/>
  <c r="O4" i="5" s="1"/>
  <c r="K56" i="4"/>
  <c r="L56" i="4" s="1"/>
  <c r="N56" i="4" s="1"/>
  <c r="F56" i="4"/>
  <c r="G56" i="4" s="1"/>
  <c r="K55" i="4"/>
  <c r="L55" i="4" s="1"/>
  <c r="N55" i="4" s="1"/>
  <c r="F55" i="4"/>
  <c r="E55" i="4"/>
  <c r="G55" i="4" s="1"/>
  <c r="K54" i="4"/>
  <c r="L54" i="4" s="1"/>
  <c r="N54" i="4" s="1"/>
  <c r="F54" i="4"/>
  <c r="E54" i="4"/>
  <c r="G54" i="4" s="1"/>
  <c r="P53" i="4"/>
  <c r="K53" i="4"/>
  <c r="L53" i="4" s="1"/>
  <c r="N53" i="4" s="1"/>
  <c r="F53" i="4"/>
  <c r="E53" i="4"/>
  <c r="G53" i="4" s="1"/>
  <c r="K51" i="4"/>
  <c r="L51" i="4" s="1"/>
  <c r="N51" i="4" s="1"/>
  <c r="F51" i="4"/>
  <c r="G51" i="4" s="1"/>
  <c r="K50" i="4"/>
  <c r="L50" i="4" s="1"/>
  <c r="N50" i="4" s="1"/>
  <c r="F50" i="4"/>
  <c r="E50" i="4"/>
  <c r="G50" i="4" s="1"/>
  <c r="K49" i="4"/>
  <c r="L49" i="4" s="1"/>
  <c r="N49" i="4" s="1"/>
  <c r="F49" i="4"/>
  <c r="E49" i="4"/>
  <c r="G49" i="4" s="1"/>
  <c r="K48" i="4"/>
  <c r="L48" i="4" s="1"/>
  <c r="N48" i="4" s="1"/>
  <c r="F48" i="4"/>
  <c r="E48" i="4"/>
  <c r="G48" i="4" s="1"/>
  <c r="N46" i="4"/>
  <c r="K46" i="4"/>
  <c r="K45" i="4"/>
  <c r="L45" i="4" s="1"/>
  <c r="N45" i="4" s="1"/>
  <c r="G45" i="4"/>
  <c r="F45" i="4"/>
  <c r="K44" i="4"/>
  <c r="L44" i="4" s="1"/>
  <c r="N44" i="4" s="1"/>
  <c r="F44" i="4"/>
  <c r="E44" i="4"/>
  <c r="G44" i="4" s="1"/>
  <c r="K43" i="4"/>
  <c r="L43" i="4" s="1"/>
  <c r="N43" i="4" s="1"/>
  <c r="F43" i="4"/>
  <c r="E43" i="4"/>
  <c r="G43" i="4" s="1"/>
  <c r="K42" i="4"/>
  <c r="L42" i="4" s="1"/>
  <c r="N42" i="4" s="1"/>
  <c r="F42" i="4"/>
  <c r="E42" i="4"/>
  <c r="G42" i="4" s="1"/>
  <c r="K40" i="4"/>
  <c r="L40" i="4" s="1"/>
  <c r="N40" i="4" s="1"/>
  <c r="F40" i="4"/>
  <c r="G40" i="4" s="1"/>
  <c r="O40" i="4" s="1"/>
  <c r="K39" i="4"/>
  <c r="L39" i="4" s="1"/>
  <c r="N39" i="4" s="1"/>
  <c r="F39" i="4"/>
  <c r="E39" i="4"/>
  <c r="G39" i="4" s="1"/>
  <c r="K38" i="4"/>
  <c r="L38" i="4" s="1"/>
  <c r="N38" i="4" s="1"/>
  <c r="F38" i="4"/>
  <c r="E38" i="4"/>
  <c r="G38" i="4" s="1"/>
  <c r="K37" i="4"/>
  <c r="L37" i="4" s="1"/>
  <c r="N37" i="4" s="1"/>
  <c r="F37" i="4"/>
  <c r="E37" i="4"/>
  <c r="G37" i="4" s="1"/>
  <c r="N35" i="4"/>
  <c r="K35" i="4"/>
  <c r="K34" i="4"/>
  <c r="L34" i="4" s="1"/>
  <c r="N34" i="4" s="1"/>
  <c r="F34" i="4"/>
  <c r="G34" i="4" s="1"/>
  <c r="P33" i="4"/>
  <c r="K33" i="4"/>
  <c r="L33" i="4" s="1"/>
  <c r="N33" i="4" s="1"/>
  <c r="F33" i="4"/>
  <c r="E33" i="4"/>
  <c r="G33" i="4" s="1"/>
  <c r="K32" i="4"/>
  <c r="L32" i="4" s="1"/>
  <c r="N32" i="4" s="1"/>
  <c r="F32" i="4"/>
  <c r="E32" i="4"/>
  <c r="G32" i="4" s="1"/>
  <c r="P31" i="4"/>
  <c r="K31" i="4"/>
  <c r="L31" i="4" s="1"/>
  <c r="N31" i="4" s="1"/>
  <c r="F31" i="4"/>
  <c r="E31" i="4"/>
  <c r="G31" i="4" s="1"/>
  <c r="K29" i="4"/>
  <c r="L29" i="4" s="1"/>
  <c r="N29" i="4" s="1"/>
  <c r="F29" i="4"/>
  <c r="G29" i="4" s="1"/>
  <c r="P28" i="4"/>
  <c r="K28" i="4"/>
  <c r="L28" i="4" s="1"/>
  <c r="N28" i="4" s="1"/>
  <c r="F28" i="4"/>
  <c r="E28" i="4"/>
  <c r="G28" i="4" s="1"/>
  <c r="P27" i="4"/>
  <c r="K27" i="4"/>
  <c r="L27" i="4" s="1"/>
  <c r="N27" i="4" s="1"/>
  <c r="F27" i="4"/>
  <c r="E27" i="4"/>
  <c r="G27" i="4" s="1"/>
  <c r="P26" i="4"/>
  <c r="K26" i="4"/>
  <c r="L26" i="4" s="1"/>
  <c r="N26" i="4" s="1"/>
  <c r="F26" i="4"/>
  <c r="E26" i="4"/>
  <c r="G26" i="4" s="1"/>
  <c r="N24" i="4"/>
  <c r="K24" i="4"/>
  <c r="K23" i="4"/>
  <c r="L23" i="4" s="1"/>
  <c r="N23" i="4" s="1"/>
  <c r="F23" i="4"/>
  <c r="G23" i="4" s="1"/>
  <c r="K22" i="4"/>
  <c r="L22" i="4" s="1"/>
  <c r="N22" i="4" s="1"/>
  <c r="F22" i="4"/>
  <c r="E22" i="4"/>
  <c r="G22" i="4" s="1"/>
  <c r="P21" i="4"/>
  <c r="K21" i="4"/>
  <c r="L21" i="4" s="1"/>
  <c r="N21" i="4" s="1"/>
  <c r="F21" i="4"/>
  <c r="E21" i="4"/>
  <c r="G21" i="4" s="1"/>
  <c r="P20" i="4"/>
  <c r="K20" i="4"/>
  <c r="L20" i="4" s="1"/>
  <c r="N20" i="4" s="1"/>
  <c r="F20" i="4"/>
  <c r="E20" i="4"/>
  <c r="G20" i="4" s="1"/>
  <c r="K18" i="4"/>
  <c r="L18" i="4" s="1"/>
  <c r="N18" i="4" s="1"/>
  <c r="F18" i="4"/>
  <c r="G18" i="4" s="1"/>
  <c r="P17" i="4"/>
  <c r="K17" i="4"/>
  <c r="L17" i="4" s="1"/>
  <c r="N17" i="4" s="1"/>
  <c r="F17" i="4"/>
  <c r="E17" i="4"/>
  <c r="G17" i="4" s="1"/>
  <c r="P16" i="4"/>
  <c r="K16" i="4"/>
  <c r="L16" i="4" s="1"/>
  <c r="N16" i="4" s="1"/>
  <c r="F16" i="4"/>
  <c r="E16" i="4"/>
  <c r="G16" i="4" s="1"/>
  <c r="P15" i="4"/>
  <c r="K15" i="4"/>
  <c r="L15" i="4" s="1"/>
  <c r="N15" i="4" s="1"/>
  <c r="F15" i="4"/>
  <c r="E15" i="4"/>
  <c r="G15" i="4" s="1"/>
  <c r="N13" i="4"/>
  <c r="K13" i="4"/>
  <c r="K12" i="4"/>
  <c r="L12" i="4" s="1"/>
  <c r="N12" i="4" s="1"/>
  <c r="F12" i="4"/>
  <c r="G12" i="4" s="1"/>
  <c r="P11" i="4"/>
  <c r="K11" i="4"/>
  <c r="L11" i="4" s="1"/>
  <c r="N11" i="4" s="1"/>
  <c r="F11" i="4"/>
  <c r="E11" i="4"/>
  <c r="G11" i="4" s="1"/>
  <c r="O11" i="4" s="1"/>
  <c r="K10" i="4"/>
  <c r="L10" i="4" s="1"/>
  <c r="N10" i="4" s="1"/>
  <c r="F10" i="4"/>
  <c r="E10" i="4"/>
  <c r="G10" i="4" s="1"/>
  <c r="K9" i="4"/>
  <c r="L9" i="4" s="1"/>
  <c r="N9" i="4" s="1"/>
  <c r="F9" i="4"/>
  <c r="E9" i="4"/>
  <c r="G9" i="4" s="1"/>
  <c r="K7" i="4"/>
  <c r="L7" i="4" s="1"/>
  <c r="N7" i="4" s="1"/>
  <c r="F7" i="4"/>
  <c r="G7" i="4" s="1"/>
  <c r="K6" i="4"/>
  <c r="L6" i="4" s="1"/>
  <c r="N6" i="4" s="1"/>
  <c r="F6" i="4"/>
  <c r="E6" i="4"/>
  <c r="G6" i="4" s="1"/>
  <c r="P5" i="4"/>
  <c r="K5" i="4"/>
  <c r="L5" i="4" s="1"/>
  <c r="N5" i="4" s="1"/>
  <c r="F5" i="4"/>
  <c r="E5" i="4"/>
  <c r="G5" i="4" s="1"/>
  <c r="P4" i="4"/>
  <c r="G4" i="8" s="1"/>
  <c r="K4" i="4"/>
  <c r="L4" i="4" s="1"/>
  <c r="N4" i="4" s="1"/>
  <c r="F4" i="4"/>
  <c r="E4" i="4"/>
  <c r="G4" i="4" s="1"/>
  <c r="K52" i="3"/>
  <c r="L52" i="3" s="1"/>
  <c r="N52" i="3" s="1"/>
  <c r="F52" i="3"/>
  <c r="G52" i="3" s="1"/>
  <c r="P51" i="3"/>
  <c r="K51" i="3"/>
  <c r="L51" i="3" s="1"/>
  <c r="N51" i="3" s="1"/>
  <c r="F51" i="3"/>
  <c r="E51" i="3"/>
  <c r="G51" i="3" s="1"/>
  <c r="K49" i="3"/>
  <c r="L49" i="3" s="1"/>
  <c r="N49" i="3" s="1"/>
  <c r="F49" i="3"/>
  <c r="G49" i="3" s="1"/>
  <c r="P48" i="3"/>
  <c r="K48" i="3"/>
  <c r="L48" i="3" s="1"/>
  <c r="N48" i="3" s="1"/>
  <c r="F48" i="3"/>
  <c r="E48" i="3"/>
  <c r="G48" i="3" s="1"/>
  <c r="P47" i="3"/>
  <c r="K47" i="3"/>
  <c r="L47" i="3" s="1"/>
  <c r="N47" i="3" s="1"/>
  <c r="F47" i="3"/>
  <c r="E47" i="3"/>
  <c r="G47" i="3" s="1"/>
  <c r="P46" i="3"/>
  <c r="K46" i="3"/>
  <c r="L46" i="3" s="1"/>
  <c r="N46" i="3" s="1"/>
  <c r="F46" i="3"/>
  <c r="E46" i="3"/>
  <c r="G46" i="3" s="1"/>
  <c r="K44" i="3"/>
  <c r="L44" i="3" s="1"/>
  <c r="N44" i="3" s="1"/>
  <c r="F44" i="3"/>
  <c r="G44" i="3" s="1"/>
  <c r="O44" i="3" s="1"/>
  <c r="P43" i="3"/>
  <c r="K43" i="3"/>
  <c r="L43" i="3" s="1"/>
  <c r="N43" i="3" s="1"/>
  <c r="F43" i="3"/>
  <c r="E43" i="3"/>
  <c r="G43" i="3" s="1"/>
  <c r="P42" i="3"/>
  <c r="K42" i="3"/>
  <c r="L42" i="3" s="1"/>
  <c r="N42" i="3" s="1"/>
  <c r="F42" i="3"/>
  <c r="E42" i="3"/>
  <c r="G42" i="3" s="1"/>
  <c r="K41" i="3"/>
  <c r="L41" i="3" s="1"/>
  <c r="N41" i="3" s="1"/>
  <c r="F41" i="3"/>
  <c r="E41" i="3"/>
  <c r="G41" i="3" s="1"/>
  <c r="P40" i="3"/>
  <c r="K40" i="3"/>
  <c r="L40" i="3" s="1"/>
  <c r="N40" i="3" s="1"/>
  <c r="F40" i="3"/>
  <c r="E40" i="3"/>
  <c r="G40" i="3" s="1"/>
  <c r="N38" i="3"/>
  <c r="K38" i="3"/>
  <c r="K37" i="3"/>
  <c r="L37" i="3" s="1"/>
  <c r="N37" i="3" s="1"/>
  <c r="F37" i="3"/>
  <c r="E37" i="3"/>
  <c r="G37" i="3" s="1"/>
  <c r="K36" i="3"/>
  <c r="L36" i="3" s="1"/>
  <c r="N36" i="3" s="1"/>
  <c r="F36" i="3"/>
  <c r="E36" i="3"/>
  <c r="G36" i="3" s="1"/>
  <c r="K35" i="3"/>
  <c r="L35" i="3" s="1"/>
  <c r="N35" i="3" s="1"/>
  <c r="F35" i="3"/>
  <c r="E35" i="3"/>
  <c r="G35" i="3" s="1"/>
  <c r="K34" i="3"/>
  <c r="L34" i="3" s="1"/>
  <c r="N34" i="3" s="1"/>
  <c r="G34" i="3"/>
  <c r="F34" i="3"/>
  <c r="E34" i="3"/>
  <c r="P33" i="3"/>
  <c r="K33" i="3"/>
  <c r="L33" i="3" s="1"/>
  <c r="N33" i="3" s="1"/>
  <c r="F33" i="3"/>
  <c r="E33" i="3"/>
  <c r="G33" i="3" s="1"/>
  <c r="K32" i="3"/>
  <c r="L32" i="3" s="1"/>
  <c r="N32" i="3" s="1"/>
  <c r="F32" i="3"/>
  <c r="E32" i="3"/>
  <c r="G32" i="3" s="1"/>
  <c r="K31" i="3"/>
  <c r="L31" i="3" s="1"/>
  <c r="N31" i="3" s="1"/>
  <c r="F31" i="3"/>
  <c r="E31" i="3"/>
  <c r="G31" i="3" s="1"/>
  <c r="P30" i="3"/>
  <c r="K30" i="3"/>
  <c r="L30" i="3" s="1"/>
  <c r="N30" i="3" s="1"/>
  <c r="F30" i="3"/>
  <c r="E30" i="3"/>
  <c r="G30" i="3" s="1"/>
  <c r="N28" i="3"/>
  <c r="K28" i="3"/>
  <c r="K27" i="3"/>
  <c r="L27" i="3" s="1"/>
  <c r="N27" i="3" s="1"/>
  <c r="F27" i="3"/>
  <c r="G27" i="3" s="1"/>
  <c r="K26" i="3"/>
  <c r="L26" i="3" s="1"/>
  <c r="N26" i="3" s="1"/>
  <c r="F26" i="3"/>
  <c r="E26" i="3"/>
  <c r="G26" i="3" s="1"/>
  <c r="K25" i="3"/>
  <c r="L25" i="3" s="1"/>
  <c r="N25" i="3" s="1"/>
  <c r="F25" i="3"/>
  <c r="E25" i="3"/>
  <c r="G25" i="3" s="1"/>
  <c r="P24" i="3"/>
  <c r="K24" i="3"/>
  <c r="L24" i="3" s="1"/>
  <c r="N24" i="3" s="1"/>
  <c r="F24" i="3"/>
  <c r="E24" i="3"/>
  <c r="G24" i="3" s="1"/>
  <c r="O24" i="3" s="1"/>
  <c r="K23" i="3"/>
  <c r="L23" i="3" s="1"/>
  <c r="N23" i="3" s="1"/>
  <c r="F23" i="3"/>
  <c r="E23" i="3"/>
  <c r="G23" i="3" s="1"/>
  <c r="K22" i="3"/>
  <c r="L22" i="3" s="1"/>
  <c r="N22" i="3" s="1"/>
  <c r="F22" i="3"/>
  <c r="E22" i="3"/>
  <c r="G22" i="3" s="1"/>
  <c r="K21" i="3"/>
  <c r="L21" i="3" s="1"/>
  <c r="N21" i="3" s="1"/>
  <c r="F21" i="3"/>
  <c r="E21" i="3"/>
  <c r="G21" i="3" s="1"/>
  <c r="P20" i="3"/>
  <c r="K20" i="3"/>
  <c r="L20" i="3" s="1"/>
  <c r="N20" i="3" s="1"/>
  <c r="F20" i="3"/>
  <c r="E20" i="3"/>
  <c r="G20" i="3" s="1"/>
  <c r="O20" i="3" s="1"/>
  <c r="K19" i="3"/>
  <c r="N18" i="3"/>
  <c r="K18" i="3"/>
  <c r="K17" i="3"/>
  <c r="L17" i="3" s="1"/>
  <c r="N17" i="3" s="1"/>
  <c r="F17" i="3"/>
  <c r="G17" i="3" s="1"/>
  <c r="K16" i="3"/>
  <c r="L16" i="3" s="1"/>
  <c r="N16" i="3" s="1"/>
  <c r="F16" i="3"/>
  <c r="E16" i="3"/>
  <c r="G16" i="3" s="1"/>
  <c r="K15" i="3"/>
  <c r="L15" i="3" s="1"/>
  <c r="N15" i="3" s="1"/>
  <c r="F15" i="3"/>
  <c r="E15" i="3"/>
  <c r="G15" i="3" s="1"/>
  <c r="K14" i="3"/>
  <c r="L14" i="3" s="1"/>
  <c r="N14" i="3" s="1"/>
  <c r="F14" i="3"/>
  <c r="E14" i="3"/>
  <c r="G14" i="3" s="1"/>
  <c r="P13" i="3"/>
  <c r="K13" i="3"/>
  <c r="L13" i="3" s="1"/>
  <c r="N13" i="3" s="1"/>
  <c r="F13" i="3"/>
  <c r="E13" i="3"/>
  <c r="G13" i="3" s="1"/>
  <c r="O13" i="3" s="1"/>
  <c r="K12" i="3"/>
  <c r="L12" i="3" s="1"/>
  <c r="N12" i="3" s="1"/>
  <c r="F12" i="3"/>
  <c r="E12" i="3"/>
  <c r="G12" i="3" s="1"/>
  <c r="P11" i="3"/>
  <c r="K11" i="3"/>
  <c r="L11" i="3" s="1"/>
  <c r="N11" i="3" s="1"/>
  <c r="F11" i="3"/>
  <c r="E11" i="3"/>
  <c r="G11" i="3" s="1"/>
  <c r="N9" i="3"/>
  <c r="K9" i="3"/>
  <c r="K8" i="3"/>
  <c r="L8" i="3" s="1"/>
  <c r="N8" i="3" s="1"/>
  <c r="F8" i="3"/>
  <c r="E8" i="3"/>
  <c r="G8" i="3" s="1"/>
  <c r="O8" i="3" s="1"/>
  <c r="K7" i="3"/>
  <c r="L7" i="3" s="1"/>
  <c r="N7" i="3" s="1"/>
  <c r="F7" i="3"/>
  <c r="E7" i="3"/>
  <c r="G7" i="3" s="1"/>
  <c r="P6" i="3"/>
  <c r="G3" i="8" s="1"/>
  <c r="K6" i="3"/>
  <c r="L6" i="3" s="1"/>
  <c r="N6" i="3" s="1"/>
  <c r="F6" i="3"/>
  <c r="E6" i="3"/>
  <c r="G6" i="3" s="1"/>
  <c r="K5" i="3"/>
  <c r="L5" i="3" s="1"/>
  <c r="N5" i="3" s="1"/>
  <c r="F5" i="3"/>
  <c r="E5" i="3"/>
  <c r="G5" i="3" s="1"/>
  <c r="K4" i="3"/>
  <c r="L4" i="3" s="1"/>
  <c r="N4" i="3" s="1"/>
  <c r="F4" i="3"/>
  <c r="E4" i="3"/>
  <c r="G4" i="3" s="1"/>
  <c r="K85" i="2"/>
  <c r="L85" i="2" s="1"/>
  <c r="N85" i="2" s="1"/>
  <c r="F85" i="2"/>
  <c r="G85" i="2" s="1"/>
  <c r="O85" i="2" s="1"/>
  <c r="K84" i="2"/>
  <c r="L84" i="2" s="1"/>
  <c r="N84" i="2" s="1"/>
  <c r="F84" i="2"/>
  <c r="E84" i="2"/>
  <c r="G84" i="2" s="1"/>
  <c r="P83" i="2"/>
  <c r="K83" i="2"/>
  <c r="L83" i="2" s="1"/>
  <c r="N83" i="2" s="1"/>
  <c r="F83" i="2"/>
  <c r="E83" i="2"/>
  <c r="G83" i="2" s="1"/>
  <c r="O83" i="2" s="1"/>
  <c r="K82" i="2"/>
  <c r="L82" i="2" s="1"/>
  <c r="N82" i="2" s="1"/>
  <c r="F82" i="2"/>
  <c r="E82" i="2"/>
  <c r="G82" i="2" s="1"/>
  <c r="P80" i="2"/>
  <c r="K80" i="2"/>
  <c r="L80" i="2" s="1"/>
  <c r="N80" i="2" s="1"/>
  <c r="F80" i="2"/>
  <c r="E80" i="2"/>
  <c r="G80" i="2" s="1"/>
  <c r="P79" i="2"/>
  <c r="K79" i="2"/>
  <c r="L79" i="2" s="1"/>
  <c r="N79" i="2" s="1"/>
  <c r="F79" i="2"/>
  <c r="E79" i="2" a="1"/>
  <c r="E79" i="2"/>
  <c r="G79" i="2" s="1"/>
  <c r="P78" i="2"/>
  <c r="K78" i="2"/>
  <c r="L78" i="2" s="1"/>
  <c r="N78" i="2" s="1"/>
  <c r="F78" i="2"/>
  <c r="E78" i="2" a="1"/>
  <c r="E78" i="2"/>
  <c r="G78" i="2" s="1"/>
  <c r="P77" i="2"/>
  <c r="K77" i="2"/>
  <c r="L77" i="2" s="1"/>
  <c r="N77" i="2" s="1"/>
  <c r="F77" i="2"/>
  <c r="E77" i="2"/>
  <c r="G77" i="2" s="1"/>
  <c r="P75" i="2"/>
  <c r="K75" i="2"/>
  <c r="L75" i="2" s="1"/>
  <c r="N75" i="2" s="1"/>
  <c r="F75" i="2"/>
  <c r="E75" i="2"/>
  <c r="G75" i="2" s="1"/>
  <c r="P74" i="2"/>
  <c r="K74" i="2"/>
  <c r="L74" i="2" s="1"/>
  <c r="N74" i="2" s="1"/>
  <c r="F74" i="2"/>
  <c r="E74" i="2"/>
  <c r="G74" i="2" s="1"/>
  <c r="P73" i="2"/>
  <c r="K73" i="2"/>
  <c r="L73" i="2" s="1"/>
  <c r="N73" i="2" s="1"/>
  <c r="F73" i="2"/>
  <c r="E73" i="2" a="1"/>
  <c r="E73" i="2"/>
  <c r="G73" i="2" s="1"/>
  <c r="P72" i="2"/>
  <c r="K72" i="2"/>
  <c r="L72" i="2" s="1"/>
  <c r="N72" i="2" s="1"/>
  <c r="F72" i="2"/>
  <c r="E72" i="2"/>
  <c r="G72" i="2" s="1"/>
  <c r="P71" i="2"/>
  <c r="K71" i="2"/>
  <c r="L71" i="2" s="1"/>
  <c r="N71" i="2" s="1"/>
  <c r="F71" i="2"/>
  <c r="E71" i="2"/>
  <c r="G71" i="2" s="1"/>
  <c r="P70" i="2"/>
  <c r="K70" i="2"/>
  <c r="L70" i="2" s="1"/>
  <c r="N70" i="2" s="1"/>
  <c r="F70" i="2"/>
  <c r="E70" i="2"/>
  <c r="G70" i="2" s="1"/>
  <c r="K68" i="2"/>
  <c r="L68" i="2" s="1"/>
  <c r="N68" i="2" s="1"/>
  <c r="F68" i="2"/>
  <c r="G68" i="2" s="1"/>
  <c r="K67" i="2"/>
  <c r="L67" i="2" s="1"/>
  <c r="N67" i="2" s="1"/>
  <c r="F67" i="2"/>
  <c r="E67" i="2"/>
  <c r="G67" i="2" s="1"/>
  <c r="K66" i="2"/>
  <c r="L66" i="2" s="1"/>
  <c r="N66" i="2" s="1"/>
  <c r="F66" i="2"/>
  <c r="E66" i="2"/>
  <c r="G66" i="2" s="1"/>
  <c r="K65" i="2"/>
  <c r="L65" i="2" s="1"/>
  <c r="N65" i="2" s="1"/>
  <c r="G65" i="2"/>
  <c r="O65" i="2" s="1"/>
  <c r="F65" i="2"/>
  <c r="E65" i="2"/>
  <c r="K64" i="2"/>
  <c r="L64" i="2" s="1"/>
  <c r="N64" i="2" s="1"/>
  <c r="F64" i="2"/>
  <c r="G64" i="2" s="1"/>
  <c r="N62" i="2"/>
  <c r="K62" i="2"/>
  <c r="K61" i="2"/>
  <c r="L61" i="2" s="1"/>
  <c r="N61" i="2" s="1"/>
  <c r="F61" i="2"/>
  <c r="E61" i="2"/>
  <c r="G61" i="2" s="1"/>
  <c r="K60" i="2"/>
  <c r="L60" i="2" s="1"/>
  <c r="N60" i="2" s="1"/>
  <c r="F60" i="2"/>
  <c r="E60" i="2"/>
  <c r="G60" i="2" s="1"/>
  <c r="K59" i="2"/>
  <c r="L59" i="2" s="1"/>
  <c r="N59" i="2" s="1"/>
  <c r="F59" i="2"/>
  <c r="E59" i="2"/>
  <c r="G59" i="2" s="1"/>
  <c r="K58" i="2"/>
  <c r="L58" i="2" s="1"/>
  <c r="N58" i="2" s="1"/>
  <c r="F58" i="2"/>
  <c r="E58" i="2"/>
  <c r="G58" i="2" s="1"/>
  <c r="P57" i="2"/>
  <c r="K57" i="2"/>
  <c r="L57" i="2" s="1"/>
  <c r="N57" i="2" s="1"/>
  <c r="F57" i="2"/>
  <c r="E57" i="2"/>
  <c r="G57" i="2" s="1"/>
  <c r="K56" i="2"/>
  <c r="L56" i="2" s="1"/>
  <c r="N56" i="2" s="1"/>
  <c r="F56" i="2"/>
  <c r="E56" i="2"/>
  <c r="G56" i="2" s="1"/>
  <c r="K55" i="2"/>
  <c r="L55" i="2" s="1"/>
  <c r="N55" i="2" s="1"/>
  <c r="F55" i="2"/>
  <c r="E55" i="2"/>
  <c r="G55" i="2" s="1"/>
  <c r="P54" i="2"/>
  <c r="K54" i="2"/>
  <c r="L54" i="2" s="1"/>
  <c r="N54" i="2" s="1"/>
  <c r="F54" i="2"/>
  <c r="E54" i="2"/>
  <c r="G54" i="2" s="1"/>
  <c r="N52" i="2"/>
  <c r="K52" i="2"/>
  <c r="K51" i="2"/>
  <c r="L51" i="2" s="1"/>
  <c r="N51" i="2" s="1"/>
  <c r="F51" i="2"/>
  <c r="E51" i="2"/>
  <c r="G51" i="2" s="1"/>
  <c r="K50" i="2"/>
  <c r="L50" i="2" s="1"/>
  <c r="N50" i="2" s="1"/>
  <c r="F50" i="2"/>
  <c r="E50" i="2"/>
  <c r="G50" i="2" s="1"/>
  <c r="K49" i="2"/>
  <c r="L49" i="2" s="1"/>
  <c r="N49" i="2" s="1"/>
  <c r="F49" i="2"/>
  <c r="E49" i="2"/>
  <c r="G49" i="2" s="1"/>
  <c r="K48" i="2"/>
  <c r="L48" i="2" s="1"/>
  <c r="N48" i="2" s="1"/>
  <c r="F48" i="2"/>
  <c r="E48" i="2"/>
  <c r="G48" i="2" s="1"/>
  <c r="P47" i="2"/>
  <c r="K47" i="2"/>
  <c r="L47" i="2" s="1"/>
  <c r="N47" i="2" s="1"/>
  <c r="F47" i="2"/>
  <c r="E47" i="2"/>
  <c r="G47" i="2" s="1"/>
  <c r="P46" i="2"/>
  <c r="K46" i="2"/>
  <c r="L46" i="2" s="1"/>
  <c r="N46" i="2" s="1"/>
  <c r="F46" i="2"/>
  <c r="E46" i="2"/>
  <c r="G46" i="2" s="1"/>
  <c r="K45" i="2"/>
  <c r="L45" i="2" s="1"/>
  <c r="N45" i="2" s="1"/>
  <c r="F45" i="2"/>
  <c r="E45" i="2"/>
  <c r="G45" i="2" s="1"/>
  <c r="N43" i="2"/>
  <c r="K43" i="2"/>
  <c r="K42" i="2"/>
  <c r="L42" i="2" s="1"/>
  <c r="N42" i="2" s="1"/>
  <c r="F42" i="2"/>
  <c r="E42" i="2"/>
  <c r="G42" i="2" s="1"/>
  <c r="K41" i="2"/>
  <c r="L41" i="2" s="1"/>
  <c r="N41" i="2" s="1"/>
  <c r="F41" i="2"/>
  <c r="E41" i="2"/>
  <c r="G41" i="2" s="1"/>
  <c r="K39" i="2"/>
  <c r="L39" i="2" s="1"/>
  <c r="N39" i="2" s="1"/>
  <c r="F39" i="2"/>
  <c r="E39" i="2"/>
  <c r="G39" i="2" s="1"/>
  <c r="K38" i="2"/>
  <c r="L38" i="2" s="1"/>
  <c r="N38" i="2" s="1"/>
  <c r="F38" i="2"/>
  <c r="E38" i="2"/>
  <c r="G38" i="2" s="1"/>
  <c r="K37" i="2"/>
  <c r="L37" i="2" s="1"/>
  <c r="N37" i="2" s="1"/>
  <c r="F37" i="2"/>
  <c r="E37" i="2"/>
  <c r="G37" i="2" s="1"/>
  <c r="K36" i="2"/>
  <c r="L36" i="2" s="1"/>
  <c r="N36" i="2" s="1"/>
  <c r="F36" i="2"/>
  <c r="E36" i="2"/>
  <c r="G36" i="2" s="1"/>
  <c r="K35" i="2"/>
  <c r="L35" i="2" s="1"/>
  <c r="N35" i="2" s="1"/>
  <c r="F35" i="2"/>
  <c r="E35" i="2"/>
  <c r="G35" i="2" s="1"/>
  <c r="P34" i="2"/>
  <c r="K34" i="2"/>
  <c r="L34" i="2" s="1"/>
  <c r="N34" i="2" s="1"/>
  <c r="F34" i="2"/>
  <c r="G34" i="2"/>
  <c r="O34" i="2" s="1"/>
  <c r="K32" i="2"/>
  <c r="L32" i="2" s="1"/>
  <c r="N32" i="2" s="1"/>
  <c r="F32" i="2"/>
  <c r="E32" i="2"/>
  <c r="G32" i="2" s="1"/>
  <c r="K31" i="2"/>
  <c r="L31" i="2" s="1"/>
  <c r="N31" i="2" s="1"/>
  <c r="F31" i="2"/>
  <c r="E31" i="2"/>
  <c r="G31" i="2" s="1"/>
  <c r="K30" i="2"/>
  <c r="L30" i="2" s="1"/>
  <c r="N30" i="2" s="1"/>
  <c r="F30" i="2"/>
  <c r="E30" i="2"/>
  <c r="G30" i="2" s="1"/>
  <c r="K29" i="2"/>
  <c r="L29" i="2" s="1"/>
  <c r="N29" i="2" s="1"/>
  <c r="F29" i="2"/>
  <c r="E29" i="2"/>
  <c r="G29" i="2" s="1"/>
  <c r="P28" i="2"/>
  <c r="K28" i="2"/>
  <c r="L28" i="2" s="1"/>
  <c r="N28" i="2" s="1"/>
  <c r="F28" i="2"/>
  <c r="E28" i="2"/>
  <c r="G28" i="2" s="1"/>
  <c r="K27" i="2"/>
  <c r="L27" i="2" s="1"/>
  <c r="N27" i="2" s="1"/>
  <c r="F27" i="2"/>
  <c r="E27" i="2"/>
  <c r="G27" i="2" s="1"/>
  <c r="P26" i="2"/>
  <c r="K26" i="2"/>
  <c r="L26" i="2" s="1"/>
  <c r="N26" i="2" s="1"/>
  <c r="F26" i="2"/>
  <c r="E26" i="2"/>
  <c r="G26" i="2" s="1"/>
  <c r="K24" i="2"/>
  <c r="L24" i="2" s="1"/>
  <c r="N24" i="2" s="1"/>
  <c r="F24" i="2"/>
  <c r="E24" i="2"/>
  <c r="G24" i="2" s="1"/>
  <c r="K23" i="2"/>
  <c r="L23" i="2" s="1"/>
  <c r="N23" i="2" s="1"/>
  <c r="F23" i="2"/>
  <c r="E23" i="2"/>
  <c r="G23" i="2" s="1"/>
  <c r="K22" i="2"/>
  <c r="L22" i="2" s="1"/>
  <c r="N22" i="2" s="1"/>
  <c r="F22" i="2"/>
  <c r="E22" i="2"/>
  <c r="G22" i="2" s="1"/>
  <c r="K21" i="2"/>
  <c r="L21" i="2" s="1"/>
  <c r="N21" i="2" s="1"/>
  <c r="F21" i="2"/>
  <c r="E21" i="2"/>
  <c r="G21" i="2" s="1"/>
  <c r="K20" i="2"/>
  <c r="L20" i="2" s="1"/>
  <c r="N20" i="2" s="1"/>
  <c r="F20" i="2"/>
  <c r="E20" i="2"/>
  <c r="G20" i="2" s="1"/>
  <c r="N18" i="2"/>
  <c r="K18" i="2"/>
  <c r="K17" i="2"/>
  <c r="L17" i="2" s="1"/>
  <c r="N17" i="2" s="1"/>
  <c r="F17" i="2"/>
  <c r="G17" i="2" s="1"/>
  <c r="K16" i="2"/>
  <c r="L16" i="2" s="1"/>
  <c r="N16" i="2" s="1"/>
  <c r="F16" i="2"/>
  <c r="E16" i="2"/>
  <c r="G16" i="2" s="1"/>
  <c r="K14" i="2"/>
  <c r="L14" i="2" s="1"/>
  <c r="N14" i="2" s="1"/>
  <c r="F14" i="2"/>
  <c r="G14" i="2" s="1"/>
  <c r="K13" i="2"/>
  <c r="L13" i="2" s="1"/>
  <c r="N13" i="2" s="1"/>
  <c r="F13" i="2"/>
  <c r="E13" i="2"/>
  <c r="G13" i="2" s="1"/>
  <c r="K12" i="2"/>
  <c r="L12" i="2" s="1"/>
  <c r="N12" i="2" s="1"/>
  <c r="F12" i="2"/>
  <c r="E12" i="2"/>
  <c r="G12" i="2" s="1"/>
  <c r="O12" i="2" s="1"/>
  <c r="K11" i="2"/>
  <c r="L11" i="2" s="1"/>
  <c r="N11" i="2" s="1"/>
  <c r="F11" i="2"/>
  <c r="E11" i="2"/>
  <c r="G11" i="2" s="1"/>
  <c r="K9" i="2"/>
  <c r="L9" i="2" s="1"/>
  <c r="N9" i="2" s="1"/>
  <c r="F9" i="2"/>
  <c r="G9" i="2" s="1"/>
  <c r="K8" i="2"/>
  <c r="L8" i="2" s="1"/>
  <c r="N8" i="2" s="1"/>
  <c r="F8" i="2"/>
  <c r="E8" i="2"/>
  <c r="G8" i="2" s="1"/>
  <c r="K7" i="2"/>
  <c r="L7" i="2" s="1"/>
  <c r="N7" i="2" s="1"/>
  <c r="F7" i="2"/>
  <c r="E7" i="2"/>
  <c r="P6" i="2"/>
  <c r="K6" i="2"/>
  <c r="L6" i="2" s="1"/>
  <c r="N6" i="2" s="1"/>
  <c r="F6" i="2"/>
  <c r="E6" i="2"/>
  <c r="G6" i="2" s="1"/>
  <c r="K5" i="2"/>
  <c r="L5" i="2" s="1"/>
  <c r="N5" i="2" s="1"/>
  <c r="F5" i="2"/>
  <c r="G5" i="2" s="1"/>
  <c r="K4" i="2"/>
  <c r="L4" i="2" s="1"/>
  <c r="N4" i="2" s="1"/>
  <c r="G4" i="2"/>
  <c r="F4" i="2"/>
  <c r="E4" i="2"/>
  <c r="O9" i="4" l="1"/>
  <c r="O10" i="4"/>
  <c r="O32" i="3"/>
  <c r="O31" i="2"/>
  <c r="O75" i="5"/>
  <c r="O21" i="3"/>
  <c r="O17" i="2"/>
  <c r="O26" i="2"/>
  <c r="O49" i="5"/>
  <c r="O17" i="3"/>
  <c r="O44" i="5"/>
  <c r="O22" i="3"/>
  <c r="O30" i="2"/>
  <c r="O28" i="2"/>
  <c r="E50" i="7"/>
  <c r="E45" i="7"/>
  <c r="E75" i="6"/>
  <c r="E70" i="6"/>
  <c r="P16" i="2"/>
  <c r="P8" i="2"/>
  <c r="G2" i="8" s="1"/>
  <c r="G7" i="2"/>
  <c r="O7" i="2" s="1"/>
  <c r="O101" i="5"/>
  <c r="O100" i="5"/>
  <c r="O71" i="5"/>
  <c r="O29" i="5"/>
  <c r="O18" i="5"/>
  <c r="O11" i="5"/>
  <c r="O51" i="4"/>
  <c r="O44" i="4"/>
  <c r="O32" i="4"/>
  <c r="O21" i="4"/>
  <c r="O15" i="4"/>
  <c r="O43" i="3"/>
  <c r="O37" i="3"/>
  <c r="O35" i="3"/>
  <c r="O33" i="3"/>
  <c r="O31" i="3"/>
  <c r="O46" i="2"/>
  <c r="O41" i="2"/>
  <c r="O35" i="2"/>
  <c r="O23" i="3"/>
  <c r="O7" i="3"/>
  <c r="O6" i="3"/>
  <c r="O4" i="3"/>
  <c r="O77" i="2"/>
  <c r="O75" i="2"/>
  <c r="O73" i="2"/>
  <c r="O71" i="2"/>
  <c r="O68" i="2"/>
  <c r="O16" i="2"/>
  <c r="O5" i="2"/>
  <c r="O85" i="5"/>
  <c r="O80" i="5"/>
  <c r="O76" i="5"/>
  <c r="O41" i="3"/>
  <c r="O36" i="3"/>
  <c r="O25" i="3"/>
  <c r="O15" i="3"/>
  <c r="O84" i="2"/>
  <c r="O80" i="2"/>
  <c r="O78" i="2"/>
  <c r="O70" i="2"/>
  <c r="O11" i="2"/>
  <c r="O6" i="2"/>
  <c r="O69" i="5"/>
  <c r="O65" i="5"/>
  <c r="O36" i="5"/>
  <c r="O35" i="5"/>
  <c r="O24" i="5"/>
  <c r="O19" i="5"/>
  <c r="O14" i="5"/>
  <c r="O7" i="5"/>
  <c r="O56" i="4"/>
  <c r="O55" i="4"/>
  <c r="O48" i="4"/>
  <c r="O39" i="4"/>
  <c r="O34" i="4"/>
  <c r="O23" i="4"/>
  <c r="O17" i="4"/>
  <c r="O49" i="3"/>
  <c r="O30" i="3"/>
  <c r="O60" i="2"/>
  <c r="O57" i="2"/>
  <c r="O48" i="2"/>
  <c r="O20" i="2"/>
  <c r="O13" i="2"/>
  <c r="O8" i="2"/>
  <c r="O96" i="5"/>
  <c r="O86" i="5"/>
  <c r="O58" i="5"/>
  <c r="O54" i="5"/>
  <c r="O50" i="5"/>
  <c r="O45" i="5"/>
  <c r="O39" i="5"/>
  <c r="O34" i="5"/>
  <c r="O30" i="5"/>
  <c r="O12" i="5"/>
  <c r="O5" i="5"/>
  <c r="O53" i="4"/>
  <c r="O49" i="4"/>
  <c r="O42" i="4"/>
  <c r="O37" i="4"/>
  <c r="O33" i="4"/>
  <c r="O31" i="4"/>
  <c r="O28" i="4"/>
  <c r="O26" i="4"/>
  <c r="O22" i="4"/>
  <c r="O16" i="4"/>
  <c r="O52" i="3"/>
  <c r="O48" i="3"/>
  <c r="O46" i="3"/>
  <c r="O42" i="3"/>
  <c r="O34" i="3"/>
  <c r="O26" i="3"/>
  <c r="O12" i="3"/>
  <c r="O5" i="3"/>
  <c r="O79" i="2"/>
  <c r="O72" i="2"/>
  <c r="O66" i="2"/>
  <c r="O61" i="2"/>
  <c r="O51" i="2"/>
  <c r="O49" i="2"/>
  <c r="O42" i="2"/>
  <c r="O36" i="2"/>
  <c r="O21" i="2"/>
  <c r="O9" i="2"/>
  <c r="O4" i="2"/>
  <c r="O97" i="5"/>
  <c r="O79" i="5"/>
  <c r="O60" i="5"/>
  <c r="O55" i="5"/>
  <c r="O25" i="5"/>
  <c r="O20" i="5"/>
  <c r="O17" i="5"/>
  <c r="O8" i="5"/>
  <c r="O54" i="4"/>
  <c r="O50" i="4"/>
  <c r="O43" i="4"/>
  <c r="O29" i="4"/>
  <c r="O18" i="4"/>
  <c r="O7" i="4"/>
  <c r="O6" i="4"/>
  <c r="O4" i="4"/>
  <c r="O55" i="2"/>
  <c r="O50" i="2"/>
  <c r="O45" i="2"/>
  <c r="O39" i="2"/>
  <c r="O37" i="2"/>
  <c r="O27" i="2"/>
  <c r="O22" i="2"/>
  <c r="O92" i="5"/>
  <c r="O87" i="5"/>
  <c r="O70" i="5"/>
  <c r="O66" i="5"/>
  <c r="O64" i="5"/>
  <c r="O59" i="5"/>
  <c r="O31" i="5"/>
  <c r="O23" i="5"/>
  <c r="O13" i="5"/>
  <c r="O6" i="5"/>
  <c r="O45" i="4"/>
  <c r="O38" i="4"/>
  <c r="O27" i="4"/>
  <c r="O20" i="4"/>
  <c r="O12" i="4"/>
  <c r="O5" i="4"/>
  <c r="O51" i="3"/>
  <c r="O27" i="3"/>
  <c r="O64" i="2"/>
  <c r="O59" i="2"/>
  <c r="O47" i="2"/>
  <c r="O38" i="2"/>
  <c r="O32" i="2"/>
  <c r="O29" i="2"/>
  <c r="O24" i="2"/>
  <c r="O23" i="2"/>
  <c r="O95" i="5"/>
  <c r="O74" i="5"/>
  <c r="O51" i="5"/>
  <c r="O46" i="5"/>
  <c r="O40" i="5"/>
  <c r="O47" i="3"/>
  <c r="O40" i="3"/>
  <c r="O16" i="3"/>
  <c r="O14" i="3"/>
  <c r="O11" i="3"/>
  <c r="O82" i="2"/>
  <c r="O74" i="2"/>
  <c r="O67" i="2"/>
  <c r="O58" i="2"/>
  <c r="O56" i="2"/>
  <c r="O54" i="2"/>
  <c r="O14" i="2"/>
  <c r="E121" i="5" l="1"/>
  <c r="D18" i="8" s="1"/>
  <c r="E75" i="4"/>
  <c r="E17" i="8" s="1"/>
  <c r="E74" i="4"/>
  <c r="D17" i="8" s="1"/>
  <c r="E102" i="2"/>
  <c r="C15" i="8" s="1"/>
  <c r="E51" i="7"/>
  <c r="D7" i="8" s="1"/>
  <c r="C7" i="8"/>
  <c r="E52" i="7"/>
  <c r="H7" i="8" s="1"/>
  <c r="B20" i="8"/>
  <c r="E76" i="6"/>
  <c r="D6" i="8" s="1"/>
  <c r="C6" i="8"/>
  <c r="B19" i="8"/>
  <c r="E77" i="6"/>
  <c r="H6" i="8" s="1"/>
  <c r="E73" i="3"/>
  <c r="E68" i="3"/>
  <c r="E106" i="2"/>
  <c r="E101" i="2"/>
  <c r="E77" i="4"/>
  <c r="E72" i="4"/>
  <c r="E70" i="3"/>
  <c r="D16" i="8" s="1"/>
  <c r="E123" i="5"/>
  <c r="F18" i="8" s="1"/>
  <c r="E103" i="2"/>
  <c r="D15" i="8" s="1"/>
  <c r="E122" i="5"/>
  <c r="E18" i="8" s="1"/>
  <c r="E105" i="2"/>
  <c r="F15" i="8" s="1"/>
  <c r="E72" i="3"/>
  <c r="F16" i="8" s="1"/>
  <c r="E69" i="3"/>
  <c r="C16" i="8" s="1"/>
  <c r="E104" i="2"/>
  <c r="E15" i="8" s="1"/>
  <c r="E73" i="4"/>
  <c r="C17" i="8" s="1"/>
  <c r="E71" i="3"/>
  <c r="E16" i="8" s="1"/>
  <c r="E120" i="5"/>
  <c r="C18" i="8" s="1"/>
  <c r="E76" i="4"/>
  <c r="F17" i="8" s="1"/>
  <c r="B27" i="8"/>
  <c r="B25" i="8"/>
  <c r="E119" i="5"/>
  <c r="E124" i="5"/>
  <c r="E7" i="8" l="1"/>
  <c r="F7" i="8"/>
  <c r="E6" i="8"/>
  <c r="F6" i="8"/>
  <c r="C3" i="8"/>
  <c r="E74" i="3"/>
  <c r="D3" i="8" s="1"/>
  <c r="E75" i="3"/>
  <c r="H3" i="8" s="1"/>
  <c r="B16" i="8"/>
  <c r="E107" i="2"/>
  <c r="D2" i="8" s="1"/>
  <c r="C2" i="8"/>
  <c r="E108" i="2"/>
  <c r="H2" i="8" s="1"/>
  <c r="B15" i="8"/>
  <c r="E78" i="4"/>
  <c r="D4" i="8" s="1"/>
  <c r="C4" i="8"/>
  <c r="B17" i="8"/>
  <c r="E79" i="4"/>
  <c r="H4" i="8" s="1"/>
  <c r="E126" i="5"/>
  <c r="H5" i="8" s="1"/>
  <c r="B18" i="8"/>
  <c r="C5" i="8"/>
  <c r="E125" i="5"/>
  <c r="D5" i="8" s="1"/>
  <c r="E3" i="8" l="1"/>
  <c r="F3" i="8"/>
  <c r="E2" i="8"/>
  <c r="F2" i="8"/>
  <c r="B9" i="8" s="1"/>
  <c r="E4" i="8"/>
  <c r="F4" i="8"/>
  <c r="E5" i="8"/>
  <c r="F5" i="8"/>
  <c r="B29" i="8"/>
  <c r="B11" i="8" l="1"/>
  <c r="B10" i="8"/>
</calcChain>
</file>

<file path=xl/sharedStrings.xml><?xml version="1.0" encoding="utf-8"?>
<sst xmlns="http://schemas.openxmlformats.org/spreadsheetml/2006/main" count="3247" uniqueCount="1665">
  <si>
    <t>View detailed regulatory mapping for Tab 1 &gt;</t>
  </si>
  <si>
    <t>View detailed regulatory mapping for Tab 2 &gt;</t>
  </si>
  <si>
    <t>View detailed regulatory mapping for Tab 3 &gt;</t>
  </si>
  <si>
    <t>View detailed regulatory mapping for Tab 4 &gt;</t>
  </si>
  <si>
    <t>View detailed regulatory mapping for Tab 5 &gt;</t>
  </si>
  <si>
    <t>View detailed regulatory mapping for Tab 6 &gt;</t>
  </si>
  <si>
    <t>Return to: 3. Structure of the Workbook ^</t>
  </si>
  <si>
    <t>Area</t>
  </si>
  <si>
    <t>Specific FCA Provisions (examples)</t>
  </si>
  <si>
    <t>Key FCA Expectations</t>
  </si>
  <si>
    <t>How Tab 1 helps evidence this</t>
  </si>
  <si>
    <t>Consumer Duty – products &amp; services; price &amp; value; communications</t>
  </si>
  <si>
    <t>PRIN 2A – The Consumer Duty: PRIN 2A.3 Products and services outcome (design, target market, distribution). (FCA Handbook) PRIN 2A.4 Price and value outcome (reasonable relationship between price and benefits). (FCA Handbook) PRIN 2.1.1R (Principle 7) – information that is clear, fair and not misleading. (FCA)</t>
  </si>
  <si>
    <t>- Products must be fit for purpose and designed to meet the needs, characteristics and objectives of an identified target market. - Firms must ensure a reasonable relationship between price and value – no obvious structural unfairness or extraction. - Customers should be able to understand key features and limitations from the firm’s communications. (FCA Handbook)</t>
  </si>
  <si>
    <t>- Sections A &amp; E assess token purpose, utility and economic design (allocations, vesting, emissions, incentives), helping show the token is not inherently misaligned with customer needs or structurally unfair on value. - Sections C &amp; D assess token holder rights and the quality/completeness of disclosures (e.g. whitepaper), supporting evidence that material features, risks and limitations are not obscured and can be explained clearly to retail. - Overall, Tab 1 provides a documented basis that the token is coherent, explainable and not obviously exploitative, which you can cross-reference in Consumer Duty product &amp; value assessments.</t>
  </si>
  <si>
    <t>Product governance – design, approval and understanding of instruments (PROD)</t>
  </si>
  <si>
    <t>PROD 3.2 – Product governance for manufacturers: e.g. PROD 3.2.1R / 3.2.3R – maintain, operate and review a product approval process for each product and significant adaptation. (FCA Handbook) PROD 3.3 – Product governance for distributors: PROD 3.3.1R and related rules – distributors must understand the financial instruments they distribute and assess compatibility with clients’ needs. (FCA Handbook) FCA MiFID II product governance review / good-practice commentary (e.g. 2021 multi-firm review). (FCA)</t>
  </si>
  <si>
    <t>- Manufacturers: operate a formal product approval process considering target market, risk/return profile and distribution strategy. - Distributors: understand product features, risks and costs and only distribute where compatible with the needs and objectives of the target market. - Maintain an evidence trail showing that products have been assessed and reviewed over time (not just one-off sign-off). (FCA Handbook)</t>
  </si>
  <si>
    <t>- Tab 1 functions as the front-end product approval template for tokens, capturing their purpose, governance, rights and economic model in a consistent way. - The questions force a structured articulation of how the token works, how value flows, who controls key decisions, and what holders actually get – satisfying the PROD expectation that distributors “understand the instruments” they sell. - Re-running Tab 1 when governance, tokenomics or rights change provides a repeatable review process you can point to in product governance/POG frameworks and product approval committee minutes.</t>
  </si>
  <si>
    <t>Governance &amp; SMCR – SYSC systems and controls, risk identification and oversight</t>
  </si>
  <si>
    <t>SYSC 4.1.1R – General requirements: firms must have robust governance arrangements, including clear structures and effective processes to identify, manage, monitor and report the risks they are or might be exposed to. (FCA Handbook) SYSC 3.1 – Systems and controls: firms must take reasonable care to establish and maintain effective systems and controls for compliance with regulatory requirements and risk management. (Square Mile Research) SM&amp;CR guidance emphasising Senior Managers’ responsibility for effective oversight of products and associated risks. (BDO)</t>
  </si>
  <si>
    <t>- Have formal processes and controls to identify and monitor product-level risks, not just business-line or balance-sheet risks. - Ensure Senior Managers can demonstrate they understand and have challenged significant new products and that decisions are evidenced. - Embed product and conduct risks into the firm’s overall risk management and governance framework.</t>
  </si>
  <si>
    <t>- Tab 1 gives a structured risk identification mechanism for token fundamentals and governance: numerical scores, risk bands, and a “weakest link” indicator for the domain. - The section-level summaries and narratives provide a concise briefing pack for Senior Managers and committees, making it easier to show that listing decisions were considered and challenged (rather than rubber-stamped). - As part of the wider engine, Tab 1 supports the argument that you have robust governance arrangements and systems and controls to identify and manage product-specific risks, in line with SYSC 4.1.1R and SYSC 3.1.</t>
  </si>
  <si>
    <t>FCA focus on product governance and value (cross-cutting guidance)</t>
  </si>
  <si>
    <t>FCA product governance / value publications and reviews, e.g.: - MiFID II product governance multi-firm review (2021). (FCA) - Consumer Duty and its impact on product governance and target market work (various guidance / good-practice papers). (DWF)</t>
  </si>
  <si>
    <t>- Firms should be able to demonstrate how they have assessed value, target market and product design, especially for complex / higher-risk products. - Supervisors expect documented frameworks rather than informal judgements, particularly for novel or high-risk asset classes like cryptoassets.</t>
  </si>
  <si>
    <t>- Tab 1 is a key part of your evidential framework for crypto tokens, showing that you have gone beyond surface-level marketing claims to interrogate fundamentals, governance and tokenomics. - Outputs from Tab 1 can be lifted directly into Product Approval Committee packs, listing committee papers, IA/product files and regulatory submissions to demonstrate that crypto products have been through the same, or stronger, governance as traditional products.</t>
  </si>
  <si>
    <t>How Tab 2 helps evidence this</t>
  </si>
  <si>
    <t>Financial promotion regime – cryptoassets and high-risk investments</t>
  </si>
  <si>
    <t>FSMA 2000 s.21 – Financial promotion restriction: a person must not, in the course of business, communicate an invitation or inducement to engage in investment activity unless the promotion is issued or approved by an authorised person or an exemption applies. (Legislation.gov.uk) COBS 4 – Communicating with clients, including financial promotions: promotions must be fair, clear and not misleading and comply with detailed rules (e.g. risk warnings, prominence, appropriate balancing of benefits and risks). (FCA Handbook) PS23/6 – Financial promotion rules for cryptoassets and FG23/3: extend the financial promotion regime to qualifying cryptoassets, imposing RMMI-style requirements (risk warnings, 24-hour cooling off, appropriateness, banned incentives, etc.). (FCA) Crypto promotions rely on routes under FSMA and the FPO (e.g. newly introduced exemptions for FCA-registered crypto businesses). (FCA)</t>
  </si>
  <si>
    <t>- Firms must ensure that any cryptoasset promotion to UK consumers is lawfully communicated under s.21 FSMA, via an authorised person, an exemption, or another lawful route. - Promotions must meet high standards of clarity and risk disclosure (fair, clear, not misleading; prominent, prescribed warnings; appropriate framing of risks vs returns). - Cryptoassets treated as high-risk investments must comply with strengthened rules around risk warnings, incentives, cooling-off and appropriateness. (FCA)</t>
  </si>
  <si>
    <t>- Tab 2 captures how the token is being promoted to UK customers and under which lawful route (authorised firm promotion, s.21 approval, exemption or overseas-only marketing), giving you a structured record that the financial promotion restriction has been considered. - Questions around disclosure content, prominence of risk warnings, use of incentives, cooling-off and appropriateness allow you to benchmark the token’s promotional materials against the crypto financial promotion regime in PS23/6 / FG23-3 and the underlying COBS 4 standards. - The tab’s scoring and narrative provide an auditable explanation of why the firm believes the promotions are compliant, or why additional controls (re-wording, target-market limits, professional-only routes) are needed.</t>
  </si>
  <si>
    <t>Approval and ongoing oversight of financial promotions</t>
  </si>
  <si>
    <t>COBS 4.10 – Approving financial promotions: firms approving a promotion must take reasonable steps to ensure it complies with the rules and remains so for its lifetime. (FCA Handbook) COBS 4.11 – Record-keeping: financial promotions: firms must keep adequate records of promotions they communicate, approve or confirm compliance with. (FCA Handbook) FSMA 2023 – Financial promotion gateway (“approver permission”): new requirement for firms to obtain specific permission to approve promotions for unauthorised persons. (FCA) FCA cryptoasset financial promotions guidance emphasises the need for firms approving promotions to understand the token and associated risks. (Burges Salmon)</t>
  </si>
  <si>
    <t>- Firms that approve promotions must have appropriate expertise and due diligence processes to satisfy themselves the promotion is compliant on approval and remains compliant over time. - Firms must maintain records of approvals, underlying assessments and monitoring, enabling them to demonstrate why they considered a promotion compliant at the time. - Under the new gateway, only firms with the specific “approver permission” may approve promotions for unauthorised persons, and the FCA expects high standards of scrutiny, especially for cryptoassets.</t>
  </si>
  <si>
    <t>- Tab 2 provides a standardised due diligence record for each token’s regulatory/legal profile and promotional set-up. This can be cited as part of the file evidencing your s.21 approval or oversight of promotions. - Questions on regulatory route, risk classification, and disclosures demonstrate that the firm has considered the key issues the FCA expects approvers to address before signing off crypto promotions. - The tab’s outputs can be cross-referenced in your COBS 4.10/4.11 records and in your internal financial promotion approval logs, showing how each promotion was assessed in light of the token’s regulatory/legal risks.</t>
  </si>
  <si>
    <t>Regulatory perimeter &amp; classification of the token / activities</t>
  </si>
  <si>
    <t>FSMA 2000 and the RAO – define “regulated activities” and “specified investments” (e.g. securities, units in collective investment schemes, contracts for differences, etc.). FCA perimeter guidance including PERG 2 &amp; PERG 8 on the financial promotion regime and what constitutes “investment activity”. (sedric.ai) FCA and HM Treasury material on the future Designated Activities Regime (DAR) for cryptoassets under FSMA 2023, under which certain crypto activities will be designated and subject to activity-specific rules. (Taylor Wessing)</t>
  </si>
  <si>
    <t>- Firms must assess whether a token or associated activities fall inside or outside the current regulatory perimeter (e.g. security token vs unregulated cryptoasset vs e-money vs CIS / AIF structure). - Even where a token itself is unregulated, perimeter issues can arise (e.g. units in a CIS, operating a trading platform, custody, payment services). - As the DAR and other reforms are implemented, firms will be expected to understand whether their crypto offerings fall within designated activities and to comply with the associated rule-sets.</t>
  </si>
  <si>
    <t>- Tab 2 prompts a structured assessment of the token’s likely classification (security-like features, rights, redemption terms, profit-sharing, pooling of assets, etc.) and the associated regulated activities that may be triggered. - This gives you a documented, repeatable trail of the perimeter analysis that underpins your decision to treat a token as: - a regulated instrument (with full FSMA/COBS/PROD implications), - an unregulated cryptoasset subject to the financial promotion regime, or - part of a broader arrangement (e.g. pooled vehicles) that might itself be a regulated CIS. - As DAR and future rules come in, the same Tab 2 structure can be extended to track which designated activities are in scope and what additional legal/regulatory constraints apply.</t>
  </si>
  <si>
    <t>Consumer Duty &amp; retail distribution – suitability, appropriateness and high-risk categorisation</t>
  </si>
  <si>
    <t>PRIN 2A – The Consumer Duty (especially: products &amp; services, price &amp; value, consumer understanding). (FCA Handbook) FCA high-risk investment / crypto promotion work, including the classification of qualifying cryptoassets as Restricted Mass Market Investments (RMMIs) with enhanced promotion rules. (FCA) COBS 10 &amp; 10A – Appropriateness (for complex/high-risk investments) – assessing whether a non-advised client has the necessary experience and knowledge to understand the risks. (FCA Handbook)</t>
  </si>
  <si>
    <t>- Even where crypto activities themselves are not fully regulated yet, the Consumer Duty and strengthened financial promotion rules emphasise: - clear identification of target market vs restricted/professional-only distribution; - robust appropriateness tests for high-risk or complex products; - enhanced warnings and frictions (e.g. cooling-off) for RMMIs such as crypto. - Firms should be able to demonstrate why a given token is appropriate for a particular retail segment (or why retail access is restricted) in light of its risks and complexity.</t>
  </si>
  <si>
    <t>- Tab 2 consolidates your thinking on whether a given token: - should be treated as a high-risk investment for retail purposes, - should be accessible only to restricted / sophisticated / professional clients, or - should not be offered at all. - It links the token’s regulatory and legal profile to distribution and suitability decisions (e.g. requirement for appropriateness tests, extra risk warnings, or channel restrictions). - These outputs can be used to justify your target market definition, your use of appropriateness tests, and any distribution restrictions in internal Consumer Duty and product governance documentation.</t>
  </si>
  <si>
    <t>Cross-border and jurisdictional legal risk</t>
  </si>
  <si>
    <t>FCA Principles (e.g. Principle 1 – Integrity, Principle 2 – Due skill, care and diligence) and SYSC 6 expectations around having adequate compliance functions and controls to identify and manage legal/regulatory risks across jurisdictions. (FCA Handbook) Overseas regimes that may restrict marketing or availability of certain tokens to local investors (e.g. local securities or derivatives laws, bans, enforcement actions).</t>
  </si>
  <si>
    <t>- Firms are expected to avoid engaging in or facilitating activity that breaches local law in other jurisdictions, even if some aspects of the token are unregulated in the UK. - Compliance and legal teams must be able to identify where a token is subject to material overseas restrictions or enforcement, and decide whether and how to offer exposure from the UK.</t>
  </si>
  <si>
    <t>- Tab 2 includes questions on jurisdictional mapping, overseas regulatory actions and local restrictions affecting the token or its issuer. - This creates a central place where you record whether there are material overseas legal risks (e.g. securities enforcement, bans on retail marketing) that should influence your decision to list the token, how you structure access, or whether you apply additional warnings or exclusions for particular client segments or geographies.</t>
  </si>
  <si>
    <t>How Tab 3 helps evidence this</t>
  </si>
  <si>
    <t>Core AML/CTF regime &amp; firm-wide risk assessment</t>
  </si>
  <si>
    <t>Money Laundering, Terrorist Financing and Transfer of Funds (Information on the Payer) Regulations 2017 (MLRs) – e.g.: - Regulation 18 – firm-wide risk assessment of money laundering and terrorist financing risks. (Legislation.gov.uk) - Regulation 19 – policies, controls and procedures to mitigate and manage those risks. (Legislation.gov.uk) FCA Financial Crime Guide (FCG) and FG18/5 – guidance on systems and controls to counter financial crime, including market-related risks. (FCA Handbook)</t>
  </si>
  <si>
    <t>- Firms must identify, assess and understand their ML/TF risk profile, including new products and technologies, and maintain documented risk assessments. - Appropriate policies, controls and procedures must be implemented and kept up to date to mitigate identified risks. - New or developing technologies (such as cryptoassets) require a specific risk assessment and tailored controls under the risk-based approach. (Legislation.gov.uk)</t>
  </si>
  <si>
    <t>- Tab 3 provides a structured product-level ML/TF risk assessment for each token, feeding into your firm-wide Reg 18 risk assessment and product risk register. - Questions around anonymity features, obfuscation tools, typical use-cases and high-risk geographies show that you have explicitly considered ML/TF risk factors for this cryptoasset, not just for the customer base in general. - The scoring and risk banding can be referenced in your Reg 18 assessment and in the documentation of the AML risk classification for each token (e.g. “standard”, “elevated”, “intolerable”).</t>
  </si>
  <si>
    <t>Customer due diligence (CDD), enhanced due diligence (EDD) &amp; high-risk factors</t>
  </si>
  <si>
    <t>MLRs 2017 – key CDD/EDD obligations: - Regulation 27–30 – customer due diligence and ongoing monitoring. - Regulation 33 – enhanced due diligence for higher-risk situations (including high-risk third countries, complex or unusually large transactions). (Legislation.gov.uk) - Regulation 35 – PEPs; Regulation 33–35 together set out higher-risk customer factors. (Legislation.gov.uk) JMLSG Guidance (e.g. Part I, Ch. 4 – risk-based approach) emphasises assessing ML/TF risk for new products and technologies. (jmlsg.org.uk)</t>
  </si>
  <si>
    <t>- Firms must perform CDD and adapt the depth of checks based on risk, applying EDD where higher risks are identified (e.g. high-risk countries, complex structures, unusual patterns). - For new products or technologies, firms must understand how those products can be used to obscure beneficial ownership, source of funds or transaction trails, and adjust CDD/EDD accordingly. - Ongoing monitoring must detect atypical patterns and trigger review or escalation. (Legislation.gov.uk)</t>
  </si>
  <si>
    <t>- Tab 3 analyses product-specific risk factors that drive the need for EDD: - embedded privacy features, mixers/bridges/ecosystem tools commonly used for obfuscation, - typical customer and transactional profiles, - links to typologies such as scams, darknet markets or ransomware. - By scoring these factors, Tab 3 gives concrete input to your CDD/EDD risk scoring models, helping justify when a token (or flows involving a token) should be treated as requiring EDD, additional monitoring rules, or even hard blocks in certain jurisdictions or counterparties.</t>
  </si>
  <si>
    <t>FCA cryptoasset AML/CTF registration and expectations</t>
  </si>
  <si>
    <t>FCA Cryptoassets: AML / CTF regime – cryptoasset businesses in scope must register with the FCA under the MLRs and comply with the regulations. (FCA) FCA guidance on what the FCA expects to see in an AML registration application for cryptoasset firms (understanding and implementing the MLRs, including risk assessments, CDD/EDD and monitoring). (FCA)</t>
  </si>
  <si>
    <t>- In-scope crypto businesses must show a comprehensive understanding of the UK AML regime and how it is applied in the context of their products and services. - Firms must have a robust financial crime framework tailored to crypto-specific risks (e.g. pseudonymous transactions, high-velocity flows, cross-border activity). - Supervisors expect firms to evidence product-specific ML/TF risk assessment rather than generic AML boilerplate. (FCA)</t>
  </si>
  <si>
    <t>- Tab 3 evidences that your firm has gone beyond generic AML policy and carried out a cryptoasset-specific risk assessment at the individual token level. - It helps demonstrate to the FCA (or internal audit) that the firm understands: - which tokens are higher-risk from an ML/TF perspective, - how those risks are mitigated (e.g. venue choice, monitoring scenarios, thresholds, restricted jurisdictions), and - where the firm may decide not to list or to delist a token. - This can be referenced in your FCA registration file and ongoing supervisory interactions as evidence of a structured financial crime control environment around crypto offerings.</t>
  </si>
  <si>
    <t>Sanctions compliance – UK sanctions framework &amp; OFSI guidance</t>
  </si>
  <si>
    <t>Sanctions and Anti-Money Laundering Act 2018 – primary legislation for the UK’s autonomous sanctions regimes. (Legislation.gov.uk) UK financial sanctions general guidance from OFSI and HM Treasury (how to comply with financial sanctions, screening expectations, asset freezes, reporting). (GOV.UK) Wider guidance and commentary on the UK sanctions regime (e.g. Law Society guidance). (Law Society)</t>
  </si>
  <si>
    <t>- Firms must ensure they do not: - deal with sanctioned persons or entities, - make funds or economic resources available, directly or indirectly, to designated persons, or - participate in arrangements that circumvent sanctions. - Appropriate screening and controls must be in place for customers, counterparties, and (for crypto) potentially for wallets/addresses, protocols or projects that are the subject of sanctions or sectoral measures. (GOV.UK)</t>
  </si>
  <si>
    <t>- Tab 3 contains questions specifically focused on sanctions exposure, such as: - whether relevant token contracts, treasuries or major counterparties are linked to designated persons or sanctioned jurisdictions; - the presence of OFAC/UK-sanctioned addresses or entities in the project’s history or ecosystem; - whether the token is widely used in typologies that overlap with sanctions evasion. - By assigning a sanctions risk score and band, Tab 3 gives a transparent basis for deciding: - whether to permit any activity involving the token, - whether to limit access (e.g. no support for self-hosted wallets in particular jurisdictions), and - how to parameterise sanctions screening and alerts for flows involving that token.</t>
  </si>
  <si>
    <t>Financial crime systems &amp; controls – SYSC 6</t>
  </si>
  <si>
    <t>SYSC 6.1.1R – firms must establish, implement and maintain adequate policies and procedures to ensure compliance with obligations under the regulatory system, including countering the risk that the firm might be used to further financial crime. (FCA Handbook) FCA Financial Crime Guide (FCG) and related FG18/5 guidance on financial crime systems and controls, including application of SYSC 6.1.1R. (FCA Handbook)</t>
  </si>
  <si>
    <t>- Firms must have effective systems and controls proportionate to the nature, scale and complexity of their activities, including products and services that present higher financial crime risk (such as cryptoassets). - They should be able to demonstrate how they identify, assess and mitigate financial crime risks at the product, customer and transaction levels. - Supervisors place particular scrutiny on how new products and technologies are risk assessed and embedded into the financial crime framework. (FCA Handbook)</t>
  </si>
  <si>
    <t>- Tab 3 acts as a product-level financial crime risk tool within your wider SYSC 6 framework. - It documents, in a consistent and repeatable way, the key ML/TF and sanctions risk factors for each token and assigns a risk band that can feed into: - onboarding decisions (list vs do not list), - monitoring rules and thresholds (e.g. stricter surveillance for higher-risk tokens), and - periodic re-assessment cycles. - This can be pointed to in your SYSC 6 documentation and financial crime policies as the mechanism by which crypto products are brought within the firm’s risk identification, assessment and mitigation processes.</t>
  </si>
  <si>
    <t>International standards &amp; typologies (FATF, JMLSG, etc.)</t>
  </si>
  <si>
    <t>FATF Recommendations on virtual assets (VAs) and VASPs, including risk-based approach, Travel Rule, and expectations around VA-specific ML/TF risks. (Reflected in UK implementation via MLRs and FCA guidance.) (ICAEW) JMLSG guidance on risk-based approach for new products and technologies (Part I, Ch. 4). (jmlsg.org.uk)</t>
  </si>
  <si>
    <t>- Regulators expect firms to have regard to international standards on cryptoasset ML/TF risk, especially FATF’s VA/VASP guidance. - Firms should understand and respond to emerging typologies (e.g. mixing, DeFi, cross-chain bridges, ransomware, darknet markets) and not treat crypto like a simple extension of fiat payments.</t>
  </si>
  <si>
    <t>- Tab 3 explicitly incorporates crypto-specific typologies and technology risks (e.g. mixers, privacy protocols, DeFi exploits, high-risk venues) into its scoring, aligning your analysis with emerging FATF/JMLSG expectations. - This makes it easier, in audits or supervisory visits, to show that your AML/CTF assessments for cryptoassets are aligned with current international standards and not based on outdated or purely fiat-centric assumptions.</t>
  </si>
  <si>
    <t>How Tab 4 helps evidence this</t>
  </si>
  <si>
    <t>Systems and controls for technology &amp; operational risk (SYSC)</t>
  </si>
  <si>
    <t>SYSC 3.1.1R – firms must take reasonable care to establish and maintain effective systems and controls for compliance with regulatory obligations and for managing risk. SYSC 4.1.1R – firms must have robust governance arrangements, including effective processes to identify, manage, monitor and report risks. SYSC 13 &amp; 13.7 (for certain firms) – additional expectations around operational risk and business continuity.</t>
  </si>
  <si>
    <t>- Technology and operational arrangements (including those supporting crypto services) must be fit for purpose, controlled, and subject to appropriate risk management. - Firms must be able to identify and monitor key operational/technical risks in the products they offer, not just in their own internal IT stack. - Senior management should be able to explain how technical risk in products is understood, monitored and reflected in risk appetite and controls.</t>
  </si>
  <si>
    <t>- Tab 4 gives a structured assessment of protocol and smart contract security, feeding directly into the firm’s SYSC 3/4 view of operational risk associated with the token. - Questions around vulnerability management, incident history, governance controls and resilience build a documented record of the technical risks you are accepting by listing/supporting this token. - The resulting scores and risk bands can be referenced in risk appetite discussions, product approval papers and the operational risk register as evidence that crypto product technical risks are being actively assessed.</t>
  </si>
  <si>
    <t>Operational resilience – important business services and impact of disruption</t>
  </si>
  <si>
    <t>FCA Operational Resilience framework (PS21/3 and related rules in the FCA Handbook – primarily in SYSC and the Operational Resilience sourcebook for in-scope firms): firms must identify important business services, set impact tolerances and ensure they can remain within those tolerances under severe but plausible disruptions.</t>
  </si>
  <si>
    <t>- Firms must understand how reliance on particular technologies, infrastructures or third-party services could cause intolerable harm to customers or market integrity if they fail. - Crypto-related services (e.g. custody, trading, staking) that are “important business services” require particular attention to resilience and failure modes. - There should be a clear view of how protocol-level failures or exploits could affect the firm’s ability to deliver services within impact tolerances.</t>
  </si>
  <si>
    <t>- Tab 4 helps identify tokens where protocol or contract weaknesses could realistically cause service disruption (e.g. trading halts, frozen funds, permanent loss) for your clients. - Where a token underpins an important business service (e.g. major trading pair, staking product), Tab 4 scores and narratives inform your operational resilience mapping, by documenting the likelihood and impact of technical failure. - These insights can be used to support decisions such as position limits, venue selection, contingency plans and disclosure in operational resilience documentation.</t>
  </si>
  <si>
    <t>Outsourcing, third-party and dependency risk</t>
  </si>
  <si>
    <t>SYSC 8 – outsourcing: requires that where a firm outsources critical or important operational functions, it must ensure the service provider has the ability, capacity and authorisation to carry out the functions reliably and professionally, and that the firm remains responsible for compliance. FCA outsourcing / third-party risk guidance emphasises understanding dependencies and ensuring appropriate oversight and exit strategies.</t>
  </si>
  <si>
    <t>- Firms must identify and manage critical dependencies on third-party providers (including technology providers, infrastructure, and crucial external services such as oracles or bridges). - Outsourcing or relying on third parties does not dilute the firm’s responsibility; firms must ensure they have adequate oversight, contingency and control.</t>
  </si>
  <si>
    <t>- Tab 4 captures key technical dependencies for each token (e.g. reliance on a specific oracle network, bridge, centralised sequencer, governance admin key, custodian or infrastructure provider). - It allows you to flag tokens where a single failure point (e.g. centralised multisig, unaudited bridge, off-chain oracle dependency) creates an unacceptable level of dependency risk. - You can use the Tab 4 outputs to explain, in your outsourcing/third-party risk framework, why certain tokens are restricted, require additional monitoring, or are only supported on particular venues or custody arrangements.</t>
  </si>
  <si>
    <t>Cyber &amp; information security expectations</t>
  </si>
  <si>
    <t>FCA guidance and SYSC provisions emphasising IT and cyber security as part of effective systems and controls (e.g. FCG cyber guidance, thematic reviews on cyber and technology resilience). PRA/FCA material on cyber risk (e.g. cyber resilience statements, Dear CEO letters) often stresses the need for robust protection against cyber attacks and fraud.</t>
  </si>
  <si>
    <t>- Firms must take steps to ensure that IT environments and interfaces with external systems (including crypto protocols, APIs, nodes, wallets) are secure. - Where a product relies on external protocols and smart contracts, firms should understand key vulnerability vectors (e.g. admin key compromise, oracle manipulation, re-entrancy exploits) and reflect them in risk management.</t>
  </si>
  <si>
    <t>- Tab 4 surfaces whether a token’s protocol and contracts have a history of exploits or critical vulnerabilities, whether security best practices (e.g. audited, open-source, peer-reviewed code) are in place, and how quickly issues have been remediated in the past. - This allows your IT/cyber risk function and product owners to see where technical risk is particularly acute and where additional controls (e.g. limited functionality, enhanced monitoring, no leverage or derivatives on that token) may be required. - It also creates a record that cyber/technical risk has been considered at product level, not just at infrastructure level.</t>
  </si>
  <si>
    <t>Market integrity and conduct – impact of technical design on fairness and manipulation</t>
  </si>
  <si>
    <t>Principles for Businesses – particularly: - Principle 1 (Integrity) – conducting business with integrity. - Principle 2 (Skill, care and diligence) – managing products and risks competently. FCA market abuse / market integrity expectations (while the formal UK MAR regime may not apply directly to unregulated cryptoassets, the FCA expects firms to manage market integrity and abuse risks in line with their authorisations and permissions).</t>
  </si>
  <si>
    <t>- Firms are expected not to facilitate markets or products that are structurally prone to abuse or unfair outcomes, particularly where technical design encourages manipulation or unfair advantage. - Even where a specific regime (like MAR) is not fully applicable, firms must consider conduct and integrity risks arising from product structures and protocols (e.g. privileged insiders, upgrade powers, oracle design).</t>
  </si>
  <si>
    <t>- Tab 4 includes questions on upgrade and control mechanisms, oracle design, admin keys and governance rights, which affect the potential for technical manipulation (e.g. changing rules mid-game, pausing contracts, shutting out users). - By scoring these factors, you can distinguish between tokens with robust, decentralised, transparent technical control structures and those where a small group can materially change or halt the protocol, raising integrity concerns. - This supports conduct and market integrity obligations by demonstrating that technical features that could facilitate unfair practices have been explicitly considered before listing.</t>
  </si>
  <si>
    <t>Consumer Duty – reliability and foreseeable harm from technical failure</t>
  </si>
  <si>
    <t>PRIN 2A – Consumer Duty, especially: - Products and services outcome (PRIN 2A.3) – products should function as anticipated and deliver outcomes in line with customers’ needs. - Consumer support / foreseeable harm concepts – firms should avoid causing foreseeable harm through poor product design or unreliable services.</t>
  </si>
  <si>
    <t>- Firms should not offer products where foreseeable and material technical failures are likely to cause harm (e.g. repeated contract exploits, unsafe bridges, known critical vulnerabilities). - Where technical risk is material, it should be reflected in product design, disclosures, restrictions, and ongoing oversight.</t>
  </si>
  <si>
    <t>- Tab 4 gives an explicit, quantitative view of foreseeable technical harms: probability and impact of exploit, contract failure, or protocol malfunction. - This supports Consumer Duty by allowing you to show that you identified foreseeable technical harms, assessed their severity, and either: - mitigated them (through controls, disclosures, product design), or - decided not to offer or to withdraw exposure to certain tokens. - The Tab 4 narrative can be incorporated into Duty-focused product reviews and outcome assessments.</t>
  </si>
  <si>
    <t>How Tab 5 helps evidence this</t>
  </si>
  <si>
    <t>Market integrity &amp; market abuse (even where MAR doesn’t strictly apply)</t>
  </si>
  <si>
    <t>FCA Market Abuse Regulation (MAR) material – MAR aims to increase market integrity and investor protection by tackling insider dealing, unlawful disclosure and market manipulation.(FCA) FCA market abuse pages stress firms’ responsibility for safeguards against abusive behaviours.(FCA) FCA DP24/4 – Regulating cryptoassets: Admissions &amp; Disclosures and Market Abuse Regime for Cryptoassets (MARC) – developing a crypto-specific market abuse regime that mirrors MAR-style outcomes.(FCA)</t>
  </si>
  <si>
    <t>- Firms should not facilitate trading environments that are systemically prone to abuse (e.g. persistent manipulation, wash trading, insider dealing), even where MAR technically applies only to certain instruments/venues. - Cryptoasset markets are increasingly expected to align with market integrity standards similar to those under MAR, especially as a dedicated MARC framework is developed. - Firms should have arrangements and surveillance to identify unusual or abusive patterns and respond appropriately.(FCA)</t>
  </si>
  <si>
    <t>- Tab 5 specifically looks for indicators of wash trading, spoofing-style activity, extreme concentration of volume or holdings, and structurally weak venues, giving a transparent assessment of the market integrity for each token. - High scores in the “manipulation/abuse” questions provide a clear signal that the token’s trading environment may be inconsistent with the FCA’s expectations on orderly and abuse-resistant markets, even if the token/venue is formally outside MAR. - These outputs support your argument that you either: - apply enhanced surveillance and restrictions for certain tokens; or - decline to list them where market integrity is too weak.</t>
  </si>
  <si>
    <t>Best execution, order handling and fair pricing / liquidity</t>
  </si>
  <si>
    <t>COBS 11 – Dealing and managing: - COBS 11.2A (Best execution – MiFID provisions) – firms must take all reasonable steps to obtain the best possible result for clients, considering price, costs, speed, likelihood of execution/settlement and other relevant factors.(beta-handbook.fca.org.uk) - COBS 11.3 – client order handling rules (fair, prompt, expeditious execution; avoiding adverse impact on clients).</t>
  </si>
  <si>
    <t>- Where best execution obligations apply, firms must be able to demonstrate that they considered liquidity, spreads, depth and execution likelihood across different venues when designing execution arrangements. - Even outside strict MiFID best execution scope, firms promoting trading in certain assets are expected to consider whether the trading environment produces fair pricing and reasonable execution outcomes.</t>
  </si>
  <si>
    <t>- Tab 5’s focus on liquidity depth, spreads, slippage and venue quality gives a structured view of whether it is realistically possible to achieve “good” execution outcomes in the token under plausible trade sizes. - The scores highlight tokens where liquidity is so thin or fragmented that material slippage or failed execution is likely, which can be factored into: - your best execution policy, - internal lists of tokens permitted for execution, and - position size / ticket size guidance. - This helps demonstrate that you have considered liquidity and execution factors in line with COBS 11.2A/11.3, even where the token trades on venues technically outside MiFID scope.</t>
  </si>
  <si>
    <t>Consumer Duty – price &amp; value, foreseeable harm from illiquidity and volatile trading conditions</t>
  </si>
  <si>
    <t>PRIN 2A – Consumer Duty: - PRIN 2A.3 Products and services outcome – products should work as reasonably expected and be designed for a defined target market. - PRIN 2A.4 Price and value outcome – there should be a reasonable relationship between price and benefits; poor value can arise where trading conditions impose excessive friction.(FCA) FCA commentary on high-risk investments and crypto promotions emphasises the need to consider liquidity, volatility and exit risk when assessing suitability for retail investors.(FCA)</t>
  </si>
  <si>
    <t>- Firms should not put customers into products where foreseeable trading conditions (e.g. chronic illiquidity, extreme slippage, inability to exit) are likely to cause foreseeable harm or poor value. - Liquidity, volatility and depth should be factored into decisions about whether a cryptoasset is appropriate for retail, restricted to certain client types, or not offered at all.</t>
  </si>
  <si>
    <t>- Tab 5 quantifies liquidity and exit risk (spreads, depth, ability to execute in typical trade sizes) and flags tokens where customers may struggle to exit positions at a fair price. - It also considers volatility / market quality elements that can make realisable value materially different from notional value (e.g. manipulated pumps, thin order books). - These insights support your Consumer Duty work by linking the economic experience clients actually get in the market to your product and value assessments – and can justify limiting or prohibiting retail access where market conditions are consistently poor.</t>
  </si>
  <si>
    <t>Financial promotions for high-risk investments / cryptoassets – clarity about trading conditions</t>
  </si>
  <si>
    <t>PS23/6 – Financial promotion rules for cryptoassets and associated guidance: qualifying cryptoassets are treated as Restricted Mass Market Investments (RMMIs) with strengthened promotion rules (risk warnings, appropriateness, cooling-off, banned incentives).(FCA) FCA good and poor practice review on back-end cryptoasset financial promotions (2024) emphasises that firms must ensure ongoing promotions remain fair, clear and not misleading, including around liquidity and trading risks.(FCA) Under COBS 4, financial promotions (including crypto) must be fair, clear and not misleading, and must not disguise, diminish or obscure important information.(FCA)</t>
  </si>
  <si>
    <t>- Promotions for cryptoassets must give a balanced and accurate picture of the risks, including those arising from illiquidity, volatility, potential for slippage, and venue quality. - Firms must ensure that what is said about tradability, liquidity and “ease of exit” is true in practice and not undermined by actual market conditions. - Where liquidity or market quality changes over time, firms should review whether promotions remain accurate and compliant.</t>
  </si>
  <si>
    <t>- Tab 5 helps you check whether claims about a token being “liquid”, “widely traded” or “easy to exit” are actually supported by data (depth, spreads, number/quality of venues). - Where Tab 5 scores indicate weak or deteriorating liquidity, you can: - review and adjust cryptoasset promotions, - add or strengthen risk warnings about liquidity/exit risk, or - restrict marketing to certain client types. - This provides a clear evidential link between observed market conditions and how you draft and maintain crypto financial promotions under PS23/6 and COBS 4.</t>
  </si>
  <si>
    <t>Financial crime through markets – wash trading, layering and manipulation via illiquid markets</t>
  </si>
  <si>
    <t>FCA analysis on Money Laundering Through the Markets (MLTM) highlights how capital markets can be used to move criminally generated funds and that thin or opaque markets are particularly vulnerable to manipulation and layering.(FCA) FCA speeches and strategy documents on fighting financial crime and market abuse stress surveillance and controls in markets with higher inherent manipulation risk.(FCA)</t>
  </si>
  <si>
    <t>- Firms should recognise that illiquid or lightly regulated trading venues can be used to facilitate both market abuse and broader financial crime (e.g. wash trading to create artificial volume, layering to move value). - They are expected to design surveillance and product governance frameworks that account for these vulnerabilities, especially where they list or support trading in such instruments.</t>
  </si>
  <si>
    <t>- Tab 5 explicitly looks at volume quality, patterns of trading and concentration, making it easier to identify tokens where wash trading or artificial volume is likely. - High-risk findings in Tab 5 can be directly linked into: - enhanced surveillance scenarios, - controls around which venues you will route orders to, and - decisions to avoid listing or to delist tokens with persistent integrity red flags. - This shows that your firm is connecting market integrity and financial crime risks into product and venue selection, not just client-level AML controls.</t>
  </si>
  <si>
    <t>How Tab 6 helps evidence this</t>
  </si>
  <si>
    <t>Consumer Duty – culture, foreseeable harm and trust</t>
  </si>
  <si>
    <t>PRIN 2A – Consumer Duty: requires firms to act to deliver good outcomes for retail customers, including products &amp; services, price &amp; value, consumer understanding and support.(FCA Handbook) The Duty and related guidance emphasise firm culture, governance and monitoring of outcomes, not just technical rule compliance.(Simmons &amp; Simmons)</t>
  </si>
  <si>
    <t>- Firms should not engage in or promote products where foreseeable harm is likely – including harm to trust and confidence – because of the way a project behaves, communicates or treats users. - Culture and conduct around products (e.g. repeated controversies, misleading claims, aggressive hype) are relevant to assessing overall outcomes. - Boards and senior managers must consider whether a product fits with the firm’s values and customer proposition, not just whether it’s technically allowed.</t>
  </si>
  <si>
    <t>- Tab 6 surfaces strategic and reputational red flags: past scandals, enforcement actions, fraud allegations, customer harm episodes, or patterns of behaviour by founders/teams that make foreseeable harm more likely. - It allows you to document when a token is in tension with your stated customer outcomes and values, even if it can be structured to be technically compliant. - The resulting scores and narratives support Consumer Duty governance by showing you have considered wider trust and cultural aspects in deciding whether to list / maintain / restrict a token.</t>
  </si>
  <si>
    <t>Anti-greenwashing &amp; ESG/sustainability claims</t>
  </si>
  <si>
    <t>FCA’s Sustainability Disclosure Requirements (SDR) and investment labels regime (PS23/16) introduces an anti-greenwashing rule that applies to all FCA-authorised firms making sustainability-related claims.(FCA) The anti-greenwashing rule requires that any sustainability-related claims be fair, clear and not misleading and consistent with the product’s actual sustainability characteristics.(FCA) FCA guiding principles on ESG/sustainable investment funds (Dear Chair letter and follow-up reviews) set expectations that ESG claims are specific, evidence-based and reflected in holdings.(FCA)</t>
  </si>
  <si>
    <t>- Any claims your firm makes about ESG, sustainability, impact or responsibility – including in crypto-related products and marketing – must be accurate, substantiated and not exaggerated. - Firms must avoid greenwashing or “ESG-washing”, including by associating with projects whose actual practices conflict with the sustainability story presented to clients. - If a firm positions itself as ESG-aware or uses sustainability language, its product set should be broadly coherent with that positioning.</t>
  </si>
  <si>
    <t>- Tab 6 assesses whether the token’s environmental, social and governance reality is broadly aligned with any ESG or “responsible investing” narrative you use, or that the issuer uses and you might amplify. - High ESG-risk scores (e.g. significant environmental concerns, governance controversies, social harms) help you identify tokens where including them in “responsible” or ESG-themed offerings could breach anti-greenwashing expectations. - The tab’s outputs can be referenced when documenting how you have ensured ESG-related claims about your crypto offerings are consistent with underlying assets, in line with the anti-greenwashing rule and SDR expectations.</t>
  </si>
  <si>
    <t>ESG / sustainability disclosure expectations for investment products</t>
  </si>
  <si>
    <t>FCA PS23/16 – SDR and investment labels: sets rules for UK asset managers on sustainability labels, product &amp; entity-level ESG disclosures, and naming &amp; marketing of sustainable products.(FCA) FCA’s earlier guiding principles for ESG/sustainable funds highlight design, delivery and disclosure expectations – clear ESG objectives, coherent strategies and holdings that match stated aims.(FCA)</t>
  </si>
  <si>
    <t>- Where firms offer sustainable or ESG-labelled products, regulators expect a clear link between: - the stated ESG objectives of the product, and - the actual assets held or referenced (including tokens). - ESG claims should be internally consistent across products, disclosures and marketing; holdings should not materially contradict the stated ESG characteristics.</t>
  </si>
  <si>
    <t>- Tab 6 helps you determine whether including a particular token in ESG-labelled or sustainability-themed portfolios would be credible, or whether it would undermine those claims. - For tokens scoring poorly on ESG dimensions (e.g. environmentally intensive, governance controversies, social harms), Tab 6 provides a documented rationale for: - excluding them from ESG products, - restricting them to non-ESG ranges, or - applying additional disclosure if exposures are unavoidable. - This supports your ability to evidence that ESG-themed offerings match their stated ESG profile, as expected under SDR and related guidance.</t>
  </si>
  <si>
    <t>Governance, SMCR and reputational risk management</t>
  </si>
  <si>
    <t>PRIN 2.1 – Principles for Businesses include: - Principle 1 – Integrity, - Principle 2 – Skill, care and diligence, - Principle 3 – Management and control (adequate risk management systems), and - Principle 6 – Customers’ interests.(FCA Handbook) SYSC 4.1.1R – firms must have robust governance arrangements including effective processes to identify, manage, monitor and report the risks they are exposed to.(FCA Handbook) FCA commentary on reputational risk highlights the need for firms to use that concept carefully and consistently, not as a vague catch-all, and to link it to concrete risk factors and decisions.(FCA)</t>
  </si>
  <si>
    <t>- Firms are expected to manage reputational risk in a structured way linked to real underlying issues (e.g. customer harm, misconduct, ESG controversies), not as an arbitrary veto. - Senior Managers must be able to explain and justify why certain products or relationships are acceptable or not in terms of the firm’s integrity, culture and risk appetite. - Governance frameworks should show how issues such as misconduct history, enforcement actions, social harm, or controversial industries are factored into product decisions.</t>
  </si>
  <si>
    <t>- Tab 6 gives you a systematic framework for assessing reputational risk at the token/project level: - prior enforcement or regulatory actions; - serious fraud or misconduct allegations; - ongoing controversies or social harms; - alignment with or divergence from your firm’s stated values and strategy. - The resulting reputational/strategic risk scores and bands can be explicitly referenced in product approval, review and exit decisions, demonstrating that reputational risk has been considered in a structured, evidence-based way rather than as an ad hoc label. - This supports PRIN 1–3 and SYSC expectations around integrity, skill and control in managing your product set.</t>
  </si>
  <si>
    <t>Culture, conduct and wider societal impact / ESG expectations</t>
  </si>
  <si>
    <t>FCA speeches, Dear CEO letters and thematic work on culture and conduct emphasise that firms must embed cultures that prioritise good customer outcomes and integrity, not short-term gains. FCA sustainable finance/ESG work (e.g. SDR, guiding principles, consultations on ESG ratings) reflects broader regulatory expectations that firms take ESG factors and societal impact seriously where relevant to their activities.(FCA)</t>
  </si>
  <si>
    <t>- The FCA increasingly expects firms to think about how their products affect customers and markets in the round, including societal and environmental dimensions where relevant. - Culture is judged not just by internal policies, but by which clients, sectors and products firms choose to support, and how they behave when issues arise.</t>
  </si>
  <si>
    <t>- Tab 6 allows you to capture whether association with a given token is consistent with the culture and societal stance your firm is trying to maintain (e.g. around environmental impact, human rights, exploitation, governance standards). - By documenting where there is a serious misalignment (e.g. repeated association with scams, exploitative schemes, or environmentally extreme practices), Tab 6 helps you justify: - declining to list or withdrawing support; - limiting distribution channels; or - applying enhanced disclosures and governance around that token. - This makes it easier to show, in culture and ESG discussions with regulators, that product choices are aligned with the firm’s stated values and ESG strategy, not just short-term commercial opportunities.</t>
  </si>
  <si>
    <t>Question_ID</t>
  </si>
  <si>
    <t>Question_Text</t>
  </si>
  <si>
    <t>Raw_Response</t>
  </si>
  <si>
    <t>Confidence</t>
  </si>
  <si>
    <t>Raw_Points</t>
  </si>
  <si>
    <t>Reliability_Modifier</t>
  </si>
  <si>
    <t>Reliability_Adjusted_Points</t>
  </si>
  <si>
    <t>Source_Citations</t>
  </si>
  <si>
    <t>Source_Dates</t>
  </si>
  <si>
    <t>Accessed_Dates</t>
  </si>
  <si>
    <t>Most_Recent_Source_Date</t>
  </si>
  <si>
    <t>Days_Since_Source</t>
  </si>
  <si>
    <t>Staleness_Class</t>
  </si>
  <si>
    <t>Staleness_Penalty</t>
  </si>
  <si>
    <t>Final_Score</t>
  </si>
  <si>
    <t>Board_Escalation_Flag</t>
  </si>
  <si>
    <t>Trigger_Rule_Description</t>
  </si>
  <si>
    <t>Narrative_Justification</t>
  </si>
  <si>
    <t>Debug Notes</t>
  </si>
  <si>
    <t>A. Purpose &amp; Utility</t>
  </si>
  <si>
    <t>A1.1</t>
  </si>
  <si>
    <t>Primary token category (Primary &amp; Secondary). Answer using exactly this format: "Primary: &lt;one of: Native L1, Gas/Fee, Governance, Utility, LP/AMM, Stablecoin, Asset-Backed, Meme/Narrative, Other&gt;; Secondary: &lt;one of the same list&gt;". Do not add explanations or extra words.</t>
  </si>
  <si>
    <t>Primary: Governance; Secondary: Governance</t>
  </si>
  <si>
    <t>High</t>
  </si>
  <si>
    <t>https://www.datawallet.com/crypto/world-liberty-financial-and-wlfi-explained; https://www.coindesk.com/price/wlfi; https://nypost.com/business/how-to-buy-wlfi-token/</t>
  </si>
  <si>
    <t>2025-09-10; 2025-11-25; 2025-09-19</t>
  </si>
  <si>
    <t>2025-12-21; 2025-12-21; 2025-12-21</t>
  </si>
  <si>
    <t>Evergreen–No Penalty</t>
  </si>
  <si>
    <t>No Review</t>
  </si>
  <si>
    <t>Helper row; scored via primary role only.</t>
  </si>
  <si>
    <t>Multiple sources describe WLFI as a governance-focused token for World Liberty Financial, used for voting on protocol decisions and platform direction, with no explicit asset backing or yield. This supports classifying it primarily and secondarily as a governance token rather than as a utility, meme, or asset-backed token.</t>
  </si>
  <si>
    <t>A1.2</t>
  </si>
  <si>
    <t>Stated value proposition (one-sentence summary).</t>
  </si>
  <si>
    <t>A community-governed DeFi token for bridging legacy finance and the open crypto economy through purpose-built onchain financial products like the USD1 stablecoin and related lending, borrowing, and payments services.</t>
  </si>
  <si>
    <t>https://worldlibertyfinancial.com/; https://www.valuethemarkets.com/cryptocurrency/news/world-liberty-financial-launches-wlfi-token-with-30-billion-valuation</t>
  </si>
  <si>
    <t>2025-12-17; 2025-09-04</t>
  </si>
  <si>
    <t>2025-12-21; 2025-12-21</t>
  </si>
  <si>
    <t>Descriptive only; no escalation.</t>
  </si>
  <si>
    <t>World Liberty Financial markets WLFI as the governance token for a community-governed platform that “bridges legacy finance and the open economy with purpose-built, onchain products,” including its USD1 stablecoin and planned lending, borrowing, and app services; the one-sentence summary reflects this stated positioning.</t>
  </si>
  <si>
    <t>A1.3</t>
  </si>
  <si>
    <t>Does real-world usage match the stated purpose? (Yes / Partial / No).</t>
  </si>
  <si>
    <t>No</t>
  </si>
  <si>
    <t>Medium</t>
  </si>
  <si>
    <t>https://www.businessupturn.com/brand-post/bitmart-research-releases-in-depth-analysis-on-world-liberty-financial-wlfi-and-its-strategic-vision/; https://www.globenewswire.com/news-release/2025/02/18/3027450/0/en/BitMart-Research-Releases-In-Depth-Analysis-on-World-Liberty-Financial-WLFI-and-Its-Strategic-Vision.html; https://coinmarketcap.com/cmc-ai/world-liberty-financial-wlfi/what-is/</t>
  </si>
  <si>
    <t>2025-02-18; 2025-02-18</t>
  </si>
  <si>
    <t>Operational–Medium</t>
  </si>
  <si>
    <t>Escalate only if stated purpose does not match real-world usage AND confidence is Low.</t>
  </si>
  <si>
    <t>Public materials describe WLFI as a governance/utility token for a DeFi lending platform and broader ecosystem, but independent research notes that World Liberty Financial had not begun DeFi operations and that WLFI "currently [has] no value or usage path" beyond fundraising and exchange trading. Available evidence points to speculative trading rather than meaningful use in lending, governance, or real‑world financial applications, so real usage does not match the stated purpose at this stage.</t>
  </si>
  <si>
    <t>A1.4</t>
  </si>
  <si>
    <t>List current real use cases (bulleted).</t>
  </si>
  <si>
    <t>- Token-based governance of the World Liberty Financial Protocol, where WLFI holders propose and vote on protocol matters (e.g., token tradability, emissions, ecosystem incentives, treasury actions) via the WLF Governance Platform and Snapshot.
- Participation in the WLF governance process more broadly, including submitting proposals, reviewing and discussing them in the governance forum, and signaling sentiment on platform upgrades and fund allocation.</t>
  </si>
  <si>
    <t>https://worldlibertyfinancial.com/wlfi/terms; https://worldlibertyfinancial.com/governance; https://gl.app/dao/worldlibertyfinancial.com/proposals/0x2708fd77e0240d5f62a4e02550770610857f3bda4547031bc14631910e1efbdb</t>
  </si>
  <si>
    <t>2025-12-16; 2025-07-16</t>
  </si>
  <si>
    <t>No trigger; used by A1.5/A3.1.</t>
  </si>
  <si>
    <t>Issuer terms and risk disclosures state the sole current utility of WLFI is governance of the WLF Protocol, with no economic or other rights. This governance is actively used through the WLF Governance Platform and Snapshot for proposals such as enabling token tradability and future ecosystem decisions. No credible evidence shows other live utilities beyond governance today.</t>
  </si>
  <si>
    <t>A1.5</t>
  </si>
  <si>
    <t>Identify and weight the main user groups of the token. Answer only in this format, using up to three groups: "&lt;Group1&gt; (primary), &lt;Group2&gt; (secondary), &lt;Group3&gt; (minor)". Choose user groups from: Developers, Validators, Retail, Institutions, Protocol integrators, Speculators. If speculators are only a minor group, write "Speculators (minor)". If they are a major driver, write "Speculators (primary)". Do not add any other words or explanation.</t>
  </si>
  <si>
    <t>Speculators (primary), Retail (secondary), Institutions (minor)</t>
  </si>
  <si>
    <t>https://nypost.com/business/how-to-buy-wlfi-token/; https://www.businesswire.com/news/home/20250317855322/en/Trump-Inspired-World-Liberty-Financial-Closes-%24550-Million-Across-Token-Sales; https://worldlibertyfinancial.com/</t>
  </si>
  <si>
    <t>2025-09-19; 2025-03-17</t>
  </si>
  <si>
    <t>Escalate only if speculative demand dominates AND no real use cases exist (A1.4 = 0 items).</t>
  </si>
  <si>
    <t>WLFI is framed as a governance token but widely described as a politically charged, hyped “gamble,” with coverage emphasizing volatile trading and speculative behavior, pointing to speculators as the primary user base. Retail investors are heavily targeted via “how to buy WLFI” guides and exchange access. Large token sales and structured offerings to investors indicate a smaller but meaningful institutional holder segment.</t>
  </si>
  <si>
    <t>A1-N</t>
  </si>
  <si>
    <t>≤120-word narrative summary for A.1 (purpose &amp; design).</t>
  </si>
  <si>
    <t>World Liberty Financial (WLFI) is a governance and utility token for a Trump‑affiliated DeFi platform aiming to “bridge legacy finance and the open economy.” WLFI underpins protocol governance, with holders proposing and voting on upgrades, product priorities, and treasury decisions via a formal governance process and Snapshot-style off‑chain voting. The protocol’s core design pairs WLFI with USD1, a fully reserved, dollar‑redeemable stablecoin deployed across multiple chains, positioning WLFI as the native asset in an ecosystem of trading, lending, and payments products. WLFI is issued on Ethereum (and bridged to other networks), with a fixed 100 billion maximum supply and a large, actively managed treasury.</t>
  </si>
  <si>
    <t>https://worldlibertyfinancial.com/; https://coinmarketcap.com/currencies/world-liberty-financial-wlfi/; https://www.worldlibertyclaims.com/</t>
  </si>
  <si>
    <t>2025-12-20; 2025-12-20; 2025-12-19</t>
  </si>
  <si>
    <t>Informational only; no trigger.</t>
  </si>
  <si>
    <t>Summary directly reflects protocol and token descriptions from the project’s main site, governance portal, and independent data aggregators, plus high‑level structure from encyclopedic coverage. These sources consistently describe WLFI as a governance/utility token for a multi‑chain DeFi protocol centered on the USD1 stablecoin, with community governance and a 100B max supply.</t>
  </si>
  <si>
    <t>A2.1</t>
  </si>
  <si>
    <t>Is the token required for core protocol operation? (Yes / Partially / No).</t>
  </si>
  <si>
    <t>https://coinmarketcap.com/cmc-ai/world-liberty-financial-wlfi/what-is/; https://worldlibertyfinancial.com/</t>
  </si>
  <si>
    <t>2025-12-01; 2025-12-15</t>
  </si>
  <si>
    <t>Available documentation describes WLFI as a governance and utility token (voting on proposals, token unlocks, incentives, staking), while core protocol products like the USD1 stablecoin operate independently for payments, settlements, and DeFi integrations. Users can transact and use USD1 without holding WLFI, so WLFI is not strictly required for core protocol operation.</t>
  </si>
  <si>
    <t>A2.2</t>
  </si>
  <si>
    <t>Does the token provide access to meaningful network services? (Yes / Limited / No).</t>
  </si>
  <si>
    <t>Limited</t>
  </si>
  <si>
    <t>Low</t>
  </si>
  <si>
    <t>Publicly available, neutral documentation describing WLFI’s concrete utility or the specific on-chain services it enables is very sparse. The project markets itself as part of a broader “World Liberty Financial” ecosystem, but I could not find clear, verifiable evidence that the token currently provides robust, distinct network services beyond generic crypto functions (holding, transferring, potential governance/fee roles). Due to limited reliable information, I classify access as Limited with low confidence.</t>
  </si>
  <si>
    <t>A2.3</t>
  </si>
  <si>
    <t>How dependent is utility on future network growth? (Low / Moderate / High).</t>
  </si>
  <si>
    <t>https://worldlibertyfinancial.com/; https://www.worldlibertyclaims.com/; https://governance.worldlibertyfinancial.com/t/governance-proposal-unlocking-real-value-a-staking-utility-model-for-wlfi/42972</t>
  </si>
  <si>
    <t>2025-09-01; 2025-09-15; 2025-09-03</t>
  </si>
  <si>
    <t>WLFI’s primary utilities are governance and potential access/benefits within the World Liberty Financial ecosystem, including proposals for staking, exclusive features, and revenue-linked buyback/burn mechanisms. These benefits meaningfully matter only if the WLFI protocol, its USD1 stablecoin, and related products gain adoption and generate flows. Without substantial future network and product growth, governance power and ecosystem access have limited practical value, so utility is highly dependent on future growth.</t>
  </si>
  <si>
    <t>A2-N</t>
  </si>
  <si>
    <t>≤120-word narrative summary for A.2 (utility &amp; necessity).</t>
  </si>
  <si>
    <t>WLFI is the native governance token of World Liberty Financial, used primarily to propose and vote on protocol changes, treasury use, token unlock schedules, and broader roadmap decisions. Governance is exercised via dedicated forums and Snapshot-style voting, positioning WLFI as the coordination and control layer for the USD1- and lending-focused ecosystem rather than a direct claims token on cash flows. Recent and pending proposals contemplate expanding its role to staking-based rewards, boosted governance weight, and gated access to premium features or deals, but many of these utilities are still at the proposal or early implementation stage. Overall, WLFI is necessary mainly for on-chain and off-chain governance rather than for core protocol usage.</t>
  </si>
  <si>
    <t>https://worldlibertyfinancial.com/; https://governance.worldlibertyfinancial.com/t/proposal-make-wlfi-token-tradable/17772; https://governance.worldlibertyfinancial.com/t/governance-proposal-enable-wlfi-token-staking-for-enhanced-governance-and-ecosystem-incentives/33917</t>
  </si>
  <si>
    <t>2025-09-01; 2025-07-04; 2025-07-17</t>
  </si>
  <si>
    <t>Sources consistently describe WLFI as the protocol’s governance token for voting on upgrades, unlock schedules, and strategic decisions, with staking and additional utilities discussed in governance forums but not yet fully implemented. This supports characterizing WLFI’s current necessity as governance-centric, with broader utility still emerging.</t>
  </si>
  <si>
    <t>A3.1</t>
  </si>
  <si>
    <t>Is token demand usage-driven, mixed, or speculative? (Usage-driven / Mixed / Speculative).</t>
  </si>
  <si>
    <t>Mixed</t>
  </si>
  <si>
    <t>https://worldlibertyfinancial.com/; https://www.valuethemarkets.com/cryptocurrency/news/world-liberty-financial-launches-wlfi-token-with-30-billion-valuation; https://www.valuethemarkets.com/cryptocurrency/news/world-liberty-financial-increases-wlfi-token-holdings-with-10-million-buyback</t>
  </si>
  <si>
    <t>2025-09-04; 2025-09-04; 2025-11-26</t>
  </si>
  <si>
    <t>Escalate only if demand is speculative AND no real use cases exist (A1.4 = 0 items).</t>
  </si>
  <si>
    <t>WLFI is positioned as a governance and platform token for the World Liberty Financial DeFi ecosystem, with stated roles in governance and interaction with products like USD1 and protocol tools, indicating some usage-driven demand. However, launch coverage emphasizes its high initial valuation, major exchange listings, Trump branding, and price movements and buybacks, suggesting a strong speculative component. Overall demand appears mixed rather than purely utility- or speculation-driven.</t>
  </si>
  <si>
    <t>A3-N</t>
  </si>
  <si>
    <t>≤120-word narrative summary for A.3 (demand characterization).</t>
  </si>
  <si>
    <t>WLFI demand is currently driven primarily by speculative interest, Trump-brand affinity, and the project’s large fundraising and marketing footprint, rather than by mature protocol fee flows. The token has been sold extensively in primary offerings and is now listed on major exchanges with multibillion‑dollar valuations, supporting liquid secondary trading. WLFI functions as a governance token for the broader WLFI–USD1 ecosystem, with holders able to participate in proposals and votes, which may support longer‑term “ecosystem bet” demand. Management has also executed token buybacks, temporarily boosting price and attention. Overall, demand is strong but heavily momentum‑ and narrative‑sensitive, with underlying utility still developing.</t>
  </si>
  <si>
    <t>https://en.wikipedia.org/wiki/World_Liberty_Financial; https://www.businesswire.com/news/home/20250317855322/en/Trump-Inspired-World-Liberty-Financial-Closes-%24550-Million-Across-Token-Sales; https://www.valuethemarkets.com/cryptocurrency/news/world-liberty-financial-launches-wlfi-token-with-30-billion-valuation</t>
  </si>
  <si>
    <t>2025-11-24; 2025-03-17; 2025-09-04</t>
  </si>
  <si>
    <t>Description aligns with reports of large WLFI token sales, major-exchange listing and valuations, governance usage in the WLFI/ USD1 ecosystem, and token buybacks affecting market price, indicating a mix of speculative and developing utility-driven demand.</t>
  </si>
  <si>
    <t>B. Governance &amp; Control</t>
  </si>
  <si>
    <t>B1.1</t>
  </si>
  <si>
    <t>What legal/organisational form anchors the protocol? Choose one: DAO, Hybrid (Foundation + DAO), Foundation, Company, Unknown.</t>
  </si>
  <si>
    <t>Company</t>
  </si>
  <si>
    <t>https://worldlibertyfinancial.com/wlfi/terms; https://worldlibertyfinancial.com/governance</t>
  </si>
  <si>
    <t>2025-08-25</t>
  </si>
  <si>
    <t>WLFI token terms specify that users acquire tokens from World Liberty Financial, Inc., described as a Delaware nonstock corporation, indicating a corporate legal anchor rather than a foundation or standalone DAO. While there is a token-holder governance process (e.g., Snapshot voting), this operates atop the company structure, so the protocol is best categorized as Company-anchored.</t>
  </si>
  <si>
    <t>B1.2</t>
  </si>
  <si>
    <t>Is the governing entity’s jurisdiction and registration publicly disclosed? Answer Yes / No / Partial.</t>
  </si>
  <si>
    <t>Yes</t>
  </si>
  <si>
    <t>https://worldlibertyfinancial.com/wlfi/terms; https://www.worldliberty-financial.net/; https://en.wikipedia.org/wiki/World_Liberty_Financial</t>
  </si>
  <si>
    <t>2025-08-25; 2025-09-01</t>
  </si>
  <si>
    <t>World Liberty Financial’s own token terms identify the governing entity as “World Liberty Financial, Inc., a Delaware nonstock corporation,” explicitly disclosing both entity type and jurisdiction. Additional project materials describe WLF Holdco LLC as the sole member of World Liberty Financial, Inc., and detail ownership by DT Marks DeFi LLC, further confirming a disclosed corporate structure and jurisdictional information.</t>
  </si>
  <si>
    <t>B1.3</t>
  </si>
  <si>
    <t>Are project leaders (core team / council) publicly identified? Answer Yes / No / Unknown.</t>
  </si>
  <si>
    <t>https://worldlibertyfinancial.com/about; https://blockchainwire.io/press-release/bitmart-research-releases-in-depth-analysis-on-world-liberty-financial-wlfi-and-its-strategic-vision; https://www.reuters.com/business/finance/how-trump-family-took-over-crypto-firm-it-raised-hundreds-millions-2025-03-31/</t>
  </si>
  <si>
    <t>2025-11-01; 2025-11-15; 2025-03-31</t>
  </si>
  <si>
    <t>Project leaders are publicly identified. The official World Liberty Financial “About” page lists named co-founders (Donald J. Trump, Eric Trump, Donald Trump Jr., Barron Trump, Chase Herro, Zak Folkman, Steven, Zach, and Alex Witkoff) and key executives (e.g., CTO, Head of Growth, CCO). Third‑party research and news coverage similarly describe these individuals as the founders and core team behind WLFI, confirming that leadership is doxxed rather than anonymous.</t>
  </si>
  <si>
    <t>B1.4</t>
  </si>
  <si>
    <t>Are governance documents (constitution, voting rules, charters) published? Answer Yes / No / Unknown.</t>
  </si>
  <si>
    <t>Unknown</t>
  </si>
  <si>
    <t>https://worldlibertyfinancial.com/governance; https://worldlibertyfinancial.com</t>
  </si>
  <si>
    <t>2025-12-21; 2025-11-15</t>
  </si>
  <si>
    <t>World Liberty Financial’s site has a governance page describing that WLFI holders can propose, review and vote via a forum and Snapshot, but it does not clearly surface a formal governance constitution, charter, or detailed voting rulebook. Other public materials reference token sale terms and a white paper, yet I could not verifiably locate a dedicated, comprehensive governance document. Accordingly, whether such documents are formally published remains uncertain.</t>
  </si>
  <si>
    <t>B1.5</t>
  </si>
  <si>
    <t>Are governance decisions and change logs publicly recorded? Answer Yes / No / Partial.</t>
  </si>
  <si>
    <t>https://worldlibertyfinancial.com/governance; https://governance.worldlibertyfinancial.com/t/wlfi-ultimate-launch-guide/39856; https://www.coindesk.com/business/2025/07/16/trump-linked-wlfi-token-clears-vote-to-become-tradable</t>
  </si>
  <si>
    <t>2025-12-21; 2025-08-23; 2025-07-16</t>
  </si>
  <si>
    <t>WLFI describes a community governance process where token holders submit and review proposals on a public forum and vote via Snapshot, implying that governance decisions and their outcomes are posted publicly. External coverage of the Snapshot vote to make WLFI tradable further indicates that at least key governance decisions and results are publicly recorded, though a structured, comprehensive change log is not clearly documented, so confidence is medium rather than high.</t>
  </si>
  <si>
    <t>B2.1</t>
  </si>
  <si>
    <t>Who controls upgrade/admin authority over core contracts? Choose: No upgrades (immutable), DAO vote, Large multisig (≥4), Small multisig (≤3), Single dev, or Unknown if public sources do not clearly indicate this.</t>
  </si>
  <si>
    <t>https://etherscan.io/token/0xda5e1988097297dcdc1f90d4dfe7909e847cbef6; https://www.worldlibertyclaims.com/</t>
  </si>
  <si>
    <t>Critical–Fast</t>
  </si>
  <si>
    <t>Escalate only if upgrade/admin control is held by a single developer/key.</t>
  </si>
  <si>
    <t>The WLFI ERC-20 contract at 0xda5e…bef6 is a TransparentUpgradeableProxy on Ethereum, meaning upgrade/admin control exists via a ProxyAdmin-style admin, not an immutable contract. However, Etherscan and public docs do not clearly disclose which address or structure (single EOA, small or large multisig, or DAO-controlled contract) holds the proxy admin role. Governance materials describe token-holder voting generally but do not map this to the proxy admin. Therefore the specific upgrade/admin controller is unknown from public sources.</t>
  </si>
  <si>
    <t>B2.2</t>
  </si>
  <si>
    <t>Is the upgrade process documented and transparent (e.g., repo, docs, forums)? Answer Yes / No / Partial.</t>
  </si>
  <si>
    <t>Partial</t>
  </si>
  <si>
    <t>https://worldlibertyfinancial.com/governance; https://governance.worldlibertyfinancial.com/t/governance-proposal-enable-wlfi-token-staking-for-enhanced-governance-and-ecosystem-incentives/33917; https://worldlibertyfinancial.com/wlfi/risk-disclosures</t>
  </si>
  <si>
    <t>2025-07-14</t>
  </si>
  <si>
    <t>World Liberty Financial provides a public governance page describing a 3‑step process (propose, review on forum, vote via Snapshot) where WLFI holders can submit proposals for upgrades and other changes, and the governance forum shows multiple detailed proposals about protocol and security changes. However, formal, technical documentation of the smart‑contract upgrade mechanisms and admin powers is limited to generic risk disclosures that upgrades may occur, without clearly outlining roles or procedures. Hence the process is only partially documented and transparent.</t>
  </si>
  <si>
    <t>B2.3</t>
  </si>
  <si>
    <t>Is there a time-lock or DAO safeguard (e.g., delay, veto) on upgrades? Answer Yes / No / Unknown.</t>
  </si>
  <si>
    <t>https://etherscan.io/address/0xda5e1988097297dcdc1f90d4dfe7909e847cbef6; https://worldlibertyfinancial.com/wlfi/risk-disclosures; https://www.worldlibertyclaims.com/</t>
  </si>
  <si>
    <t>Escalate only if there is no safeguard AND control is Single dev or Small multisig (≤3).</t>
  </si>
  <si>
    <t>The main Ethereum WLFI contract is a TransparentUpgradeableProxy controlled via a ProxyAdmin, indicating centralized upgradeability, but Etherscan and associated docs do not show that the admin is a timelock or DAO-controlled contract. Governance materials reference Snapshot-style voting but do not specify on-chain binding controls, delays, or vetoes on upgrades. In the absence of explicit, verifiable evidence of a timelock or DAO safeguard, the status must be treated as Unknown.</t>
  </si>
  <si>
    <t>B2.4</t>
  </si>
  <si>
    <t>Are emergency pause/kill-switch functions present? Answer Yes / No / Unknown.</t>
  </si>
  <si>
    <t>https://etherscan.io/token/0xda5e1988097297dcdc1f90d4dfe7909e847cbef6</t>
  </si>
  <si>
    <t>2025-12-21</t>
  </si>
  <si>
    <t>The WLFI token contract at 0xda5e…cbef6 is deployed as an OpenZeppelin TransparentUpgradeableProxy, meaning an admin can upgrade the implementation contract via upgradeToAndCall. This upgradeability effectively provides a powerful control lever that can be used to halt or severely restrict token operations (a de facto kill-switch), even though a dedicated `pause` function is not visible at the proxy level.</t>
  </si>
  <si>
    <t>B2.5</t>
  </si>
  <si>
    <t>Is the multisig / admin address publicly verifiable (e.g., Safe, Etherscan labels)? Answer Yes / No / Unknown.</t>
  </si>
  <si>
    <t>Chat fallback error 400: {
  "error": {
    "message": "Unsupported parameter: 'max_tokens' is not supported with this model. Use 'max_completion_tokens' instead.",
    "type": "invalid_request_error",
    "param": "max_token</t>
  </si>
  <si>
    <t>Could not parse structured output. Preview: {"id": "resp_0d000a9504b55a4800694820a0d3dc81969fe1f0a6db11ab2d", "object": "response", "created_at": 1766334624, "status": "incomplete", "background": false, "billing": {"payer": "developer"}, "completed_at": null, "error": null, "incomple</t>
  </si>
  <si>
    <t>B2.6</t>
  </si>
  <si>
    <t>Is DAO voting binding (on-chain execution) or advisory-only? Choose: Binding, Advisory, No DAO, or Unknown if public sources do not clearly indicate this.</t>
  </si>
  <si>
    <t>Background–Slow</t>
  </si>
  <si>
    <t>I could not locate any clear public documentation or reputable third‑party analysis describing a WLFI/World Liberty Financial DAO, its governance process, or whether any tokenholder voting is on‑chain binding vs advisory. With no verifiable evidence of a functioning DAO or governance framework, the status of voting (if any) cannot be determined from available sources.</t>
  </si>
  <si>
    <t>B2.7</t>
  </si>
  <si>
    <t>Have there been prior governance disputes, forks, or emergency upgrades? Answer Yes / No / Unknown (explain in Narrative if Yes).</t>
  </si>
  <si>
    <t>https://governance.worldlibertyfinancial.com/t/wgip-02-proposal-for-urgent-acceleration-of-full-wlfi-token-unlock-and-tradability-to-restore-community-trust-and-maximize-project-potential-included-equal-distribution-of-the-30-reserved-in-the-whitepaper-to-the-85-110-early-buyers/34836; https://governance.worldlibertyfinancial.com/t/urgent-request-for-transparency-on-official-wlfi-token-addresses-and-governance/33759; https://www.reuters.com/business/finance/trump-crypto-backer-justin-sun-says-his-world-liberty-tokens-frozen-2025-09-05/</t>
  </si>
  <si>
    <t>2025-07-21; 2025-07-13; 2025-09-05</t>
  </si>
  <si>
    <t>Yes. Community governance tensions have surfaced, including proposals explicitly framed as restoring community trust and responding to widespread frustration over WLFI token unlock and tradability decisions, and public complaints about token freezing and transparency. However, there is no clear evidence of protocol-level chain forks or executed emergency smart‑contract upgrades to date; issues have so far played out via proposals and public disputes.</t>
  </si>
  <si>
    <t>B3.1</t>
  </si>
  <si>
    <t>Triggers Board review if treasury control is highly concentrated (Single or ≤3 distinct parties) and at least one of the following is true: treasury rules are not published, disbursements are not transparently tracked, there is no clear separation of duties, no periodic treasury reporting, or there has been a material treasury controversy.</t>
  </si>
  <si>
    <t>I could not locate reliable, detailed disclosures on WLFI’s main treasury or ecosystem fund governance, including how many signers or which entities/individuals control the relevant keys. Without clear documentation of a DAO-controlled treasury, a multisig with known signer counts, or comparable on-chain governance records, the effective number of controlling parties cannot be determined from available public sources.</t>
  </si>
  <si>
    <t>B3.2</t>
  </si>
  <si>
    <t>Are treasury disbursement rules published (policy/charter)? Answer Yes / No / Unknown.</t>
  </si>
  <si>
    <t>https://worldlibertyfinancial.com/governance; https://governance.worldlibertyfinancial.com/t/wlfi-community-empowerment-proposal/33151; https://en.wikipedia.org/wiki/World_Liberty_Financial</t>
  </si>
  <si>
    <t>2025-12-21; 2025-07-10; 2025-12-18</t>
  </si>
  <si>
    <t>Available materials describe a general governance flow (propose, review, vote) and mention that WLFI holders may vote on fund allocation or treasury use, but there is no publicly accessible, detailed treasury policy or disbursement charter specifying rules, criteria, or processes for treasury spending. Given this absence, treasury disbursement rules do not appear to be formally published.</t>
  </si>
  <si>
    <t>B3.3</t>
  </si>
  <si>
    <t>Are grants/dev fund disbursements tracked transparently (public reports or dashboards)? Answer Yes / No / Partial.</t>
  </si>
  <si>
    <t>https://www.worldlibertyclaims.com/; https://governance.worldlibertyfinancial.com/t/proposal-utilize-unlocked-wlfi-treasury-holdings-to-support-the-growth-of-usd1/51008; https://www.reuters.com/investigations/how-reuters-tallied-trump-organizations-crypto-income-2025-10-28/</t>
  </si>
  <si>
    <t>2025-12-19; 2025-12-17; 2025-10-28</t>
  </si>
  <si>
    <t>I found governance portals and proposals that discuss using the WLFI treasury and community pools, but not any live treasury dashboards, grant-tracking pages, or systematic public reports of where development or ecosystem funds are actually disbursed. Independent reporting also notes that World Liberty Financial’s finances are largely opaque, with revenues and allocations reconstructed from external data rather than official transparent disclosures. On this basis, grants/dev fund disbursements do not appear to be tracked transparently.</t>
  </si>
  <si>
    <t>B3.4</t>
  </si>
  <si>
    <t>Is there separation of duties between leadership (foundation execs) and treasury controllers? Answer Yes / No / Unknown.</t>
  </si>
  <si>
    <t>https://worldlibertyfinancial.com/governance; https://governance.worldlibertyfinancial.com/t/proposal-utilize-unlocked-wlfi-treasury-holdings-to-support-the-growth-of-usd1/51008; https://www.reuters.com/business/finance/how-trump-family-took-over-crypto-firm-it-raised-hundreds-millions-2025-03-31/</t>
  </si>
  <si>
    <t>2025-12-21; 2025-12-17; 2025-03-31</t>
  </si>
  <si>
    <t>Public materials describe WLFI governance as token‑holder proposals and Snapshot voting, including on fund allocation and treasury usage, but do not specify who the formal treasury controllers are or whether they are organizationally separate from company leadership or foundation executives. Available reporting instead emphasizes strong insider control and a centralized structure, without detailing any independent treasury committee or segregation of duties. Therefore the presence of formal separation of duties cannot be confirmed.</t>
  </si>
  <si>
    <t>B3.5</t>
  </si>
  <si>
    <t>Does the project publish periodic financial/treasury reports? Answer Yes / No / Unknown.</t>
  </si>
  <si>
    <t>https://worldliberty-financial.us/; https://vizi.com/2025/10/cryptocurrency/stablecoins/usd1-stablecoin-transparency-attestation-delay/</t>
  </si>
  <si>
    <t>2025-04-30; 2025-10-15</t>
  </si>
  <si>
    <t>World Liberty Financial’s USD1 stablecoin site states that USD1 is backed by cash and cash equivalents and explicitly notes that monthly reserve reports are published, with a section to view 2025 reports (e.g., April, May). This indicates the project does publish periodic financial/treasury-style disclosures for its stablecoin reserves, even if broader corporate financials may not be public.</t>
  </si>
  <si>
    <t>B3.6</t>
  </si>
  <si>
    <t>Has the treasury been subject to material controversy (misuse, loss, litigation)? Answer Yes / No / Unknown (explain in Narrative if Yes).</t>
  </si>
  <si>
    <t>https://coinmarketcap.com/academy/article/world-liberty-financial-denies-allegations-of-token-sales-and-preferential-deals-amid-controversy-and-market-scrutiny; https://cryptocaster.world/world-liberty-financial-rejects-claims-of-token-sales-amid-crypto-market-scrutiny/news/02/2025/; https://coincentral.com/wlfi-responds-to-security-breach-freezes-272-wallets-affected/</t>
  </si>
  <si>
    <t>2025-02-15; 2025-02-20; 2025-11-19</t>
  </si>
  <si>
    <t>Yes. WLFI’s treasury and token management have been the focus of public controversy. Reports alleged the project was swapping large amounts of unlaunched WLFI from its holdings for other projects’ native tokens with an added fee, which WLFI defended as routine treasury management rather than token sales. In a separate security incident, WLFI invoked emergency smart‑contract powers to freeze 272 wallets and burn over 166 million WLFI from compromised addresses, prompting debate over control and fund handling, even though framed as user protection rather than treasury theft.</t>
  </si>
  <si>
    <t>B-N1</t>
  </si>
  <si>
    <t>In ≤120 words, summarise the governance model and how decisions are proposed/approved/enforced.</t>
  </si>
  <si>
    <t>WLFI is a governance-only token used to vote on changes to the World Liberty Financial Protocol via the WLF Governance Platform and related portals (e.g., Snapshot). Token holders can submit proposals, which enter a public review/discussion phase before being put to a vote. Proposals require at least 5% of the total votable token supply as quorum for effectiveness. Governance covers protocol upgrades, marketing, and other protocol-level parameters, but does not extend to corporate governance of World Liberty Financial, Inc. WLFI, Inc. may decline to implement proposals if they would pose legal, contractual, or defined security risks, so ultimate enforcement is mediated by the company and the protocol’s technical controls.</t>
  </si>
  <si>
    <t>https://worldlibertyfinancial.com/wlfi/risk-disclosures; https://worldlibertyfinancial.com/wlfi/terms; https://worldlibertyfinancial.com/governance</t>
  </si>
  <si>
    <t>2025-09-24</t>
  </si>
  <si>
    <t>Informational only; no board trigger.</t>
  </si>
  <si>
    <t>Answer is drawn from WLFI’s own governance/risk disclosures and token terms describing WLFI as a governance-only token, the WLF Governance Platform, quorum requirements, and the company’s right to refuse implementation on legal/security grounds, plus the governance page describing proposal, review, and voting flow.</t>
  </si>
  <si>
    <t>B-N2</t>
  </si>
  <si>
    <t>Is governance evolving toward more decentralisation (e.g., expanding multisig, increasing DAO scope)? Answer Yes / No / Unclear.</t>
  </si>
  <si>
    <t>https://worldlibertyfinancial.com/; https://finance.yahoo.com/news/trump-related-defi-platform-world-173044552.html; https://worldlibertyfinanciallabs.com/</t>
  </si>
  <si>
    <t>2025-12-21; 2025-08-24; 2025-12-18</t>
  </si>
  <si>
    <t>Available materials indicate a trend toward more decentralized governance. WLFI states that token holders steer the platform via proposing, reviewing, and voting, and a community governance vote in July expanded token rights by approving transferability. In addition, the affiliated Labs site describes an intended transition of World Liberty Financial to a fully decentralized, community-owned DAO structure, further suggesting governance is evolving toward greater decentralisation.</t>
  </si>
  <si>
    <t>C. Token Holder Rights (Regulatory Characteristics)</t>
  </si>
  <si>
    <t>C1</t>
  </si>
  <si>
    <t>Does the token provide any governance or voting rights? Answer one: Yes / No / Limited / Unclear.</t>
  </si>
  <si>
    <t>https://worldlibertyfinancial.com/wlfi/risk-disclosures; https://worldlibertyfinancial.com/governance; https://www.datawallet.com/crypto/world-liberty-financial-and-wlfi-explained</t>
  </si>
  <si>
    <t>2025-09-24; 2025-12-20</t>
  </si>
  <si>
    <t>WLFI is explicitly described as a governance token whose sole functionality is to provide governance rights over the World Liberty Financial protocol. Official risk disclosures state that WLFI confers governance rights (though limited to protocol matters and subject to constraints), and the project’s governance page and third‑party analyses confirm that WLFI holders can propose and vote on protocol decisions. This clearly indicates that the token provides governance/voting rights.</t>
  </si>
  <si>
    <t>C2</t>
  </si>
  <si>
    <t>Do token holders receive any share of fees, revenue, interest, or yields generated by the project? Answer one: Yes / No / Indirect / Unclear.</t>
  </si>
  <si>
    <t>Indirect</t>
  </si>
  <si>
    <t>https://www.datawallet.com/crypto/world-liberty-financial-and-wlfi-explained; https://www.ainvest.com/news/world-liberty-financial-wlfi-high-risk-high-reward-play-political-branding-tokenomics-2509/</t>
  </si>
  <si>
    <t>2025-10-01; 2025-09-25</t>
  </si>
  <si>
    <t>Escalate only if token confers direct revenue/fee/interest share (Answer = Yes).</t>
  </si>
  <si>
    <t>Available tokenomics descriptions state WLFI is a governance token with no formal revenue- or fee-sharing rights and no direct financial returns promised to holders. However, project communications describe a buyback-and-burn program funded by protocol-owned liquidity fees, reducing supply to support token value. This uses project revenue to indirectly benefit holders via scarcity rather than explicit distributions, so exposure is best characterized as indirect.</t>
  </si>
  <si>
    <t>C3</t>
  </si>
  <si>
    <t>Are token holders entitled to residual claims on treasury assets or protocol revenue? Answer one: Yes / No / Unclear.</t>
  </si>
  <si>
    <t>https://worldlibertyfinancial.com/wlfi/terms; https://worldlibertyfinancial.com/wlfi/risk-disclosures; https://www.datawallet.com/crypto/world-liberty-financial-and-wlfi-explained</t>
  </si>
  <si>
    <t>2025-08-25; 2025-09-24</t>
  </si>
  <si>
    <t>Escalate only if token confers residual asset claims (Answer = Yes).</t>
  </si>
  <si>
    <t>World Liberty Financial’s own WLFI terms and risk disclosures state that WLFI is a governance-only token with no economic rights. They specify that WLFI does not confer ownership, revenue share, dividends, distributions, or rights to any fees generated by the protocol or earned by the company. Therefore, WLFI holders are not entitled to residual claims on treasury assets or protocol revenue.</t>
  </si>
  <si>
    <t>C4</t>
  </si>
  <si>
    <t>Is the token's value dependent on the managerial or entrepreneurial efforts of a core team or foundation? Answer one: High / Moderate / Low.</t>
  </si>
  <si>
    <t>WLFI’s value is closely tied to the actions of World Liberty Financial, Inc. and its founders. The protocol and token were created and are developed by the company, a Trump-family business that directly profits from token sales and controls major treasury decisions and partnerships. Recent token sales and corporate-led initiatives (e.g., large buybacks, stablecoin ecosystem strategy) indicate that core team decisions remain central to WLFI’s value and prospects.</t>
  </si>
  <si>
    <t>C5</t>
  </si>
  <si>
    <t>Are token holders relying on future network growth for token appreciation? Answer one: Yes / No / Partial.</t>
  </si>
  <si>
    <t>https://en.wikipedia.org/wiki/World_Liberty_Financial; https://nypost.com/business/how-to-buy-wlfi-token/</t>
  </si>
  <si>
    <t>2025-11-24; 2025-09-20</t>
  </si>
  <si>
    <t>WLFI is described as a governance token for the World Liberty Financial DeFi protocol and USD1 ecosystem, without intrinsic asset backing or guaranteed yield. Its value proposition is tied to the protocol’s expansion, institutional deals, and politically driven visibility, meaning holders are primarily speculating on future adoption and ecosystem growth to drive price appreciation rather than current cash flows or rights to underlying assets.</t>
  </si>
  <si>
    <t>C6</t>
  </si>
  <si>
    <t>Are token holders financially or contractually disadvantaged versus insiders or early backers (e.g., preferences, seniority, redemption rights)? Answer one: Yes / No / Unclear.</t>
  </si>
  <si>
    <t>https://blog.mexc.com/what-is-wlfi/; https://www.datawallet.com/crypto/world-liberty-financial-and-wlfi-explained</t>
  </si>
  <si>
    <t>2025-07-01; 2025-09-10</t>
  </si>
  <si>
    <t>Available tokenomics indicate structural advantages for insiders. WLFI is positioned as a governance-only token with no economic rights or revenue share for ordinary holders. In contrast, a large "Initial Supporter" allocation (founding backers, Trump-linked entities) receives protocol revenue distributions after a reserve threshold, creating a distinct class of beneficiaries not extended to general token holders. That differential access to revenues and upside constitutes a financial disadvantage versus insiders.</t>
  </si>
  <si>
    <t>C7</t>
  </si>
  <si>
    <t>Provide a ≤120-word justification explaining why this token is or is not securities-like under UK perimeter, citing rights, revenue share, reliance on managerial efforts, and expectations. (Narrative only).</t>
  </si>
  <si>
    <t>WLFI appears securities‑like under the UK perimeter. WLFI is framed as a governance token, giving holders voting rights over protocol direction and products, which mirrors shareholder‑style control over a centralised business operated by World Liberty Financial Inc.citeturn1search2turn1search6 Public materials indicate the Trump family and insiders receive the bulk of token‑sale proceeds and stablecoin profit flows, while token value is positioned to benefit from the team’s ongoing development, partnerships and ecosystem growth, creating a strong expectation of profit from others’ managerial efforts.citeturn1search12turn1search9 WLFI treasury trading and buyback activity further tie token performance to issuer decisions, reinforcing a securities‑like profile.citeturn1search1turn1search4</t>
  </si>
  <si>
    <t>https://www.worldlibertyclaims.com/; https://en.wikipedia.org/wiki/World_Liberty_Financial; https://www.valuethemarkets.com/cryptocurrency/news/world-liberty-financial-increases-wlfi-token-holdings-with-10-million-buyback</t>
  </si>
  <si>
    <t>2025-11-06; 2025-11-26</t>
  </si>
  <si>
    <t>Assessment infers UK securities‑like characteristics from governance/control features, team‑retained revenues, promotional framing and active issuer trading, but public documentation on precise legal rights, revenue share and UK‑specific structuring is limited, so I assign Medium confidence.</t>
  </si>
  <si>
    <t>D. Whitepaper &amp; Disclosure Quality (Accuracy, Transparency, Fairness)</t>
  </si>
  <si>
    <t>D1</t>
  </si>
  <si>
    <t>Does the project have a current whitepaper or technical documentation available from an official source? (Yes / No / Outdated / Unclear)</t>
  </si>
  <si>
    <t>https://worldlibertyfinancial.com/; https://static.worldlibertyfinancial.com/docs/mica-whitepaper.pdf</t>
  </si>
  <si>
    <t>2025-10-30; 2025-10-30</t>
  </si>
  <si>
    <t>Escalate only if no official whitepaper/technical documentation exists (Answer = "No").</t>
  </si>
  <si>
    <t>World Liberty Financial’s official site includes a “MiCA Whitepaper” link under the WLFI section, pointing to a PDF titled “MiCAR WHITE PAPER, Version 1.1, October 2025.” The document is a detailed crypto-asset white paper describing WLFI, its governance function, technology, offering terms, and risks, indicating that current technical/offer documentation is available from an official source.</t>
  </si>
  <si>
    <t>D2</t>
  </si>
  <si>
    <t>Does the whitepaper clearly state the purpose and function of the token? (Yes / No / Partially)</t>
  </si>
  <si>
    <t>https://www.okx.com/learn/world-liberty-financial-white-paper; https://worldlibertyfinannacial.com</t>
  </si>
  <si>
    <t>2025-11-20; 2025-11-01</t>
  </si>
  <si>
    <t>The OKX-hosted MiCA-format whitepaper explicitly defines WLFI as an ERC‑20/BEP‑20/SPL utility token whose primary function is to grant voting rights within the World Liberty Financial protocol’s governance system, clarifying that it provides governance access only and no rights to profits, dividends, or off‑chain goods/services. This clearly articulates both the token’s purpose (governance) and functional utility (propose/vote on protocol changes).</t>
  </si>
  <si>
    <t>D3</t>
  </si>
  <si>
    <t>Does the whitepaper clearly describe the governance model? (Yes / No / Partially)</t>
  </si>
  <si>
    <t>Partially</t>
  </si>
  <si>
    <t>https://www.okx.com/learn/world-liberty-financial-white-paper; https://worldlibertyfinancial.com/wlfi/risk-disclosures</t>
  </si>
  <si>
    <t>2025-12-18; 2025-09-24</t>
  </si>
  <si>
    <t>The OKX-hosted WLFI crypto-asset whitepaper explains that WLFI is a governance token, that its sole utility is to grant governance rights, and that holders may vote on protocol upgrades and strategic decisions with voting power proportional to holdings subject to a cap. However, it does not provide a full, detailed specification of the governance process (e.g., proposal thresholds, roles, veto/emergency powers), which are instead described in separate risk or governance materials. Thus, governance is described, but not comprehensively.</t>
  </si>
  <si>
    <t>D4</t>
  </si>
  <si>
    <t>Does the whitepaper disclose tokenomics, including supply schedule, issuance model, and allocations? (Yes / No / Partial / Unclear)</t>
  </si>
  <si>
    <t>https://static.worldlibertyfinancial.com/docs/gold-paper.pdf; https://www.okx.com/learn/world-liberty-financial-white-paper</t>
  </si>
  <si>
    <t>2025-12-18; 2025-12-18</t>
  </si>
  <si>
    <t>Escalate only if tokenomics (supply, issuance, allocations) are undisclosed (Answer = "No").</t>
  </si>
  <si>
    <t>The official “gold paper” states a fixed total supply of 100 billion WLFI and breaks down allocations (token sale, community growth, co‑founder allocation, team/advisors). It also notes all tokens were initially non‑transferable and that unlocks occur via governance. However, it does not provide a detailed time‑based supply or vesting schedule for each allocation, and OKX’s whitepaper summary confirms that most lockups/vesting terms are not publicly specified. Thus, tokenomics allocations and basic issuance mechanics are disclosed, but the full supply schedule is not.</t>
  </si>
  <si>
    <t>D5</t>
  </si>
  <si>
    <t>Are risk factors disclosed (e.g., regulatory, governance, market, technical risks)? (Yes / Minimal / Missing / No)</t>
  </si>
  <si>
    <t>https://worldlibertyfinancial.com/wlfi/risk-disclosures</t>
  </si>
  <si>
    <t>World Liberty Financial publishes a dedicated WLFI risk disclosures page that details governance limitations, lack of economic rights, regulatory and tax uncertainty, technical and security risks (hacks, cryptography, wallet issues), and loss/uninsured loss risks. This constitutes a substantial, structured risk disclosure for the WLFI token.</t>
  </si>
  <si>
    <t>D6</t>
  </si>
  <si>
    <t>Does the project provide transparent and verifiable team / foundation identities? (Yes / No / Limited / Unclear)</t>
  </si>
  <si>
    <t>https://en.wikipedia.org/wiki/World_Liberty_Financial; https://www.reuters.com/business/finance/uae-fund-buys-100-million-trumps-world-liberty-tokens-2025-06-27/</t>
  </si>
  <si>
    <t>2025-11-06; 2025-06-27</t>
  </si>
  <si>
    <t>The project publicly associates World Liberty Financial and WLFI with identifiable individuals (Donald Trump, Eric Trump, Donald Trump Jr., Barron Trump, and co‑founders Zachary Folkman, Chase Herro, Alex Witkoff, Zach Witkoff) and an incorporated company, World Liberty Financial Inc. These names and roles are reported in independent coverage and profiles of the venture, making the team/founder identities transparent and externally verifiable rather than anonymous or pseudonymous.</t>
  </si>
  <si>
    <t>D7</t>
  </si>
  <si>
    <t>Are forward-looking statements clearly separated from factual claims? (Yes / No / Unclear)</t>
  </si>
  <si>
    <t>Unclear</t>
  </si>
  <si>
    <t>https://static.worldlibertyfinancial.com/docs/mica-whitepaper.pdf; https://worldlibertyfinancial.com/wlfi/risk-disclosures</t>
  </si>
  <si>
    <t>2025-10-30</t>
  </si>
  <si>
    <t>WLFI’s MiCA whitepaper and legal/risk disclosures present both current facts and future plans (e.g., “plans to license software,” protocol features may change, token upgrades, additional token issuances), but they do not use a dedicated “forward‑looking statements” disclaimer or consistently label such statements as forward-looking. While risks and hypothetical scenarios are generally framed as possibilities, there is no clear, systematic separation between forward-looking and factual claims across project materials.</t>
  </si>
  <si>
    <t>D8</t>
  </si>
  <si>
    <t>Provide a ≤120-word summary evaluating whether the whitepaper meets FCA expectations for fair, clear, non-misleading disclosure. (Narrative only).</t>
  </si>
  <si>
    <t>The OKX-hosted WLFI whitepaper includes many elements aligned with FCA expectations: issuer identity, governance-only token rights, lack of profit/share claims, and high-level risk factors. However, there are notable concerns. Marketing around WLFI has been strongly promotional, while the whitepaper downplays conflicts of interest (e.g., very large revenue share and influence for Trump-affiliated entities) and provides limited detail on lock-ups, token economics and regulatory risks. The prior “Gold Paper” was reportedly withdrawn for regulatory/clarity issues, increasing the risk that historic disclosures were not fair, clear, and non‑misleading overall.</t>
  </si>
  <si>
    <t>https://www.okx.com/learn/world-liberty-financial-white-paper; https://worldlibertyfinancial.com/wlfi/terms; https://governance.worldlibertyfinancial.com/t/early-supporter-unlocking-explained-simply/29395</t>
  </si>
  <si>
    <t>2025-12-18; 2025-07-07</t>
  </si>
  <si>
    <t>Informational narrative only; no board trigger.</t>
  </si>
  <si>
    <t>Assessment is based on the structured OKX WLFI whitepaper, project terms stating governance-only rights, and forum commentary that the earlier Gold Paper was removed for regulatory/compliance reasons. These indicate improved formal disclosures but also a history of unclear or incomplete risk/conflict communication. Some FCA-style elements are present, yet promotional framing, concentration of benefits, and gaps on token economics and regulatory risks suggest the overall disclosures may fall short of FCA’s “fair, clear and not misleading” standard, especially considering earlier marketing materials.</t>
  </si>
  <si>
    <t xml:space="preserve">E. Economic Model &amp; Distribution </t>
  </si>
  <si>
    <t>E1.1</t>
  </si>
  <si>
    <t>Token category for scoring context (choose one): L1, L2, Utility, Governance, LP/AMM, Stablecoin, Meme/Narrative, Other.</t>
  </si>
  <si>
    <t>Governance</t>
  </si>
  <si>
    <t>https://www.worldlibertyclaims.com/; https://coinmarketcap.com/cmc-ai/world-liberty-financial-wlfi/what-is/</t>
  </si>
  <si>
    <t>2025-12-18; 2025-12-20</t>
  </si>
  <si>
    <t>Helper row (no scoring, no trigger).</t>
  </si>
  <si>
    <t>WLFI is the native token of World Liberty Financial and is explicitly used for protocol governance: holders can submit proposals, review, and vote on decisions shaping the platform and ecosystem. This governance role, including voting on token unlocks and incentives, is central to the token’s design, so it is best categorized as a Governance token for scoring purposes.</t>
  </si>
  <si>
    <t>E1.2</t>
  </si>
  <si>
    <t>What is the token’s total supply model? (Fixed / Capped / Inflationary / Unknown)</t>
  </si>
  <si>
    <t>Capped</t>
  </si>
  <si>
    <t>https://worldlibertyfinancial.com/wlfi/terms; https://coinmarketcap.com/currencies/world-liberty-financial-wlfi/; https://en.wikipedia.org/wiki/World_Liberty_Financial</t>
  </si>
  <si>
    <t>Multiple sources state WLFI has a fixed total/max supply of 100 billion tokens, with about a quarter in circulation at launch. The project’s own terms specify that 100 billion WLFI were generated as native tokens on Ethereum, and market data platforms list both total and max supply as 100B, indicating a capped supply model rather than ongoing inflation.</t>
  </si>
  <si>
    <t>E1.3</t>
  </si>
  <si>
    <t>Is the issuance schedule transparent and documented? (Yes / Partial / No)</t>
  </si>
  <si>
    <t>https://www.okx.com/learn/world-liberty-financial-white-paper; https://worldlibertyfinancial.com/unlock</t>
  </si>
  <si>
    <t>2025-12-18; 2025-09-01</t>
  </si>
  <si>
    <t>The WLFI total supply and allocation breakdown are publicly documented, but the project’s own whitepaper (as mirrored by OKX) notes that no public lock-up or vesting schedules have been announced for most allocations, with future unlocks subject to governance votes. The official site only exposes per-wallet unlock schedules after connecting, not a full forward-looking issuance calendar. This means issuance mechanics are only partially transparent and documented.</t>
  </si>
  <si>
    <t>E1.4</t>
  </si>
  <si>
    <t>Do supply adjustments depend on managerial discretion? (Yes / No / Unknown)</t>
  </si>
  <si>
    <t>https://en.wikipedia.org/wiki/World_Liberty_Financial; https://blog.valr.com/blog/what-is-world-liberty-financial-wlfi; https://governance.worldlibertyfinancial.com/t/create-wlfi-native-chain/49955</t>
  </si>
  <si>
    <t>2025-12-18; 2025-09-10; 2025-09-20</t>
  </si>
  <si>
    <t>WLFI has a fixed maximum supply of 100 billion, but the circulating supply and release of locked allocations are subject to governance decisions rather than a hard-coded emission schedule. Sources note that significant portions of supply remain locked with future vesting and unlocks to be set by community governance, and governance discussions explicitly contemplate buyback/burn mechanics. This indicates that effective supply adjustments depend on discretionary governance/managerial decisions rather than an immutable algorithm.</t>
  </si>
  <si>
    <t>E1-N</t>
  </si>
  <si>
    <t>≤120-word narrative on supply credibility &amp; transparency. (Narrative only)</t>
  </si>
  <si>
    <t>WLFI’s supply is partially transparent but not fully consistent across sources. Multiple references cite a 100 billion token cap with a reported circulating supply around 24–27 billion in Sept 2025, and indicate that ~80% of supply is locked in smart contracts subject to governance-controlled unlocks. However, third‑party coverage and exchange materials disagree on total supply figures and initial circulating amounts, and detailed on‑chain lockbox contracts and vesting schedules are not clearly consolidated in a canonical technical document. Recent buyback‑and‑burn actions slightly reduce supply but add complexity for tracking. Overall, supply disclosures are directionally clear but fragmented, with notable residual uncertainty and concentration risks.</t>
  </si>
  <si>
    <t>https://en.wikipedia.org/wiki/World_Liberty_Financial; https://www.tradingkey.com/analysis/cryptocurrencies/more/251076161-world-liberty-financial-wfli-defi-trump-tradingkey; https://blog.valr.com/blog/what-is-world-liberty-financial-wlfi</t>
  </si>
  <si>
    <t>2025-09-01; 2025-09-10; 2025-09-05</t>
  </si>
  <si>
    <t>Synthesis of Wikipedia and multiple third‑party tokenomics explanations shows broadly aligned but not identical figures for total and circulating supply, plus mention of lockups and burns. Lack of a single primary technical source and inconsistencies lower confidence.</t>
  </si>
  <si>
    <t>E2.1</t>
  </si>
  <si>
    <t>Team allocation percentage (% of max/FDV supply). Enter numeric or 'Unknown'.</t>
  </si>
  <si>
    <t>2.5</t>
  </si>
  <si>
    <t>https://www.datawallet.com/crypto/world-liberty-financial-and-wlfi-explained</t>
  </si>
  <si>
    <t>2025-11-01</t>
  </si>
  <si>
    <t>A detailed tokenomics breakdown from a third-party research source states WLFI’s total supply is 100 billion and explicitly allocates 2.5% of the supply to “team and advisors.” This is the only clearly quantified team allocation found; other sources discuss founders’ or affiliates’ stakes but do not label them as team allocation. Given reliance on secondary data, confidence is medium rather than high.</t>
  </si>
  <si>
    <t>E2.2</t>
  </si>
  <si>
    <t>Investor/VC allocation percentage (% of max/FDV supply). Enter numeric or 'Unknown'.</t>
  </si>
  <si>
    <t>35</t>
  </si>
  <si>
    <t>https://governance.worldlibertyfinancial.com/t/100-of-pre-sale-tokens-will-become-transferable-the-unlock-refers-to-initial-supporters-allocation-explained/29729; https://www.datawallet.com/crypto/world-liberty-financial-and-wlfi-explained</t>
  </si>
  <si>
    <t>2025-07-07; 2025-11-01</t>
  </si>
  <si>
    <t>Project governance materials referencing the “Golden Paper” describe four allocation buckets, including a 35% Token Sale allocation, alongside 32.5% community growth, 30% initial supporters, and ~2.5% team/advisors. This 35% bucket represents the dedicated investor/token sale share of the 100B max supply. There are some inconsistencies across third-party summaries of presale vs. lockup, so confidence is medium rather than high.</t>
  </si>
  <si>
    <t>E2.3</t>
  </si>
  <si>
    <t>Treasury/foundation allocation percentage (% of max/FDV supply). Enter numeric or 'Unknown'.</t>
  </si>
  <si>
    <t>https://www.datawallet.com/crypto/world-liberty-financial-and-wlfi-explained; https://bsc.news/post/wlfi-token-review-utility-performance; https://blog.valr.com/blog/what-is-world-liberty-financial-wlfi</t>
  </si>
  <si>
    <t>2025-12-01; 2025-11-15; 2025-09-05</t>
  </si>
  <si>
    <t>Available tokenomics sources list categories such as public sale, community/rewards, team/advisors, initial supporters, and note that some supply is held in ecosystem, liquidity/marketing, or corporate treasury wallets. However, none provide a clear, dedicated percentage explicitly labeled as a protocol treasury/foundation allocation out of the 100B max supply. Due to this ambiguity, a precise treasury/foundation % cannot be reliably determined.</t>
  </si>
  <si>
    <t>E2.4</t>
  </si>
  <si>
    <t>Are unlock schedules publicly disclosed? (Yes / Partial / No)</t>
  </si>
  <si>
    <t>https://www.xt.com/en/blog/post/world-liberty-financial-confirms-wlfi-token-launch-for-september-1-on-ethereum-mainnet; https://worldlibertyfinancial.com/wlfi/terms; https://cryptonewsland.com/world-liberty-financial-confirms-wlfi-token-launch-for-september-1-on-ethereum-mainnet/</t>
  </si>
  <si>
    <t>2025-08-23; 2025-08-23</t>
  </si>
  <si>
    <t>WLFI has partially disclosed unlock information: public materials state that 20% of early investor tokens unlock at launch while 80% remain locked, with the vesting timeline for the remainder to be decided via community governance. Team/founder tokens are also stated to remain locked with longer unlock schedules. However, detailed, fixed unlock schedules for all allocations (including exact timelines for the remaining 80% and insiders) are not fully specified and are contingent on future votes, so disclosure is incomplete.</t>
  </si>
  <si>
    <t>E2.5</t>
  </si>
  <si>
    <t>What % of total supply unlocks in the next 6 months? Enter numeric or 'Unknown'.</t>
  </si>
  <si>
    <t>https://governance.worldlibertyfinancial.com/t/token-unlock-agreement-unlock-agreement-will-definitely-be-in-circulation-below-5-billion-as-there-are-some-wlfi-bought-by-bots-wallet-changes-that-will-not-be-eligible-for-unlocking/40302; https://worldlibertyfinancial.com/wlfi/terms; https://governance.worldlibertyfinancial.com/t/proposal-unlock-50-of-remaining-wlfi-tokens-with-staking-burning-incentives/49543</t>
  </si>
  <si>
    <t>2025-08-26; 2025-09-14</t>
  </si>
  <si>
    <t>Escalate if insider share (Team%+VC%) &gt; 45% AND unlocks in next 6m &gt; 15%. Auto 'No Review' if Token_Symbol = BTC.</t>
  </si>
  <si>
    <t>Public docs describe only that 20% of early-purchaser tokens unlocked around the September 1, 2025 launch, with the remaining 80% and insider allocations subject to future community votes and company discretion. I could not locate any binding, executed unlock schedule specifying what % of the total supply will unlock between Dec 21, 2025 and the next 6 months. Proposals exist but are not confirmed as passed, so the precise % is currently unknown.</t>
  </si>
  <si>
    <t>E2-N</t>
  </si>
  <si>
    <t>≤120-word narrative on fairness &amp; foreseeable harm (insider vs public). (Narrative only)</t>
  </si>
  <si>
    <t>WLFI’s token economics and sale structure raise notable fairness and foreseeable‑harm concerns. Public buyers enter at a high, exchange‑listed valuation after earlier private allocations and concurrent offerings, with limited transparency on exact vesting and lockups. The Trump family and related insiders reportedly capture the majority of token‑sale economics and retain large unsold WLFI balances, creating extreme concentration and potential price influence over secondary markets. This imbalance increases risks of insider‑driven volatility, buyback or treasury decisions that favor insiders, and information asymmetries around future token sales or protocol changes, leaving retail participants especially exposed if sentiment or regulatory status deteriorate.</t>
  </si>
  <si>
    <t>Assessment draws on reported token sale structure, insider economics, and launch valuation, but detailed cap table, vesting and governance constraints are not fully disclosed in neutral sources, so some inferences about distributional fairness and harm remain uncertain.</t>
  </si>
  <si>
    <t>E3.1</t>
  </si>
  <si>
    <t>Annual inflation/emission rate (% per year). Enter numeric or 'Unknown'. (Category-aware thresholds apply.)</t>
  </si>
  <si>
    <t>https://coinmarketcap.com/cmc-ai/world-liberty-financial-wlfi/what-is/; https://governance.worldlibertyfinancial.com/t/proposal-permanently-cap-wlfi-token-supply/32510; https://www.ainvest.com/news/world-liberty-financial-tokenomics-market-viability-deflationary-mechanisms-offset-political-risks-2509/</t>
  </si>
  <si>
    <t>2025-12-20; 2025-07-08; 2025-12-19</t>
  </si>
  <si>
    <t>Escalate if annual emission &gt;8% (L1/L2) or &gt;6% (others). Auto 'No Review' if Token_Symbol = BTC.</t>
  </si>
  <si>
    <t>Available documentation indicates WLFI has (or is proposing) a permanently capped supply with deflationary burns funded by protocol fees, not a clearly defined ongoing inflation/emission schedule in % per year. Staking rewards and burns are governance-driven and not expressed as a stable annual rate. Without a precise, consistent emission schedule, the effective annual inflation/emission rate cannot be reliably quantified, so it is marked as Unknown.</t>
  </si>
  <si>
    <t>E3.2</t>
  </si>
  <si>
    <t>Unlock pacing style (Gradual / Mixed / Cliff / Unknown).</t>
  </si>
  <si>
    <t>https://www.mexc.com/news/71223; https://www.okx.com/en-us/learn/wlfi-token-unlock-governance-market; https://www.okx.com/en-us/learn/wlfi-price-tokenomics-market-trends</t>
  </si>
  <si>
    <t>WLFI’s unlock design combines an initial cliff-style release with ongoing vesting. Early presale/public-sale tokens see an initial 20% unlock at the start of trading, while the remaining 80% and other allocations (team, advisors, treasury, ecosystem) are locked and subject to structured vesting schedules and/or governance-defined gradual releases. This blend of immediate and gradual unlocks is best categorized as Mixed.</t>
  </si>
  <si>
    <t>E3.3</t>
  </si>
  <si>
    <t>Are unlocks tied to real adoption milestones? (Yes / Unclear / No)</t>
  </si>
  <si>
    <t>https://governance.worldlibertyfinancial.com/t/token-unlock-agreement-unlock-agreement-will-definitely-be-in-circulation-below-5-billion-as-there-are-some-wlfi-bought-by-bots-wallet-changes-that-will-not-be-eligible-for-unlocking/40302; https://crypto.news/world-liberty-financial-unlock-tokens-sept-1-2025/; https://worldlibertyfinancial.com/wlfi/terms</t>
  </si>
  <si>
    <t>2025-08-26; 2025-09-09</t>
  </si>
  <si>
    <t>Available documentation describes WLFI unlocks as time-based and/or subject to community governance votes, not contingent on concrete usage or adoption KPIs. Presale terms state 20% of tokens unlock immediately, with the remaining 80% unlocked per a community‑decided schedule. Team and institutional tokens are also described as subject to longer vesting/unlock schedules, with no linkage to protocol usage, TVL, or other adoption milestones.</t>
  </si>
  <si>
    <t>E3-N</t>
  </si>
  <si>
    <t>≤120-word narrative on dilution path and mitigants. (Narrative only)</t>
  </si>
  <si>
    <t>WLFI has a large overhang: c.24–27B tokens circulating versus a 100B max supply, with ~80% reportedly locked under structured schedules for presale, team, treasury and ecosystem allocations. Future dilution is expected mainly from presale vesting (e.g., proposals to stream ~20B remaining presale tokens over 16 years with Bitcoin‑style halvings) and from gradual releases of treasury and ecosystem pools subject to governance. Mitigants include long-dated, programmatic vesting proposals, governance control over further unlocks, and emerging capital‑return tools such as buyback-and-burn programs and issuer buybacks (e.g., a reported 59M WLFI repurchase), which can partly offset supply expansion if consistently applied.</t>
  </si>
  <si>
    <t>https://blog.valr.com/blog/what-is-world-liberty-financial-wlfi; https://governance.worldlibertyfinancial.com/t/proposal-16-year-vesting-model-streaming-with-bitcoin-s-halving-rhythm/49369; https://www.valuethemarkets.com/cryptocurrency/news/world-liberty-financial-increases-wlfi-token-holdings-with-10-million-buyback</t>
  </si>
  <si>
    <t>2025-09-05; 2025-09-12; 2025-11-26</t>
  </si>
  <si>
    <t>Answer synthesizes disclosed tokenomics (supply, locked share) with governance vesting proposals and reported buyback/burn programs. Some items (e.g., proposals vs. approved implementation, exact locked proportions over time) remain uncertain, so dilution specifics may change by future governance votes, warranting “Medium” confidence.</t>
  </si>
  <si>
    <t>E4.1</t>
  </si>
  <si>
    <t>Primary yield source (Fee / Mix / Emissions / Unknown).</t>
  </si>
  <si>
    <t>https://www.okx.com/learn/world-liberty-financial-white-paper; https://www.gate.com/learn/articles/what-is-world-liberty-financial-wlfi/11745; https://coinmarketcap.com/cmc-ai/world-liberty-financial-wlfi/what-is/</t>
  </si>
  <si>
    <t>2025-12-18; 2025-11-15; 2025-12-20</t>
  </si>
  <si>
    <t>Trigger #3 checks emission-funded high APR.</t>
  </si>
  <si>
    <t>Available disclosures describe WLFI primarily as a governance/token sale asset with complex allocations and potential future mechanisms like staking or buyback-and-burn subject to governance, but they do not clearly define any current, systematic yield mechanism (fees vs emissions) for holders. In the absence of explicit, verifiable documentation on an active yield source, the primary yield source must be treated as Unknown.</t>
  </si>
  <si>
    <t>E4.2</t>
  </si>
  <si>
    <t>Typical headline yield/APR (%). Enter numeric or 'Unknown'.</t>
  </si>
  <si>
    <t>Escalate if primary yield = Emissions AND APR &gt; 20%.</t>
  </si>
  <si>
    <t>I could not locate any reliable, up-to-date documentation, dashboard, or third‑party analytics source that states a consistent or “typical” yield/APR for WLFI. Available references focus on the token and protocol conceptually without publishing ongoing APY metrics, and I will not infer a number from marketing language or isolated anecdotes. Therefore the headline yield/APR is recorded as Unknown.</t>
  </si>
  <si>
    <t>E4.3</t>
  </si>
  <si>
    <t>Does the economic design discourage pure speculation? (Yes / Unclear / No)</t>
  </si>
  <si>
    <t>https://www.datawallet.com/crypto/world-liberty-financial-and-wlfi-explained; https://nypost.com/business/how-to-buy-wlfi-token/; https://blog.valr.com/blog/what-is-world-liberty-financial-wlfi</t>
  </si>
  <si>
    <t>2025-12-21; 2025-09-19; 2025-09-05</t>
  </si>
  <si>
    <t>WLFI was originally framed as a non-transferable, governance-only token with no economic rights, which could have discouraged speculation. However, a later governance vote made WLFI transferable and it now trades on major exchanges with high volatility and strong hype, including political branding. Media and market commentary explicitly highlight its speculative nature, indicating the economic and market design do not meaningfully discourage pure speculation.</t>
  </si>
  <si>
    <t>E4-N</t>
  </si>
  <si>
    <t>≤120-word narrative on incentive sustainability &amp; suitability. (Narrative only)</t>
  </si>
  <si>
    <t>WLFI’s incentive design mixes protocol/governed rewards with very strong insider economics. The Trump family reportedly receives 75% of net token-sale proceeds and still holds a large unsold balance, creating persistent overhang and potential misalignment with secondary-market holders. WLFI has already raised hundreds of millions of dollars and engaged in nine‑figure valuations and buybacks, which may support short‑term price but depend on continued capital inflows and trading appetite. While governance and community participation are emphasized, the highly concentrated economic rights and reliance on token sales make long‑term incentive sustainability and suitability uncertain, especially under evolving U.S. regulatory scrutiny.</t>
  </si>
  <si>
    <t>2025-11-05; 2025-03-17; 2025-09-04</t>
  </si>
  <si>
    <t>Public sources describe WLFI as a governance token with community processes but also note very large Trump-family economic participation and major token sales/buybacks at high valuations. This supports concerns about concentration, overhang, and dependence on continued inflows for incentive sustainability. Some details may evolve, so confidence is Medium.</t>
  </si>
  <si>
    <t>Staleness Class Lookup Table</t>
  </si>
  <si>
    <t>Max_Age_Low_Risk</t>
  </si>
  <si>
    <t>Max_Age_Med_Risk</t>
  </si>
  <si>
    <t>Penalty_Med</t>
  </si>
  <si>
    <t>Penalty_High</t>
  </si>
  <si>
    <t>TAB SUMMARY (auto-calculated)</t>
  </si>
  <si>
    <t>Section A Avg Final_Score</t>
  </si>
  <si>
    <t>Section B Avg Final_Score</t>
  </si>
  <si>
    <t>Section C Avg Final_Score</t>
  </si>
  <si>
    <t>Section D Avg Final_Score</t>
  </si>
  <si>
    <t>Section E Avg Final_Score</t>
  </si>
  <si>
    <t>Overall Avg Final_Score</t>
  </si>
  <si>
    <t>Overall_Risk_Band</t>
  </si>
  <si>
    <t>Weakest_Link_Subsection</t>
  </si>
  <si>
    <t>A. Financial Promotions &amp; Claims</t>
  </si>
  <si>
    <t>Does the project’s public messaging describe the token in functional terms rather than speculative return language? (Functional / Mixed / Speculative / Unknown)</t>
  </si>
  <si>
    <t>https://www.wlfilaunch.com/; https://worldlibertyfinancial.com/; https://blog.bingx.com/bingx-insights/what-is-wlfi-a-deep-dive-into-world-liberty-financials-governance-token/</t>
  </si>
  <si>
    <t>2025-11-30; 2025-12-21; 2025-11-01</t>
  </si>
  <si>
    <t>Project messaging is mixed. Official WLFI token FAQ states that early participants can buy at a lower price and that the token’s value is expected to grow as the project expands, which is explicitly speculative. At the same time, the project also describes WLFI as powering the ecosystem and emphasizes governance and platform-utility roles. This combination of functional descriptions with clear price-appreciation language fits the “Mixed” category.</t>
  </si>
  <si>
    <t>Are material risks (e.g., volatility, governance, centralization, roadmap uncertainty) clearly disclosed in official documentation? (Good / Partial / Poor / Unknown)</t>
  </si>
  <si>
    <t>Good</t>
  </si>
  <si>
    <t>https://worldlibertyfinancial.com/wlfi/risk-disclosures; https://www.datawallet.com/crypto/world-liberty-financial-and-wlfi-explained</t>
  </si>
  <si>
    <t>2025-09-24; 2025-09-10</t>
  </si>
  <si>
    <t>World Liberty Financial publishes a dedicated WLFI Risk Disclosures page outlining numerous material risks: strictly limited governance-only rights and no economic/ownership claims, lack of dividends/airdrops, governance participation and centralization risks, protocol malfunction and hacking, regulatory and tax uncertainty, uninsured losses, and uncertainty around secondary markets or liquidity. These are structured, specific, and prominently framed as pre-acquisition disclosures, meeting a high bar for clarity and coverage.</t>
  </si>
  <si>
    <t>Do official materials make strong or absolute return claims (e.g., “guaranteed”, “risk‑free”, “no loss”, “fixed return”), as opposed to neutral yield information with appropriate risk caveats? (No strong return claims / Promotional yield language with caveats / Strong or absolute return claims / Unknown)</t>
  </si>
  <si>
    <t>No strong return claims</t>
  </si>
  <si>
    <t>https://worldlibertyfinancial.com/; https://worldlibertyfinancial.com/usd1; https://www.businesswire.com/news/home/20250325773694/en/World-Liberty-Financial-Plans-to-Launch-USD1-the-Institutional-Ready-Stablecoin</t>
  </si>
  <si>
    <t>2025-12-18; 2025-12-16; 2025-03-25</t>
  </si>
  <si>
    <t>COBS 4.5A.3R — Promotions must not imply guaranteed returns or expectations of profit (requires board sign‑off if detected).</t>
  </si>
  <si>
    <t>Review of World Liberty Financial’s official materials for WLFI and USD1 shows marketing focused on governance, payments, stability, and being “fully backed” or “redeemable 1:1,” but no advertised APYs, fixed yields, or language like “guaranteed” or “risk‑free returns.” Disclosures emphasize backing and custody rather than investment performance. On this basis, official materials currently appear not to make strong or absolute return claims.</t>
  </si>
  <si>
    <t>Does the overall promotional narrative appear fair, clear and not misleading judged against broadly accepted standards for retail-facing communications? (Yes / Mostly / Questionable / Unknown)</t>
  </si>
  <si>
    <t>Questionable</t>
  </si>
  <si>
    <t>https://worldlibertyfinannacial.com/; https://worldliberty-financial.us/; https://www.reuters.com/technology/trumps-world-liberty-financial-crypto-venture-says-it-will-launch-stablecoin-2025-03-25/</t>
  </si>
  <si>
    <t>2025-11-15; 2025-09-01; 2025-03-25</t>
  </si>
  <si>
    <t>Public-facing materials pitch WLFI/USD1 as “stable &amp; fully backed,” “transparent,” and “The Dollar. Upgraded,” emphasizing 1:1 redeemability and monthly reports but giving very limited detail on reserve management, counterparties, and key risks for retail users. Marketing strongly leans on Trump branding and a “financial revolution” narrative while governance and concentration of benefits to the Trump family are only partially disclosed in promotional copy, creating a material risk of retail misunderstanding.</t>
  </si>
  <si>
    <t>Is the overall tone of messaging suitable for retail audiences (simple, factual, risk-aware)? (Yes / Mixed / No / Unknown)</t>
  </si>
  <si>
    <t>https://www.wlfilaunch.com/; https://worldlibertyfinannacial.com/; https://worldlibertyfinanciallabs.com/</t>
  </si>
  <si>
    <t>Public-facing materials are heavily promotional rather than sober, risk-aware. Marketing emphasizes slogans like “Shape a New Era of Finance – Be DeFiant” and “Shape the future of decentralized finance by owning WLFI tokens,” and explicitly suggests early buyers benefit because “the token’s value is expected to grow over time,” plus “time‑sensitive” opportunities to “maximize your holdings.” Risk disclosures are referenced but not central to the messaging. Overall tone is hype‑driven, not simple, factual, and risk‑balanced for retail.</t>
  </si>
  <si>
    <t>B. Token Holder Rights &amp; Legal Characterization</t>
  </si>
  <si>
    <t>Does the token confer economic rights such as dividends, revenue share, buybacks yielding returns, interest, or similar? (Yes / Partial / No / Unknown)</t>
  </si>
  <si>
    <t>https://www.okx.com/learn/world-liberty-financial-white-paper; https://www.datawallet.com/crypto/world-liberty-financial-and-wlfi-explained; https://nypost.com/business/how-to-buy-wlfi-token/</t>
  </si>
  <si>
    <t>2025-12-18; 2025-09-10; 2025-09-05</t>
  </si>
  <si>
    <t>FSMA perimeter risk — securities-like **economic rights** (dividends/revenue share/interest). Legal assessment required.</t>
  </si>
  <si>
    <t>Available documentation describes WLFI as a governance-only token whose sole utility is voting on protocol decisions, with no asset backing, yield, or revenue‑sharing rights for holders. The white paper summary likewise characterizes WLFI purely as a governance/utility token and does not mention dividends, profit rights, interest, or guaranteed buyback participation. Discretionary secondary‑market buybacks do not create formal economic rights for tokenholders.</t>
  </si>
  <si>
    <t>How material are governance rights over protocol economics (e.g., issuance/fees/treasury)? (High / Moderate / Low / None / Unknown)</t>
  </si>
  <si>
    <t>https://worldlibertyfinancial.com/wlfi/terms; https://www.valuewalk.com/cryptocurrency/about-world-liberty-financial/; https://www.ccn.com/news/crypto/world-liberty-financial-gold-paper-trump-revenue/</t>
  </si>
  <si>
    <t>2024-10-15; 2025-11-30; 2024-10-18</t>
  </si>
  <si>
    <t>No board trigger for this question.</t>
  </si>
  <si>
    <t>WLFI is described as a governance-only token with no economic rights or automatic claim on protocol fees, revenue, or distributions. Governance lets holders propose/vote on upgrades and fund allocation, but key economic levers (revenue sharing, buybacks, token distribution changes) remain at the discretion of WLF and initial supporters, who control protocol ownership and 75% of net revenues. This makes tokenholder influence over core economics limited and indirect rather than determinative.</t>
  </si>
  <si>
    <t>Is there any claim on issuer/treasury assets or redemption at par or promise-like value? (Yes / Conditional / No / Unknown)</t>
  </si>
  <si>
    <t>FSMA perimeter risk — **redemption/claim on issuer assets** may indicate e‑money or security.</t>
  </si>
  <si>
    <t>I could not locate a whitepaper, technical docs, or credible third‑party analysis specifying whether WLFI tokens have any contractual claim on issuer or treasury assets, redemption at par, or a promise-like value. Without clear documentation of tokenholder rights or redemption mechanics, the presence or absence of such claims cannot be determined with sufficient confidence.</t>
  </si>
  <si>
    <t>Do the issuer’s terms impose jurisdictional or customer-type restrictions on who may hold or transact the token (e.g., specific countries or retail segments excluded)? (None / Some / Extensive / Unknown).</t>
  </si>
  <si>
    <t>Some</t>
  </si>
  <si>
    <t>https://worldlibertyfinancial.com/wlfi/terms</t>
  </si>
  <si>
    <t>The official WLFI Token Use and Acquisition Terms state that holders must pass screening to ensure no specially designated nationals or other persons sanctioned by FinCEN can use, acquire, or hold WLFI. The company also “prohibits any and all use, sales or transfers” of tokens to users domiciled or located in specified restricted countries (e.g., Afghanistan, Cuba, Iran, North Korea, Syria, etc.), and may cancel such sales. This constitutes targeted but not universal restrictions.</t>
  </si>
  <si>
    <t>B1.6</t>
  </si>
  <si>
    <t>Do materials present the token primarily as an **investment opportunity** rather than functional utility? (Yes / Implied / No / Unknown)</t>
  </si>
  <si>
    <t>https://www.valuethemarkets.com/cryptocurrency/news/world-liberty-financial-launches-wlfi-token-with-30-billion-valuation; https://www.valuethemarkets.com/cryptocurrency/news/world-liberty-financial-increases-wlfi-token-holdings-with-10-million-buyback; https://www.reuters.com/business/finance/uae-fund-buys-100-million-trumps-world-liberty-tokens-2025-06-27/</t>
  </si>
  <si>
    <t>2025-09-04; 2025-11-26; 2025-06-27</t>
  </si>
  <si>
    <t>Public materials emphasize WLFI’s valuation, trading performance, large capital raises, and investor activity, framing it primarily as an investment. Coverage highlights a $30B launch valuation, major exchange listings, rapid price moves, and market cap rankings, as well as a $10M token buyback and a $100M purchase by a UAE fund. Governance/utility is mentioned but is secondary to investment-oriented messaging.</t>
  </si>
  <si>
    <t>B1.7</t>
  </si>
  <si>
    <t>Were token sales/distributions conducted with investor protections (KYC, vesting, disclosures)? (Strong / Partial / Weak / Unknown)</t>
  </si>
  <si>
    <t>Strong</t>
  </si>
  <si>
    <t>https://www.businesswire.com/news/home/20250317855322/en/Trump-Inspired-World-Liberty-Financial-Closes-%24550-Million-Across-Token-Sales; https://www.reuters.com/business/finance/trump-crypto-backer-justin-sun-says-his-world-liberty-tokens-frozen-2025-09-05/; https://www.barrons.com/articles/trump-wlfi-crypto-trading-today-a430bc92</t>
  </si>
  <si>
    <t>2025-03-17; 2025-09-05; 2025-09-01</t>
  </si>
  <si>
    <t>BusinessWire reports WLFI conducted concurrent U.S. and non‑U.S. token offerings in which over 85,000 participants were subject to KYC, indicating robust investor onboarding controls. citeturn1view0 Reuters and Barron’s note that early non‑founder investors are restricted to selling only 20% of holdings initially, implying structured lockups/vesting to limit immediate dumping. citeturn0news13turn0news20 Together, these point to comparatively strong investor protections versus typical token launches, though full disclosure terms are not public, so confidence is medium.</t>
  </si>
  <si>
    <t>B1-N</t>
  </si>
  <si>
    <t>≤120-word narrative on legal characterisation &amp; rights (with evidence).</t>
  </si>
  <si>
    <t>WLFI is described as a governance and utility token of World Liberty Financial, not an equity share or debt instrument. Public materials state that WLFI holders can propose, review and vote on changes to the protocol, treasury use and product roadmap, i.e., on‑chain and off‑chain governance, but do not grant ownership of the issuer, profit‑sharing, or redemption rights. The issuer has conducted large, structured token sales to U.S. and non‑U.S. investors, treating WLFI as a regulated digital asset offering, but detailed contractual rights (e.g., disclosures, lock‑ups) depend on individual sale documents. WLFI’s rights therefore appear limited primarily to governance and ecosystem participation, with high regulatory re‑characterisation risk in the U.S.</t>
  </si>
  <si>
    <t>https://worldlibertyfinancial.com; https://www.reuters.com/business/finance/uae-fund-buys-100-million-trumps-world-liberty-tokens-2025-06-27/; https://www.businesswire.com/news/home/20250317855322/en/</t>
  </si>
  <si>
    <t>2025-12-17; 2025-06-27; 2025-03-17</t>
  </si>
  <si>
    <t>Sources consistently describe WLFI as a governance token used to vote on protocol decisions, with no stated equity, profit or redemption rights. Significant, structured offerings to U.S. investors suggest it is treated as a regulated digital asset, but underlying contracts are not public, so precise legal terms and any additional rights or restrictions cannot be fully verified.</t>
  </si>
  <si>
    <t>C. Governance, Control &amp; Decision-Making</t>
  </si>
  <si>
    <t>C1.1</t>
  </si>
  <si>
    <t>Who can change core protocol parameters or upgrade contracts? (DAO w/ quorum &amp; timelock / Multisig (≥M-of-N) w/ timelock / Multisig without timelock / Single key / Unknown)</t>
  </si>
  <si>
    <t>https://etherscan.io/address/0xda5e1988097297dcdc1f90d4dfe7909e847cbef6#code; https://worldlibertyfinancial.com/wlfi/risk-disclosures; https://worldlibertyfinancial.com/governance</t>
  </si>
  <si>
    <t>SYSC 4.1.1R — Unilateral control over protocol upgrades poses material governance risk.</t>
  </si>
  <si>
    <t>The WLFI token contract on Ethereum is deployed as a TransparentUpgradeableProxy, which implies upgrades are controlled by a ProxyAdmin contract, but Etherscan does not clearly show who controls that admin (single key vs multisig, or any timelock). Public WLFI governance materials describe tokenholder voting and a 5% quorum for governance proposals, but do not specify how those votes translate into on-chain admin rights for upgrading or changing core protocol parameters. As a result, the effective upgrade authority cannot be reliably determined from available sources.</t>
  </si>
  <si>
    <t>C1.2</t>
  </si>
  <si>
    <t>Are upgrade/admin privileges protected by timelocks giving users time to react? (Yes / Partial / No / Unknown)</t>
  </si>
  <si>
    <t>https://etherscan.io/token/0xda5e1988097297dcdc1f90d4dfe7909e847cbef6; https://governance.worldlibertyfinancial.com/t/token-unlock-agreement-unlock-agreement-will-definitely-be-in-circulation-below-5-billion-as-there-are-some-wlfi-bought-by-bots-wallet-changes-that-will-not-be-eligible-for-unlocking/40302</t>
  </si>
  <si>
    <t>2025-08-26</t>
  </si>
  <si>
    <t>The WLFI ERC-20 uses an OpenZeppelin TransparentUpgradeableProxy, implying an upgradeable implementation controlled by a ProxyAdmin contract, but Etherscan metadata and the published source do not show any built‑in timelock mechanism. Public governance/unlock documentation focuses on token unlock voting and does not describe a timelock on admin or upgrade actions. Without clear evidence that the ProxyAdmin is itself a timelock contract, the presence of user‑protective timelocks cannot be confirmed.</t>
  </si>
  <si>
    <t>C1.3</t>
  </si>
  <si>
    <t>Is treasury control distributed (e.g., ≥M-of-N multisig with independent signers)? (Strong / Partial / Weak / Unknown)</t>
  </si>
  <si>
    <t>I could not locate credible, detailed information on how World Liberty Financial’s protocol or token treasury is controlled (e.g., whether there is an M‑of‑N multisig with independent signers, a DAO-controlled treasury, or a single EOA). Without clear documentation or confirmed multisig addresses with signer distributions, the degree of distribution of treasury control cannot be reliably assessed, so the answer is marked Unknown.</t>
  </si>
  <si>
    <t>C1.4</t>
  </si>
  <si>
    <t>Are governance processes transparent (on-chain proposals, published minutes, voter addresses, audits)? (Good / Partial / Poor / Unknown)</t>
  </si>
  <si>
    <t>https://worldlibertyfinancial.com/governance; https://www.votes-worldlibertyfinancial.com/; https://governance.worldlibertyfinancial.com/t/urgent-request-for-transparency-on-official-wlfi-token-addresses-and-governance/33759</t>
  </si>
  <si>
    <t>2025-12-17; 2025-09-26; 2025-07-13</t>
  </si>
  <si>
    <t>WLFI has a public governance page, forum, and voting portal with proposal texts, timelines, vote totals, and quorum percentages, which provides some transparency. However, voting is largely off-chain (e.g., Snapshot-style), voter addresses are not easily auditable on-chain from the governance UI, and community members have publicly raised concerns about unclear token addresses and governance access. There is no clear evidence of formal audits of the governance process itself.</t>
  </si>
  <si>
    <t>C1.5</t>
  </si>
  <si>
    <t>Does a single organisation or person have unilateral ability to pause/disable the protocol? (No / Limited / Yes / Unknown)</t>
  </si>
  <si>
    <t>https://etherscan.io/token/0xdA5e1988097297dCdc1f90D4dFE7909e847CBeF6; https://worldlibertyfinancial.com/</t>
  </si>
  <si>
    <t>PRIN 12 — Foreseeable harm: unilateral pause/disable control requires board visibility.</t>
  </si>
  <si>
    <t>The WLFI ERC‑20 contract on Ethereum is deployed as an OpenZeppelin TransparentUpgradeableProxy, meaning a designated ProxyAdmin can upgrade the implementation contract. This upgrade power would allow the admin (likely a core team or affiliated multisig, not on-chain token governance) to deploy new logic that pauses transfers or otherwise disables key protocol functionality, giving a single organizational actor effective unilateral control over operability.</t>
  </si>
  <si>
    <t>C1.6</t>
  </si>
  <si>
    <t>Is there evidence of active, non-captive participation (≥X distinct voters, ≥Y% turnout) in recent governance? (Strong / Mixed / Weak / Unknown)</t>
  </si>
  <si>
    <t>https://www.reuters.com/business/trumps-world-liberty-crypto-tokens-become-tradable-2025-07-16/; https://www.votes-worldlibertyfinancial.com/</t>
  </si>
  <si>
    <t>2025-07-16; 2025-09-30</t>
  </si>
  <si>
    <t>There is strong evidence of active, non‑captive participation. A July 2025 governance vote to enable WLFI tradability had about 20,900 token holders voting and passed with 99.94% support, indicating very high absolute and relative engagement. A later Snapshot proposal on WLFI tradability shows 63.7% quorum, again demonstrating high turnout and thousands of distinct voters, well above typical DeFi governance participation levels.</t>
  </si>
  <si>
    <t>C1.7</t>
  </si>
  <si>
    <t>Are conflicts of interest disclosed for key decision-makers (founders, multisig signers, major delegates)? (Yes / Partial / No / Unknown)</t>
  </si>
  <si>
    <t>https://worldlibertyfinancial.com/wlfi/risk-disclosures; https://en.wikipedia.org/wiki/World_Liberty_Financial; https://www.sandmark.com/news/top-news/trump-family-scales-back-ownership-world-liberty-financial</t>
  </si>
  <si>
    <t>2025-09-01; 2025-09-15</t>
  </si>
  <si>
    <t>World Liberty’s official materials and related legal disclosures describe concentrated ownership and revenue entitlements for Trump‑affiliated entities (e.g., DT Marks’ large equity stake and the family’s right to the majority of WLFI/token-sale proceeds), which implicitly flag key economic conflicts, and risk disclosures note that large holders can exert outsized governance influence. However, there is no clear, centralized “conflicts of interest” policy that systematically lists and explains conflicts for named founders, board/manager roles or any multisig signers. Hence disclosure appears partial rather than comprehensive.</t>
  </si>
  <si>
    <t>C1-N</t>
  </si>
  <si>
    <t>≤120‑word narrative on managerial reliance and governance risk (with citations).</t>
  </si>
  <si>
    <t>WLFI’s governance and strategic control appear highly centralized. World Liberty Financial, Inc. is the named developer, with the project founded and controlled by Trump family members and close associates, who reportedly receive 75% of net token‑sale proceeds and significant profit shares from USD1, concentrating economic and decision influence in a small group. citeturn0search12 While marketing emphasizes token‑holder governance and community proposals, there is limited independent evidence that control over protocol parameters, treasury, or key contracts has meaningfully shifted away from the founding insiders. citeturn0search2turn0search6 This reliance on a politically exposed, tightly held management group elevates key‑person, conflict‑of‑interest, and regulatory scrutiny risks, especially for U.S. participants.</t>
  </si>
  <si>
    <t>https://en.wikipedia.org/wiki/World_Liberty_Financial; https://www.worldlibertyclaims.com/; https://worldlibertyfinancial.com/</t>
  </si>
  <si>
    <t>2025-11-24</t>
  </si>
  <si>
    <t>Answer synthesizes public descriptions of WLFI’s founding structure, economic rights, and marketing of token-based governance. Some details (e.g., exact control mechanics, on‑chain governance powers) are not fully transparent in primary technical docs, so I infer centralization and associated risks from reported ownership economics and general platform framing, resulting in a Medium confidence rating.</t>
  </si>
  <si>
    <t>D. Disclosures &amp; Transparency</t>
  </si>
  <si>
    <t>https://worldlibertyfinancial.com/; https://en.wikipedia.org/wiki/World_Liberty_Financial</t>
  </si>
  <si>
    <t>The official World Liberty Financial site includes a clearly labeled “MiCA Whitepaper” link under the WLFI section, indicating current whitepaper/technical documentation is available directly from the project. This satisfies the requirement for a current whitepaper from an official source.</t>
  </si>
  <si>
    <t>https://www.okx.com/learn/world-liberty-financial-white-paper; https://www.worldlibertyclaims.com/</t>
  </si>
  <si>
    <t>2025-12-18</t>
  </si>
  <si>
    <t>The whitepaper explicitly defines WLFI as a utility token on Ethereum, BNB Chain and Solana whose sole utility is to grant governance rights within the World Liberty Financial protocol. This clearly states both the purpose (governance) and function (voting in protocol governance), so the requirement is met.</t>
  </si>
  <si>
    <t>https://www.okx.com/learn/world-liberty-financial-white-paper; https://worldlibertyfinancial.com/wlfi/risk-disclosures; https://worldlibertyfinancial.com/governance</t>
  </si>
  <si>
    <t>The OKX-hosted WLFI whitepaper explains that WLFI’s sole utility is governance, that proposals and changes (e.g., staking, buyback-and-burn) are decided via the governance forum and Snapshot voting, and that the issuer-controlled treasury is outside token-holder governance. However, detailed mechanics—such as proposal process, voting thresholds, and enforcement limits—are only partly covered or left to separate governance materials and risk disclosures, not fully systematized in the whitepaper itself. Hence the governance model is only partially described.</t>
  </si>
  <si>
    <t>https://www.okx.com/learn/world-liberty-financial-white-paper; https://www.okx.com/en-us/learn/token-trading-wlfi-key-insights</t>
  </si>
  <si>
    <t>2025-12-18; 2025-11-15</t>
  </si>
  <si>
    <t>The WLFI whitepaper (as hosted by OKX) discloses a fixed total supply of 100 billion tokens and provides a detailed allocation breakdown by category, but explicitly notes that no public lock-up or vesting schedules have been announced for most allocations, aside from partial information on the public sale. This means allocations and total supply are covered, but the full supply schedule and issuance/vesting timelines are not, so disclosure is only partial.</t>
  </si>
  <si>
    <t>https://worldlibertyfinancial.com/wlfi/risk-disclosures; https://worldlibertyfinancial.com/wlfi/terms; https://high-level.software/world-liberty-financial-analysis-of-terms-and-conditions/</t>
  </si>
  <si>
    <t>2025-09-24; 2025-01-15</t>
  </si>
  <si>
    <t>World Liberty Financial provides a dedicated “WLFI Risk Disclosures” document detailing token-specific, governance, market, technical, and legal/regulatory risks (e.g., no economic rights, governance limitations, uninsured losses, cryptography and software vulnerabilities). The Use and Acquisition Terms explicitly require purchasers to acknowledge and assume these risks, linking to the Risk Disclosures. This constitutes a relatively comprehensive formal risk disclosure regime.</t>
  </si>
  <si>
    <t>https://en.wikipedia.org/wiki/World_Liberty_Financial; https://www.politico.com/news/2025/03/25/trump-family-crypto-venture-to-launch-a-stablecoin-00247455; https://apnews.com/article/f11c47a99ea618aa06df4dd47b150800</t>
  </si>
  <si>
    <t>2025-09-15; 2025-03-25; 2025-03-25</t>
  </si>
  <si>
    <t>World Liberty Financial publicly discloses identifiable founders and key managers, including Donald Trump (co‑founder emeritus/chief crypto advocate), his sons Eric and Donald Trump Jr., and co‑founders Zachary and Alex Witkoff, with roles described in multiple major media and reference sources. These named individuals are well‑known public figures whose identities are independently verifiable, indicating a high level of team transparency.</t>
  </si>
  <si>
    <t>https://static.worldlibertyfinancial.com/docs/mica-whitepaper.pdf; https://worldlibertyfinancial.com/</t>
  </si>
  <si>
    <t>The MiCA whitepaper is structured and claims information is “fair, clear and not misleading,” but it does not include a dedicated forward‑looking statements disclaimer or a clear framework separating projections from present facts. Marketing pages describe planned features (e.g., WLFI App and Lend &amp; Borrow marked only as “Coming Soon”) alongside factual claims about current products, without consistently labeling them as forward-looking. As a result, the overall separation between forward-looking statements and factual claims is not clearly established.</t>
  </si>
  <si>
    <t>Provide a ≤120-word summary evaluating whether the whitepaper and key project materials appear fair, clear and not misleading for a typical retail user, based on the evidence above. (Narrative only).</t>
  </si>
  <si>
    <t>Available project materials show mixed fairness and clarity for a typical retail user. The MiCA-style whitepaper squarely describes WLFI as a governance-only utility token, outlines issuer details, token supply, allocations, and lack of a formal roadmap, which supports baseline transparency. However, it downplays how concentrated economic benefits are, given that affiliated entities retain most protocol revenues and significant token allocations, and it gives limited, non‑plain‑language treatment of conflicts of interest and governance limitations. Media reporting highlights centralized control and modest real influence for token holders compared with the project’s marketing narrative. Overall, disclosures are technically compliant but not consistently framed in a clear, balanced way for unsophisticated retail participants.</t>
  </si>
  <si>
    <t>https://www.okx.com/learn/world-liberty-financial-white-paper; https://www.reuters.com/business/finance/how-trump-family-took-over-world-liberty-financial-it-raised-hundreds-millions-2025-03-31/; https://nypost.com/business/how-to-buy-wlfi-token/</t>
  </si>
  <si>
    <t>2025-12-18; 2025-03-31; 2025-09-01</t>
  </si>
  <si>
    <t>OKX’s MiCA-style whitepaper provides structured, factual disclosures on issuer, token utility, allocations and missing roadmap, supporting clarity, but does not plainly emphasize how revenues and control are concentrated with insiders. Reuters and other outlets describe governance tokens as non-tradable/limited-influence and highlight that most economics accrue to Trump-affiliated entities, indicating a gap between marketing narratives and economic reality for retail users. This supports a mixed assessment.</t>
  </si>
  <si>
    <t>E. Global Regulatory Posture &amp; Enforcement Risk</t>
  </si>
  <si>
    <t>Has this token or its issuer been explicitly mentioned by any financial regulator, markets/securities authority, or comparable public body in official publications (e.g., reports, consultations, speeches)? (No explicit mention / Neutral or technical mention only / Mentioned with significant concerns or warnings / Unknown).</t>
  </si>
  <si>
    <t>No explicit mention</t>
  </si>
  <si>
    <t>https://www.reuters.com/world/us/us-democrats-raise-regulatory-concerns-over-trump-family-crypto-venture-wsj-2025-03-28/; https://formds.com/issuers/world-liberty-financial-inc; https://en.wikipedia.org/wiki/World_Liberty_Financial</t>
  </si>
  <si>
    <t>2025-03-28; 2025-12-18</t>
  </si>
  <si>
    <t>Searches of SEC, Fed, OCC and other regulatory references show no speeches, enforcement actions, consultations, or warnings that explicitly name World Liberty Financial, WLFI, or USD1. Coverage of the project focuses on political and ethics concerns and on lawmakers’ letters to regulators; Reuters notes that the Fed and OCC declined to comment on those letters, and no follow‑up regulatory publications naming the token or issuer are evident. Routine SEC Form D filings exist but contain no substantive regulatory commentary.</t>
  </si>
  <si>
    <t>Are there credible external legal or policy analyses (e.g., law firms, policy institutes, academics) discussing the likely regulatory treatment of this token across major frameworks? (Multiple consistent analyses / Mixed or conflicting analyses / Only issuer-aligned or promotional analyses / None identified / Unknown).</t>
  </si>
  <si>
    <t>Multiple consistent analyses</t>
  </si>
  <si>
    <t>https://www.ainvest.com/news/evaluating-long-term-viability-world-liberty-financial-wlfi-governance-risks-market-volatility-2509/; https://www.theguardian.com/us-news/2025/may/25/trump-crypto-corruption-ethics; https://www.reuters.com/business/finance/how-trump-family-took-over-world-liberty-financial-it-raised-hundreds-millions-2025-03-31/</t>
  </si>
  <si>
    <t>2025-09-10; 2025-05-25; 2025-03-31</t>
  </si>
  <si>
    <t>There are several external legal/policy-style analyses discussing WLFI’s likely regulatory treatment. An Oxford Blockchain Law Blog report (cited in secondary coverage) argues WLFI’s governance/tokenomics resemble securities under U.S. law, implying stricter oversight. Other policy/ethics reporting examines conflicts of interest, sanctions and securities-enforcement risks around WLFI and related structures. These sources are broadly aligned in viewing WLFI as high-risk from a regulatory perspective, not offering clearly conflicting treatments.</t>
  </si>
  <si>
    <t>Does the token’s positioning rely heavily on aggressive or novel legal arguments (for example being described as pure “utility” or “governance” token despite strong investment-like features)? (Clearly conservative positioning / Moderately aggressive or novel / Highly aggressive or strained / Unknown).</t>
  </si>
  <si>
    <t>Clearly conservative positioning</t>
  </si>
  <si>
    <t>https://www.coindesk.com/markets/2025/03/14/trump-backed-world-liberty-financial-wlfi-completes-token-sale; https://www.wlfilaunch.com/; https://www.businesswire.com/news/home/20250317855322/en/Trump-Inspired-World-Liberty-Financial-Closes-%24550-Million-Across-Token-Sales</t>
  </si>
  <si>
    <t>2025-03-14; 2025-03-17</t>
  </si>
  <si>
    <t>Public materials emphasize WLFI as a governance token for a DeFi platform, but the legal structuring of the token sales appears conservative rather than relying on strained “utility” arguments. The U.S. offering was limited to accredited investors with transfer and listing restrictions, consistent with treating the token as a regulated investment. Marketing FAQs also openly highlight price appreciation and investment-like benefits instead of denying security-like features. Hence, positioning does not hinge on novel legal theories.</t>
  </si>
  <si>
    <t>Is the issuer’s own characterisation of the token (e.g., “utility token”, “governance token”) consistent with the actual economic rights and features described in official materials? (Clearly consistent / Mixed or incomplete / Clearly inconsistent / Unknown).</t>
  </si>
  <si>
    <t>Clearly consistent</t>
  </si>
  <si>
    <t>https://worldlibertyfinancial.com/governance; https://worldlibertyfinancial.com; https://www.reuters.com/business/finance/how-trump-family-took-over-world-liberty-financial-it-raised-hundreds-millions-2025-03-31/</t>
  </si>
  <si>
    <t>2025-12-18; 2025-12-21; 2025-03-31</t>
  </si>
  <si>
    <t>Issuer materials describe WLFI primarily as a governance token conferring proposal and voting rights over the World Liberty platform, with holders “steering the future of the platform” rather than receiving dividends or revenue share. Official pages emphasize governance participation and only recently highlight transferability/trading without promising yield or asset backing. While community proposals discuss future staking and buyback, these are framed as prospective and not yet core rights. Overall, the governance-token characterization matches the economic features described.</t>
  </si>
  <si>
    <t>≤120-word narrative on global regulatory attention, external legal analyses and how the issuer describes the token’s legal character, with citations.</t>
  </si>
  <si>
    <t>Could not parse structured output. Preview: {"id": "resp_0a658ece34a0636800694821279c108190adad2e662b869144", "object": "response", "created_at": 1766334760, "status": "incomplete", "background": false, "billing": {"payer": "developer"}, "completed_at": null, "error": null, "incomple</t>
  </si>
  <si>
    <t>Have there been any formal enforcement actions, cease-and-desist orders, or equivalent measures by public authorities directly targeting this token or its issuer in relation to the token? (None identified / Minor or technical action only / Serious enforcement action / Unknown).</t>
  </si>
  <si>
    <t>None identified</t>
  </si>
  <si>
    <t>https://www.banking.senate.gov/newsroom/minority/warren-waters-probe-sec-on-trump-familys-crypto-company-and-possible-conflicts-of-interest; https://en.wikipedia.org/wiki/World_Liberty_Financial; https://www.reuters.com/business/finance/trump-backed-crypto-firm-is-planning-stablecoin-audit-new-app-2025-06-25/</t>
  </si>
  <si>
    <t>2025-07-18; 2025-12-18; 2025-06-25</t>
  </si>
  <si>
    <t>Searches of major regulatory, legal, and news sources show intense political and media scrutiny of World Liberty Financial and WLFI, including a congressional letter asking the SEC to preserve records and explain its interactions with the firm, but no record of a formal enforcement action, cease‑and‑desist order, or equivalent measure directly targeting WLFI or its issuer as of December 21, 2025. Given the fast‑evolving U.S. regulatory backdrop, this assessment carries medium (not high) confidence.</t>
  </si>
  <si>
    <t>Has the token or issuer appeared in any official warning lists, investor alerts, trading bans, or equivalent restrictive lists published by public authorities or major international bodies? (No / Yes – generic or category-level alert / Yes – specific to this token or issuer / Unknown).</t>
  </si>
  <si>
    <t>https://www.banking.senate.gov/newsroom/minority/warren-waters-probe-sec-on-trump-familys-crypto-company-and-possible-conflicts-of-interest; https://www.sec.gov/Archives/edgar/data/2043140/000204314024000002/xslFormDX01/primary_doc.xml; https://whbl.com/2025/10/22/uk-regulator-sues-crypto-exchange-htx-over-unlawful-promotions/</t>
  </si>
  <si>
    <t>2025-11-18; 2024-03-15; 2025-10-22</t>
  </si>
  <si>
    <t>Searches across major regulators and public sources (e.g., SEC, FCA, global news) show scrutiny and political concern around World Liberty Financial and its investors, but no indication that WLFI or its issuer have been placed on an official warning list, investor alert, or trading ban by a public authority or major international body as of Dec 21, 2025. Related enforcement attention targets third parties (e.g., HTX/Justin Sun) rather than WLFI itself.</t>
  </si>
  <si>
    <t>Is there credible evidence of material private litigation, arbitration, or class-action claims specifically targeting this token or its issuer in relation to the token? (None identified / Some minor or settled cases / Significant ongoing or unresolved cases / Unknown).</t>
  </si>
  <si>
    <t>https://en.wikipedia.org/wiki/World_Liberty_Financial; https://www.ft.com/content/68fe0d3f-1430-48a9-ad47-05cc707d73e9; https://worldlibertyfinancial.com/wlfi/terms</t>
  </si>
  <si>
    <t>2025-09-15; 2025-08-01; 2025-08-25</t>
  </si>
  <si>
    <t>Public sources discuss regulatory and ethical scrutiny of World Liberty Financial and WLFI, but I could not locate any credible reports of filed private lawsuits, arbitrations, or class actions specifically brought by investors or users over the WLFI token itself. One FT report notes that treasury proceeds may be used for “settling litigation,” but gives no detail tying that to token-holder claims. Given the arbitration and class-action waiver terms, any small disputes may also be confidential.</t>
  </si>
  <si>
    <t>≤120-word narrative on enforcement actions, official warnings or bans, and major private litigation relating to this token or issuer.</t>
  </si>
  <si>
    <t>As of 21 December 2025, there are no public records of SEC, CFTC, state, or foreign regulators having brought enforcement actions, imposed bans, or issued formal public warnings specifically targeting the WLFI token or World Liberty Financial.
Regulatory concern is significant, however. A detailed Reuters investigation highlighted WLFI’s fundraising structure, Trump-family control, and association with investor Justin Sun, raising securities and governance questions. Separately, Senator Warren and Representative Waters sent a formal letter asking the SEC to preserve all records and communications regarding World Liberty Financial and potential conflicts of interest, especially in light of the SEC’s paused case against Sun. No major investor class actions over WLFI itself have been reported to date.</t>
  </si>
  <si>
    <t>https://www.banking.senate.gov/newsroom/minority/warren-waters-probe-sec-on-trump-familys-crypto-company-and-possible-conflicts-of-interest; https://www.reuters.com/business/finance/how-trump-family-took-over-world-liberty-financial-it-raised-hundreds-millions-2025-03-31/; https://worldlibertyfinancial.com/wlfi/terms</t>
  </si>
  <si>
    <t>2025-09-23; 2025-03-31; 2025-08-25</t>
  </si>
  <si>
    <t>Web searches show extensive ethics and conflict-of-interest scrutiny but no announced enforcement, bans, or major WLFI-focused private litigation as of the stated date. Congressional oversight letters and investigative reporting confirm regulatory concern and SEC record-preservation requests, but not formal actions. Information could change quickly, so confidence is medium, not high.</t>
  </si>
  <si>
    <t>Based on current legal features, market profile and global regulatory trends, what is the likelihood that this token faces significant adverse regulatory action in one or more major markets over the next 3–5 years? (Low / Moderate / High / Unknown).</t>
  </si>
  <si>
    <t>https://en.wikipedia.org/wiki/World_Liberty_Financial; https://www.reuters.com/business/finance/uae-fund-buys-100-million-trumps-world-liberty-tokens-2025-06-27/; https://www.politico.com/news/2025/03/25/trump-family-crypto-venture-to-launch-a-stablecoin-00247455</t>
  </si>
  <si>
    <t>2025-09-15; 2025-06-27; 2025-03-25</t>
  </si>
  <si>
    <t>Escalate if high likelyhood of adverse regulatory action.</t>
  </si>
  <si>
    <t>WLFI is a large, high-profile Trump-family venture with a governance token and a planned USD1 dollar‑backed stablecoin, marketed to both U.S. and non‑U.S. investors and used in sizeable cross‑border deals (e.g., Abu Dhabi–Binance transaction).citeturn1search12turn1news13 The scale, political conflicts of interest, and stablecoin activity tied to U.S. treasuries make it a prime target for U.S. securities, commodities, payments, and ethics regulators, as well as scrutiny in other major markets, implying high 3–5 year adverse regulatory risk.</t>
  </si>
  <si>
    <t>≤120-word narrative summarising overall global regulatory risk outlook and key drivers for this token or issuer.</t>
  </si>
  <si>
    <t>WLFI faces an elevated global regulatory risk profile. The issuer is U.S.-based, politically exposed, and tied to a USD‑backed stablecoin (USD1), drawing intense scrutiny from U.S. and foreign regulators over securities, commodities, and payments-law treatment, plus conflicts of interest. citeturn0news16turn0news12 The token’s rapid multi‑hundred‑million‑dollar fundraising and large insider holdings heighten suitability, disclosure, and market‑manipulation concerns. citeturn0search0turn0search7 WLFI’s global expansion ambitions and centralized governance/control increase exposure to cross‑border licensing, AML/KYC, and sanctions compliance risk across multiple jurisdictions.</t>
  </si>
  <si>
    <t>https://www.businesswire.com/news/home/20250317855322/en/Trump-Inspired-World-Liberty-Financial-Closes-%24550-Million-Across-Token-Sales; https://bravenewcoin.com/insights/trump-backed-wlfi-token-launches-with-7-billion-market-cap; https://www.politico.com/news/2025/03/25/trump-family-crypto-venture-to-launch-a-stablecoin-00247455</t>
  </si>
  <si>
    <t>2025-03-17; 2025-09-02; 2025-03-25</t>
  </si>
  <si>
    <t>Multiple reputable sources confirm WLFI’s U.S. nexus, political exposure, very large fundraising, USD1 stablecoin and rapid global expansion, all of which predict heightened multi‑jurisdictional regulatory, AML, securities and conflicts‑of‑interest risk.</t>
  </si>
  <si>
    <t>A. Asset Anonymity &amp; Traceability</t>
  </si>
  <si>
    <t>What best describes the asset’s on-chain anonymity profile? Choose: Transparent, Optional privacy, Native privacy coin, Unknown.</t>
  </si>
  <si>
    <t>Transparent</t>
  </si>
  <si>
    <t>https://www.coindesk.com/price/wlfi/platforms; https://cointelegraph.com/news/trump-backed-wlfi-token-launch-exchanges-supply-scams</t>
  </si>
  <si>
    <t>2025-10-01; 2025-09-01</t>
  </si>
  <si>
    <t>Escalate if the asset functions as a native privacy coin (default-anonymous design).</t>
  </si>
  <si>
    <t xml:space="preserve">WLFI is implemented as a standard fungible token on transparent public blockchains (ERC‑20 on Ethereum, BEP‑20 on BNB Smart Chain, SPL on Solana). These base networks use publicly viewable ledgers without built‑in privacy or obfuscation features, so WLFI transactions are natively transparent absent any external privacy tools.
</t>
  </si>
  <si>
    <t>Does the core protocol implement built-in mixing or obfuscation features (e.g., shielded pools, stealth addresses, native mixers)? Choose: None, Limited, Structural, Unknown.</t>
  </si>
  <si>
    <t>None</t>
  </si>
  <si>
    <t>Escalate if mixing/obfuscation is a structural feature of the protocol (default or core design).</t>
  </si>
  <si>
    <t>Public information on WLFI and its contract 0xda5e1988… is sparse and does not indicate any privacy-preserving design (no references to shielded pools, zk-SNARKs, stealth addresses, or mixer-style functionality). In the absence of evidence of native obfuscation features and given it appears to be a standard token, I classify the protocol as having no built-in mixing. Confidence is low due to limited independent technical documentation.</t>
  </si>
  <si>
    <t>How well can major blockchain analytics providers trace typical transactions for this asset? Choose: Full coverage, Partial coverage, Low coverage, Unknown.</t>
  </si>
  <si>
    <t>Full coverage</t>
  </si>
  <si>
    <t>https://etherscan.io/token/0xda5e1988097297dcdc1f90d4dfe7909e847cbef6; https://coinmarketcap.com/currencies/world-liberty-financial-wlfi/</t>
  </si>
  <si>
    <t>WLFI is an ERC-20 token on Ethereum with a verified proxy contract on Etherscan and tens of thousands of holders and active transfers, indicating deep on-chain activity on a major L1 that all leading blockchain analytics providers support. It is also a multi‑billion‑dollar asset tracked by major data aggregators like CoinMarketCap. Given Ethereum’s mature analytics coverage and WLFI’s profile and liquidity, typical transactions are highly likely to be fully traceable by major vendors.</t>
  </si>
  <si>
    <t>≤120-word narrative summary for A.1 (asset anonymity &amp; traceability design).</t>
  </si>
  <si>
    <t>WLFI is an ERC-20 governance/token asset issued via a verified TransparentUpgradeableProxy on Ethereum, with standard 18‑decimal fungible transfers and no native privacy or obfuscation features. All WLFI movements on Ethereum (and bridged instances on other supported chains) are publicly recorded at the address level, enabling full transaction-path analysis using normal block‑explorer and analytics tooling. The protocol instead focuses on DeFi functionality (governance, staking, and USD1 stablecoin integrations), not anonymity. While users could route WLFI through external privacy tools or cross‑chain bridges, this is not inherent to the token’s design. Overall, WLFI is a transparently traceable, non‑privacy‑enhancing asset by default.</t>
  </si>
  <si>
    <t>https://etherscan.io/token/0xda5e1988097297dcdc1f90d4dfe7909e847cbef6; https://coinmarketcap.com/currencies/world-liberty-financial-wlfi/; https://coinmarketcap.com/cmc-ai/world-liberty-financial-wlfi/what-is/</t>
  </si>
  <si>
    <t>On-chain data show WLFI as a standard ERC-20 implemented via a verified TransparentUpgradeableProxy contract on Ethereum with no mixer, shielded-pool, or stealth-address logic. Project documentation and market listings describe WLFI as a governance/utility token for the USD1 DeFi ecosystem, not as a privacy coin. This supports classification as a traceable, non-privacy-enhancing asset by design.</t>
  </si>
  <si>
    <t>Where does most economic activity in the token occur? Choose: On-chain dominant, Mixed, Off-chain/opaque dominant, Unknown.</t>
  </si>
  <si>
    <t>No board trigger; used to calibrate opacity of economic footprint.</t>
  </si>
  <si>
    <t>There is very limited independent information on WLFI beyond its own marketing site, and no robust third‑party data on trading venues, volumes, or protocol usage. I cannot reliably determine whether activity is primarily on-chain, within a specific DeFi protocol, or in opaque/off-chain environments. Due to this lack of verifiable evidence, the location of most economic activity must be treated as Unknown.</t>
  </si>
  <si>
    <t>How frequently is the asset wrapped or bridged into privacy-focused layers or sidechains? Choose: Rare, Occasional, Frequent/structural, Unknown.</t>
  </si>
  <si>
    <t>No direct board trigger; incorporated into anonymity score.</t>
  </si>
  <si>
    <t>I could not find reliable evidence that WLFI is notably bridged to or wrapped on privacy-focused chains (e.g., Aztec, Secret, Horizen, privacy rollups) or that it is structurally integrated into privacy-preserving bridges. Given the very limited third‑party coverage and absence of clear bridge/bridge-analytics data, the frequency of privacy-layer usage cannot be confidently determined, so I classify it as Unknown rather than assuming Rare without data.</t>
  </si>
  <si>
    <t>Is the asset materially present in anonymising mixer or privacy-pool transaction flows (per major on-chain analytics reports)? Choose: No material usage, Some usage, Heavy/structural usage, Unknown.</t>
  </si>
  <si>
    <t>Escalate if token appears as a heavy or structural component of mixer/privacy pool flows.</t>
  </si>
  <si>
    <t>I could not locate any credible on‑chain analytics reports, block‑explorer traces, or third‑party research specifically referencing WLFI (World Liberty Financial) in the context of anonymising mixers or privacy pools. Due to this lack of data rather than clear evidence of absence, the level of mixer or privacy‑pool exposure must be treated as Unknown rather than confidently assessed.</t>
  </si>
  <si>
    <t>≤120-word narrative summary for A.2 (transaction footprint &amp; opacity).</t>
  </si>
  <si>
    <t>WLFI has a large, visible on‑chain footprint: its Ethereum proxy contract is verified, with tens of thousands of holders, active daily transfers, and detailed market data (price, volume, circulating supply) available via major trackers, reducing basic transactional opacity. However, WLFI is part of a broader, fast‑growing DeFi and stablecoin ecosystem spanning multiple networks and venues, which complicates holistic tracing. The upgradeable proxy structure implies centralized control over implementation, and governance forums highlight ongoing phishing and fake‑WLFI scams, increasing noise and the risk of misattribution when analyzing flows. Overall, transparency is relatively high at the base token level but accompanied by ecosystem‑level complexity and impersonation risk.</t>
  </si>
  <si>
    <t>https://etherscan.io/token/0xda5e1988097297dcdc1f90d4dfe7909e847cbef6; https://coinmarketcap.com/currencies/world-liberty-financial-wlfi/; https://governance.worldlibertyfinancial.com/t/protect-yourself-from-wlfi-scams/30146</t>
  </si>
  <si>
    <t>2025-07-07</t>
  </si>
  <si>
    <t>Etherscan and CoinMarketCap show a verified ERC‑20 proxy contract, large holder base, and granular market data for WLFI. This indicates a sizeable, traceable transaction footprint. At the same time, official governance warnings about WLFI‑related scams and fake websites suggest a noisy environment, complicating clean attribution of some flows and raising impersonation risk in AML monitoring. Overall transparency is good, but ecosystem complexity and scam activity must be factored into risk assessments.</t>
  </si>
  <si>
    <t>B. Sanctions Exposure &amp; High-Risk Geography</t>
  </si>
  <si>
    <t>Have any smart contracts, official wallets, or entities directly associated with the token been named on OFAC, UN, EU, or UK sanctions lists? Choose: No, Indirect association only, Direct listing / designation, Unknown.</t>
  </si>
  <si>
    <t>2025-12-15; 2025-06-27</t>
  </si>
  <si>
    <t>Escalate if any token-linked entity, wallet, or contract is directly listed on OFAC, UN, EU, or UK sanctions lists.</t>
  </si>
  <si>
    <t>Public coverage of World Liberty Financial and WLFI, including major press and reference summaries, contains no indication that WLFI smart contracts, official project wallets, or World Liberty Financial entities have been designated by OFAC, UN, EU, or UK sanctions authorities as of December 21, 2025. Given the project’s high political profile, any such designation would be widely reported. Absence of such reporting suggests no direct listings, though this should be periodically rechecked against primary sanctions lists.</t>
  </si>
  <si>
    <t>Have regulators or enforcement agencies taken public action referencing this token or project in relation to sanctions breaches or evasion? Choose: None disclosed, Under investigation / warning, Fined / enforcement for sanctions issues, Unknown.</t>
  </si>
  <si>
    <t>None disclosed</t>
  </si>
  <si>
    <t>https://accountable.us/trump-crypto-venture-wlfl-sold-tokens-to-entities-tied-to-north-korea-iran-a-notorious-money-laundering-platform/; https://www.ainvest.com/news/world-liberty-financial-risks-opportunities-politically-linked-crypto-projects-2511/; https://www.reuters.com/world/us/us-democrats-raise-regulatory-concerns-over-trump-family-crypto-venture-wsj-2025-03-28/</t>
  </si>
  <si>
    <t>2025-09-15; 2025-10-01; 2025-03-28</t>
  </si>
  <si>
    <t>Escalate if the project has been fined or subject to formal enforcement for sanctions-related breaches.</t>
  </si>
  <si>
    <t>Open-source reporting shows congressional letters and advocacy reports alleging WLFI token sales to wallets linked to OFAC‑sanctioned actors, and calling for investigations, but there is no evidence that OFAC, DOJ, or other regulators have publicly announced a sanctions-focused investigation, warning, or enforcement action directly referencing World Liberty Financial or WLFI as of Dec 21, 2025.</t>
  </si>
  <si>
    <t>To what extent do on-chain analytics or public reports show this asset involved in sanctions-evasion typologies (e.g., DPRK, Russia-related evasion)? Choose: No material link, Some flagged flows, Heavy / structural involvement, Unknown.</t>
  </si>
  <si>
    <t>Some flagged flows</t>
  </si>
  <si>
    <t>https://accountable.us/trump-crypto-venture-wlfl-sold-tokens-to-entities-tied-to-north-korea-iran-a-notorious-money-laundering-platform/; https://ambcrypto.com/trumps-world-liberty-financial-tokens-traced-to-north-korea-iran-report/</t>
  </si>
  <si>
    <t>Escalate if the token appears as a heavy or structural component of sanctions-evasion flows in credible analytics reports.</t>
  </si>
  <si>
    <t>Public reporting alleges WLFI token sales to addresses linked to Iran-based exchange NoBitex, an Iran-aligned X account, and an address that also used A7A5, a Russian ruble-backed sanctions‑evasion token. Reports also claim WLFI was sold to dozens of users who have interacted with Tornado Cash, a mixer previously sanctioned for laundering DPRK‑linked funds. These indicate some sanctions‑related exposure, but not heavy or systemic involvement based on current public data.</t>
  </si>
  <si>
    <t>≤120-word narrative summary for B.1 (direct sanctions linkage and enforcement).</t>
  </si>
  <si>
    <t>No public evidence currently indicates that World Liberty Financial, the WLFI token, or its disclosed founders and major investors are directly named on OFAC, UN, EU, or UK sanctions lists, nor are there sanctions-enforcement actions specifically targeting WLFI activity. WLFI is a politically exposed, Trump-family-linked project that has raised large sums and attracted foreign capital (e.g., a UAE-based fund), which may heighten future sanctions-screening expectations but does not itself constitute a sanctions designation. Current disclosures and media coverage focus on governance, fundraising, and potential conflicts of interest rather than sanctions violations or facilitation of listed actors, so any sanctions concerns remain indirect and forward-looking at this time.</t>
  </si>
  <si>
    <t>https://en.wikipedia.org/wiki/World_Liberty_Financial; https://www.reuters.com/business/finance/uae-fund-buys-100-million-trumps-world-liberty-tokens-2025-06-27/; https://en.wikipedia.org/wiki/Specially_Designated_Nationals_and_Blocked_Persons_List</t>
  </si>
  <si>
    <t>2025-11-24; 2025-06-27; 2025-11-25</t>
  </si>
  <si>
    <t>Informational narrative only; no separate board trigger.</t>
  </si>
  <si>
    <t>Open-source checks show WLFI and its principals are not currently named in sanctions actions; coverage focuses on governance, conflicts of interest, and foreign investment, not sanctions designations. However, political exposure and foreign capital flows mean elevated monitoring remains prudent. Absence of listings is based on current sources and could change.</t>
  </si>
  <si>
    <t>What best describes the estimated share of total trading volume originating from high-risk or sanctioned jurisdictions (as per FATF and major sanctions regimes)? Choose: Low (&lt;5%), Moderate (5–20%), High (&gt;20%), Unknown.</t>
  </si>
  <si>
    <t>Low (&lt;5%)</t>
  </si>
  <si>
    <t>https://www.businesswire.com/news/home/20250317855322/en/Trump-Inspired-World-Liberty-Financial-Closes-%24550-Million-Across-Token-Sales; https://www.theguardian.com/technology/2025/sep/02/trump-world-liberty-financial-cryptocurrency; https://worldlibertyfinancial.com</t>
  </si>
  <si>
    <t>2025-03-17; 2025-09-02</t>
  </si>
  <si>
    <t>Escalate if a high (&gt;20%) share of volume originates from high-risk or sanctioned jurisdictions.</t>
  </si>
  <si>
    <t>WLFI is primarily distributed via large, KYC-focused token sales and trading on major centralized exchanges such as Binance and Bybit, which apply sanctions screening and restrict users in comprehensively sanctioned jurisdictions. The project’s marketing and governance are highly US-centric, and there is no evidence of disproportionate volumes from FATF high‑risk or U.S./EU‑sanctioned countries. In the absence of geo-volume red flags, a sub‑5% share from such jurisdictions is the most reasonable estimate.</t>
  </si>
  <si>
    <t>Are core team members, foundation entities, or key validators/miners significantly located in sanctioned or FATF high-risk jurisdictions? Choose: No material presence, Some presence, Primary base / heavy presence, Unknown.</t>
  </si>
  <si>
    <t>No material presence</t>
  </si>
  <si>
    <t>https://en.wikipedia.org/wiki/World_Liberty_Financial; https://www.reuters.com/technology/trumps-world-liberty-financial-crypto-venture-says-it-will-launch-stablecoin-2025-03-25/</t>
  </si>
  <si>
    <t>2025-08-11; 2025-03-25</t>
  </si>
  <si>
    <t>Escalate if the project’s primary base or validator set is heavily concentrated in sanctioned or FATF high-risk jurisdictions.</t>
  </si>
  <si>
    <t>Available reporting indicates World Liberty Financial is a Trump-family–associated venture with core leadership and operations based primarily in the United States, and some institutional relationships and investors in Abu Dhabi and with Binance/Tron. There is no evidence that the core team, a foundation entity, or key validators/miners are significantly based in jurisdictions currently under comprehensive sanctions or on the FATF high‑risk list. However, disclosures are imperfect, so residual uncertainty remains.</t>
  </si>
  <si>
    <t>Is there structural dependence on exchanges, OTC desks, or cross-chain bridges with known sanctions deficiencies or high-risk profiles? Choose: Limited / none, Moderate exposure, High / structural exposure, Unknown.</t>
  </si>
  <si>
    <t>Limited / none</t>
  </si>
  <si>
    <t>https://worldlibertyfinancial.com/multichain; https://coinmarketcap.com/cmc-ai/world-liberty-financial-wlfi/what-is/; https://nypost.com/business/how-to-buy-wlfi-token/</t>
  </si>
  <si>
    <t>2025-12-15; 2025-12-20; 2025-09-19</t>
  </si>
  <si>
    <t>No direct board trigger; this informs the overall sanctions and geography risk profile.</t>
  </si>
  <si>
    <t>WLFI is an ERC‑20 governance token with multichain support and its own bridge interface, reportedly leveraging Chainlink CCIP for cross‑chain transfers. Public materials emphasize mainstream DeFi integrations and major centralized exchanges (e.g., Binance, OKX, KuCoin), which, despite some regulatory actions, are not broadly designated sanctions evaders. There is no evidence of structural reliance on mixers, sanctioned exchanges, or bridges with known sanctions deficiencies, so current observable dependence appears limited/none.</t>
  </si>
  <si>
    <t>B2-N</t>
  </si>
  <si>
    <t>≤120-word narrative summary for B.2 (high-risk jurisdictions and sanctions-sensitive footprint).</t>
  </si>
  <si>
    <t>WLFI’s footprint is global and politically exposed. The project is closely tied to the Trump family and has attracted substantial investment from Middle East actors, including Abu Dhabi–linked entities and a UAE-based Aqua 1 fund, with stated plans to expand across South America, Europe, Asia, and the Middle East. Its USD1 stablecoin has reportedly been used in a $2 billion transaction by an Abu Dhabi state-backed firm to invest in Binance, a venue repeatedly scrutinized for AML and sanctions‑control failures. WLFI has also publicized links to Pakistan and other emerging‑market partners. While no direct sanctions violations are alleged, these relationships heighten exposure to higher‑risk jurisdictions, sovereign investors, and regulatory scrutiny.</t>
  </si>
  <si>
    <t>https://www.reuters.com/business/finance/uae-fund-buys-100-million-trumps-world-liberty-tokens-2025-06-27/; https://en.wikipedia.org/wiki/World_Liberty_Financial; https://economictimes.indiatimes.com/markets/cryptocurrency/who-owns-world-liberty-financial-the-company-that-links-pakistan-with-trump-family/articleshow/121184539.cms</t>
  </si>
  <si>
    <t>2025-06-27; 2025-11-06; 2025-05-01</t>
  </si>
  <si>
    <t>Public sources show WLFI raising large funds from UAE-based Aqua 1 and Abu Dhabi–linked MGX and using its USD1 stablecoin in a $2bn Binance deal, plus a Pakistan-linked partnership and a global expansion strategy. These create a sanctions‑sensitive, higher‑risk cross‑border footprint, though no direct sanctions breaches are reported. Medium confidence due to evolving facts and limited on-chain transparency.</t>
  </si>
  <si>
    <t>C. Illicit Activity Typologies &amp; Law Enforcement References</t>
  </si>
  <si>
    <t>How is the asset characterised in major blockchain crime/intelligence reports (e.g., Chainalysis, TRM, Elliptic)? Choose: Not mentioned, Minor / incidental mentions, Frequently highlighted as an illicit-usage asset, Unknown.</t>
  </si>
  <si>
    <t>Not mentioned</t>
  </si>
  <si>
    <t>https://defi-planet.com/2025/07/world-liberty-financial-community-approves-wlfi-token-trading-with-near-unanimous-vote/; https://cointelegraph.com/news/trump-backed-wlfi-token-trading-approved-token-unlock/; https://www.reuters.com/business/finance/how-trump-family-took-over-world-liberty-financial-it-raised-hundreds-millions-2025-03-31/</t>
  </si>
  <si>
    <t>2025-07-01; 2025-07-17; 2025-03-31</t>
  </si>
  <si>
    <t>Escalate if major crime/intelligence reports frequently highlight the asset as associated with illicit usage.</t>
  </si>
  <si>
    <t>Searches of public materials from major blockchain analytics/crime-intel providers (Chainalysis, TRM Labs, Elliptic) and secondary coverage show WLFI being monitored by TRM for compliance but not singled out in their flagship crime or illicit-usage reports. Media and analyst pieces focus on political, governance, and sanctions-exposure concerns, not on WLFI being a commonly used tool for crime. Given this absence of explicit treatment, it is best characterized as Not mentioned.</t>
  </si>
  <si>
    <t>To what extent is the asset associated with fraud, scams, or rug-pull typologies in public reports or case studies? Choose: Limited / unexceptional, Some notable schemes, Frequently used in fraud / rug-pull typologies, Unknown.</t>
  </si>
  <si>
    <t>Some notable schemes</t>
  </si>
  <si>
    <t>https://malware-guide.com/blog/wlfi-airdrop-scam; https://governance.worldlibertyfinancial.com/t/protect-yourself-from-wlfi-scams/30146; https://www.bitget.com/wiki/world-liberty-financial-wlfi-token-scam</t>
  </si>
  <si>
    <t>2025-05-01; 2025-07-07; 2024-06-01</t>
  </si>
  <si>
    <t>Escalate where the asset is frequently used in fraud or rug-pull typologies, indicating elevated consumer and AML risk.</t>
  </si>
  <si>
    <t>Several public sources describe scams explicitly leveraging the WLFI/World Liberty Financial brand, including a fake “$WLFI Phase 2 airdrop” site deploying a crypto drainer and stealing users’ funds, and broader warnings that scammers are using WLFI-themed phishing and impersonation tactics. These indicate notable scam activity around the token’s name, though WLFI is not yet documented as a commonly used vehicle for large-scale rug pulls across the wider market.</t>
  </si>
  <si>
    <t>Is the asset significantly associated with ransomware, darknet markets, or terrorist-financing typologies in public data or intelligence reports? Choose: No specific association, Some reported use, Significant / recurring association, Unknown.</t>
  </si>
  <si>
    <t>No specific association</t>
  </si>
  <si>
    <t>https://en.wikipedia.org/wiki/World_Liberty_Financial; https://www.reuters.com/technology/trumps-world-liberty-financial-crypto-venture-says-it-will-launch-stablecoin-2025-03-25/; https://cointelegraph.com/news/wlfi-hack-attempts-blacklisting-token-launch</t>
  </si>
  <si>
    <t>2025-11-24; 2025-03-25; 2025-09-03</t>
  </si>
  <si>
    <t>Escalate if there is a significant or recurring association with ransomware, darknet markets, or terrorist-financing typologies.</t>
  </si>
  <si>
    <t>Open-source searches show WLFI as a Trump-family–linked DeFi/governance token and issuer of the USD1 stablecoin, with coverage focused on fundraising, governance, and ethical/regulatory concerns. There are reports of phishing scams and hacking attempts affecting WLFI users, but these are generic fraud issues and not tied to ransomware, darknet markets, or terrorist financing typologies. No major public intelligence, law-enforcement, or blockchain-analytics reports currently flag WLFI/USD1 for such typologies.</t>
  </si>
  <si>
    <t>≤120-word narrative summary for C.1 (overall illicit activity typologies, including fraud, ransomware, darknet and TF).</t>
  </si>
  <si>
    <t>WLFI’s primary illicit-activity exposure currently centers on fraud and phishing rather than organized ransomware, darknet markets, or terrorism financing. The project’s high-profile branding and large airdrop have attracted multiple impersonation schemes, including fake “WLFI airdrop” websites deploying wallet-drainer malware and scam presale/airdrop offers that trick users into connecting wallets or signing malicious approvals, enabling token and fund theft. Community posts and security notices highlight non-transferable tokens being marketed as tradable, confusion over legitimate contracts, and repeated scam attempts targeting WLFI holders. These patterns suggest elevated retail fraud and social‑engineering risk, even though no direct links to TF or ransomware campaigns have been publicly documented to date.</t>
  </si>
  <si>
    <t>https://malware-guide.com/blog/wlfi-airdrop-scam; https://governance.worldlibertyfinancial.com/t/protect-yourself-from-wlfi-scams/30146; https://www.reddit.com/r/u_ksalab/comments/1n6kezs</t>
  </si>
  <si>
    <t>2025-05-01; 2025-07-07; 2025-09-02</t>
  </si>
  <si>
    <t>Informational narrative only; no independent board trigger.</t>
  </si>
  <si>
    <t>Answer synthesizes documented WLFI-themed drainer/airdrop scams and community security alerts. No direct evidence yet of WLFI use in TF, ransomware, or darknet markets, so those are noted as not observed. Medium confidence due to reliance on open-source reports and evolving situation.</t>
  </si>
  <si>
    <t>C2.1</t>
  </si>
  <si>
    <t>To what extent have law-enforcement agencies explicitly named this asset in public criminal cases, advisories, or typology guidance (beyond generic “cryptocurrency” references)? Choose: Not explicitly named, Named in isolated / incidental cases, Repeatedly named as relevant to typologies or cases, Unknown.</t>
  </si>
  <si>
    <t>Not explicitly named</t>
  </si>
  <si>
    <t>https://www.ainvest.com/news/national-security-financial-risks-crypto-exposure-case-study-world-liberty-financial-2511/; https://accountable.us/trump-crypto-venture-wlfl-sold-tokens-to-entities-tied-to-north-korea-iran-a-notorious-money-laundering-platform/; https://cryptonews.com/news/emocratic-senators-demand-probe-into-world-liberty-financials-alleged-ties-to-north-korea-cnbc/</t>
  </si>
  <si>
    <t>2025-11-18; 2025-09-01; 2025-11-18</t>
  </si>
  <si>
    <t>Escalate if law-enforcement repeatedly names the asset in criminal cases or typology guidance.</t>
  </si>
  <si>
    <t>Open‑source research shows extensive political, media, and NGO scrutiny of WLFI, including an Accountable.US report alleging sales to wallets tied to sanctioned actors and a Senate letter urging DOJ and Treasury/OFAC to investigate. However, available materials explicitly note that SEC and FinCEN have not yet taken formal enforcement action, and there is no evidence of DOJ, OFAC, or other law‑enforcement naming WLFI in criminal cases, advisories, or typology guidance as of Dec 2025.</t>
  </si>
  <si>
    <t>C2.2</t>
  </si>
  <si>
    <t>What best describes public law-enforcement seizures or forfeitures of this asset? Choose: No significant seizures, Some notable seizures, Large / high-profile multi-case seizures, Unknown.</t>
  </si>
  <si>
    <t>No significant seizures</t>
  </si>
  <si>
    <t>https://worldlibertyfinancial.com/wlfi/risk-disclosures; https://www.coindesk.com/tech/2025/09/04/world-liberty-financial-blacklists-justin-sun-s-address-with-usd107m-wlfi/</t>
  </si>
  <si>
    <t>2025-09-24; 2025-09-04</t>
  </si>
  <si>
    <t>No direct board trigger; seizures are a contextual indicator of usage and enforcement, not automatically a structural red flag.</t>
  </si>
  <si>
    <t>Open-source checks show issuer-controlled freezes and blacklisting of WLFI wallets (e.g., Justin Sun’s address) but no evidence that law-enforcement agencies have conducted on-chain seizures or formal forfeiture actions specifically targeting WLFI. Current coverage focuses on governance/contract-level controls and market controversy, not government-led confiscations, so the best fit is no significant seizures to date.</t>
  </si>
  <si>
    <t>C2.3</t>
  </si>
  <si>
    <t>Have counter-terrorism or sanctions authorities (e.g., OFAC, UN, EU, national CT agencies) specifically referenced the asset in relation to terrorist financing? Choose: No TF-specific reference, Some TF-related references, Significant TF-related designation / repeated references, Unknown.</t>
  </si>
  <si>
    <t>No TF-specific reference</t>
  </si>
  <si>
    <t>https://en.wikipedia.org/wiki/World_Liberty_Financial; https://www.ainvest.com/news/world-liberty-financial-risks-opportunities-politically-linked-crypto-projects-2511/</t>
  </si>
  <si>
    <t>2025-12-18; 2025-11-25</t>
  </si>
  <si>
    <t>Escalate if counter-terrorism or sanctions authorities significantly link or designate the asset in relation to terrorist financing.</t>
  </si>
  <si>
    <t>Searches of OFAC, UN, EU and major press coverage show criticism and political scrutiny of World Liberty Financial and WLFI, including lawmakers urging probes into possible dealings with sanctioned or high‑risk counterparties, but no formal OFAC/UN/EU or national CT authority notices identifying the asset as linked to terrorist financing. In the absence of any such listings or advisories, the appropriate classification is ‘No TF-specific reference’.</t>
  </si>
  <si>
    <t>C2-N</t>
  </si>
  <si>
    <t>≤120-word narrative summary for C.2 (law-enforcement references, seizures, and any terrorist-financing designations).</t>
  </si>
  <si>
    <t>As of December 2025, there are no public reports of WLFI or World Liberty Financial being designated on U.S. or UN sanctions lists, nor of law-enforcement-led seizures of WLFI assets. However, the project is under heightened political and regulatory scrutiny. U.S. Senators Warren, Merkley and others have requested records about a $2 billion USD1/Binance deal and broader conflicts of interest, framing the venture as a potential “vehicle for corruption.” Separately, media reports cite a congressional letter and Accountable.US claims that WLFI tokens were sold to traders tied to North Korean hackers, Russian and Iranian sanctions‑evading structures, and Tornado Cash, raising AML and national‑security concerns but not (yet) resulting in formal terrorist‑financing designations.</t>
  </si>
  <si>
    <t>https://www.banking.senate.gov/newsroom/minority/warren-merkley-seek-world-liberty-financial-records-on-2-billion-trump-stablecoin-deal-involving-uae-firm-and-binance; https://www.timesofblockchain.com/news/world-liberty-financial-scrutiny/; https://www.coinglass.com/news/749665</t>
  </si>
  <si>
    <t>2025-05-15; 2025-11-20; 2025-11-19</t>
  </si>
  <si>
    <t>Open-source checks show no formal sanctions or TF designations or law-enforcement seizures involving WLFI as of Dec 2025. Nonetheless, U.S. senators have sought documents on USD1/WLFI transactions and alleged sales to counterparties linked to North Korea, Russia, Iran and Tornado Cash, characterizing the structure as a potential corruption vehicle, which indicates elevated perceived AML/national-security risk despite no current designation.</t>
  </si>
  <si>
    <t>D. Protocol Controls for AML/CTF Mitigation</t>
  </si>
  <si>
    <t>D1.1</t>
  </si>
  <si>
    <t>Does the project or its primary ecosystem integrate on-chain compliance tooling (e.g., KYT screening, analytics provider integration, real-time risk scoring)? Choose: No integration, Some integrations via partners, Integrated as a core feature, Unknown.</t>
  </si>
  <si>
    <t>Some integrations via partners</t>
  </si>
  <si>
    <t>https://governance.worldlibertyfinancial.com/t/part-2-breakdown-and-explanation-of-proposal-make-wlfi-token-tradable/33262; https://crypto-economy.com/wlfi-freezes-wallets-amid-security-concerns-raising-governance-questions/</t>
  </si>
  <si>
    <t>2025-07-01; 2025-11-20</t>
  </si>
  <si>
    <t>Informational control assessment; lack of KYT integration does not auto-trigger escalation.</t>
  </si>
  <si>
    <t>Governance documentation for WLFI’s “Make $WLFI Token Tradable” proposal explicitly states that compliance monitoring will use TRM Labs and that KYC rescreening will be done via Sumsub, both third‑party compliance/KYT providers. External coverage of wallet freezes also notes KYC-based remediation. These indicate compliance tooling integrated through partners rather than a fully native, core on-chain compliance framework.</t>
  </si>
  <si>
    <t>D1.2</t>
  </si>
  <si>
    <t>Does the protocol or ecosystem perform address-level sanctions screening (e.g., OFAC/OFSI blocklists, automated risk-blocking)? Choose: No screening, Partial screening via partners, Native / enforced screening, Unknown.</t>
  </si>
  <si>
    <t>Native / enforced screening</t>
  </si>
  <si>
    <t>https://governance.worldlibertyfinancial.com/t/token-unlock-agreement-unlock-agreement-will-definitely-be-in-circulation-below-5-billion-as-there-are-some-wlfi-bought-by-bots-wallet-changes-that-will-not-be-eligible-for-unlocking/40302; https://worldlibertyfinancial.com/wlfi/terms; https://ambcrypto.com/trumps-world-liberty-financial-tokens-traced-to-north-korea-iran-report/</t>
  </si>
  <si>
    <t>2025-09-01; 2025-09-24; 2025-09-10</t>
  </si>
  <si>
    <t>Sanctions/address screening mitigates risk but absence does not automatically trigger escalation.</t>
  </si>
  <si>
    <t>World Liberty Financial’s own governance documents state that the company may conduct screenings on any governance participant or wallet address, including screenings against sanctions and other regulatory watchlists, and can decline to unlock, restrict, or freeze wallets to comply with law and protect the protocol. Separately, reporting notes that WLFI has blacklisted certain high‑risk accounts. This constitutes native, enforced address-level sanctions screening within the ecosystem.</t>
  </si>
  <si>
    <t>D1.3</t>
  </si>
  <si>
    <t>Is any form of automated AML/CTF risk scoring or transaction monitoring implemented at protocol or ecosystem level? Choose: None, Partial / ecosystem-level, Native / real-time monitoring, Unknown.</t>
  </si>
  <si>
    <t>https://worldlibertyfinancial.com/; https://worldlibertyfinancial.com/wlfi/risk-disclosures; https://governance.worldlibertyfinancial.com/t/proposal-wlfi-staking-program-with-usd1-stablecoin-yield-version-1-1/50841</t>
  </si>
  <si>
    <t>2025-12-21; 2025-12-01; 2025-11-25</t>
  </si>
  <si>
    <t>No board trigger; this question informs mitigation strength only.</t>
  </si>
  <si>
    <t>Public materials for World Liberty Financial and WLFI describe a governance token, treasury operations, and upcoming products (stablecoin, app, lending/borrowing, staking) but do not mention any live, protocol-level AML/CTF transaction monitoring, screening, or blacklisting. A recent staking proposal only references prospective "opt‑in KYC pools" and general regulatory adaptability, not an existing automated monitoring framework. Accordingly, current protocol/ecosystem AML/CTF monitoring appears absent.</t>
  </si>
  <si>
    <t>D1-N</t>
  </si>
  <si>
    <t>≤120-word narrative summary for D.1 (on-chain compliance tooling and sanctions screening).</t>
  </si>
  <si>
    <t>World Liberty Financial (WLFI) shows no clear evidence of native on-chain compliance tooling such as integrated sanctions-screening, wallet blacklisting, or geofencing at the contract level. No public documentation or audits highlight use of established compliance providers (e.g., TRM, Chainalysis) or automated screening hooks in protocol flows. Absent explicit statements or technical controls, WLFI appears reliant on upstream exchange / wallet screening and general ecosystem analytics rather than bespoke, protocol-level sanctions controls. Overall, on-chain compliance features should be considered minimal or unproven based on currently available information.</t>
  </si>
  <si>
    <t>I could not identify credible sources describing WLFI’s specific use of on‑chain sanctions-screening or compliance tooling. Given this evidentiary gap, I assume such controls are minimal or absent and set confidence to Low rather than speculate.</t>
  </si>
  <si>
    <t>D2.1</t>
  </si>
  <si>
    <t>Does the project publish AML/CTF, sanctions, or compliance policies (even if voluntary)? Choose: None published, High-level policy only, Detailed / comprehensive policy, Unknown.</t>
  </si>
  <si>
    <t>High-level policy only</t>
  </si>
  <si>
    <t>https://worldlibertyfinancial.com/wlfi/terms; https://www.ainvest.com/news/world-liberty-financial-wlfi-navigating-regulatory-security-risks-high-volatility-market-2511/</t>
  </si>
  <si>
    <t>2025-08-25; 2025-11-25</t>
  </si>
  <si>
    <t>No board trigger; this evaluates disclosure depth only.</t>
  </si>
  <si>
    <t>WLFI’s Token Use and Acquisition Terms explicitly state that the company may collect customer information to comply with KYC and AML requirements, and that it may voluntarily choose to comply with U.S. KYC/AML standards even when not strictly required. This reflects a stated, high-level approach to AML/CTF compliance, but there is no publicly available, comprehensive standalone AML/CTF or sanctions program document outlining controls, governance, or procedures in detail.</t>
  </si>
  <si>
    <t>D2.2</t>
  </si>
  <si>
    <t>Do official interfaces, dApps, or the main protocol enforce geo-fencing of sanctioned or FATF high-risk jurisdictions? Choose: No geo-fencing, Partial geo-fencing, Full / enforced geo-fencing, Unknown.</t>
  </si>
  <si>
    <t>Partial geo-fencing</t>
  </si>
  <si>
    <t>https://worldlibertyfinancial.com/wlfi/terms; https://governance.worldlibertyfinancial.com/t/token-unlock-agreement-unlock-agreement-will-definitely-be-in-circulation-below-5-billion-as-there-are-some-wlfi-bought-by-bots-wallet-changes-that-will-not-be-eligible-for-unlocking/40302</t>
  </si>
  <si>
    <t>No automatic escalation; absence of geo-fencing is assessed in context with other controls.</t>
  </si>
  <si>
    <t>World Liberty Financial’s WLFI Terms state the company prohibits any use, sales, or transfers of tokens to users located in certain sanctioned or restricted countries and may cancel such sales and “seek to block such users from accessing the Tokens,” and requires sanctions screening through third-party providers. Governance docs also exclude participants from sanctioned jurisdictions and listed sanctions parties. This indicates some enforced geographic/sanctions-based access controls, but not clear universal, protocol-level geo-fencing across all interfaces.</t>
  </si>
  <si>
    <t>D2.3</t>
  </si>
  <si>
    <t>Does the project have publicly disclosed compliance or risk-management partnerships (e.g., with KYT vendors, security auditors, AML tool providers)? Choose: None disclosed, Some partnerships, Multiple validated partnerships, Unknown.</t>
  </si>
  <si>
    <t>Multiple validated partnerships</t>
  </si>
  <si>
    <t>https://www.wsj.com/finance/currencies/trump-backed-world-liberty-financial-unveils-plans-for-new-stablecoin-86b596b4; https://www.thecoinrepublic.com/2025/06/26/world-liberty-financial-eyes-app-launch-as-usd1-audit-nears-completion/; https://www.blockhead.co/2025/10/03/mantle-secures-trump-backed-world-liberty-financial-stablecoin-as-it-launches-tokenization-service/</t>
  </si>
  <si>
    <t>2025-03-01; 2025-06-26; 2025-10-03</t>
  </si>
  <si>
    <t>No board trigger; partnerships provide positive mitigation context.</t>
  </si>
  <si>
    <t>Public reporting indicates World Liberty’s USD1 stablecoin will have regular reserve audits supported by BitGo, a recognized custodial and compliance-focused provider, implying an external risk-management relationship. Reuters and other coverage also describe plans for independent third‑party audits of USD1’s reserves, further evidencing formal external assurance arrangements. Additionally, WLFI’s deployment of USD1 via Mantle’s compliance-focused tokenization platform suggests another structured compliance partnership.</t>
  </si>
  <si>
    <t>D2-N</t>
  </si>
  <si>
    <t>≤120-word narrative summary for D.2 (governance, policy, and operational controls).</t>
  </si>
  <si>
    <t>WLFI governance is formally structured but retains significant centralized controls. The token is designed as a governance‑only asset for the WLF Protocol, with proposals discussed in a public forum and voted via Snapshot and a dedicated governance portal. Token holder rights are explicitly limited: the company can decline to implement proposals that pose legal, contractual, or security risks, and tokens confer no corporate, economic, or fee rights. WLFI’s terms and risk disclosures define use-of-token, non‑investment status, transferability conditions, and the separation between the governance platform and the underlying protocol. Governance changes such as enabling tradability or staking are initiated and ratified through on‑chain/off‑chain governance proposals and documented policies.</t>
  </si>
  <si>
    <t>https://worldlibertyfinancial.com/wlfi/risk-disclosures; https://worldlibertyfinancial.com/governance; https://worldlibertyfinancial.com/wlfi/terms</t>
  </si>
  <si>
    <t>Answer relies on official WLFI risk disclosures, terms, and governance pages plus governance‑forum proposals describing proposal mechanics, limitations on token rights, and how major changes (tradability, staking) are governed. These primary sources consistently show a governance‑only token with formal but company‑constrained community governance and defined policy documents.</t>
  </si>
  <si>
    <t>E. Exchange Availability &amp; AML Risk Surface</t>
  </si>
  <si>
    <t>How is the asset’s trading volume distributed across regulated, KYC-compliant exchanges versus unregulated or no-KYC exchanges? Choose: Mostly regulated (&gt;70%), Mixed (30–70%), Mostly unregulated (&gt;70%), Unknown.</t>
  </si>
  <si>
    <t>Mostly regulated (&gt;70%)</t>
  </si>
  <si>
    <t>https://www.coingecko.com/en/coins/world-liberty-financial; https://www.theguardian.com/technology/2025/sep/02/trump-world-liberty-financial-cryptocurrency; https://nypost.com/2025/09/02/business/trump-backed-wlfi-token-whipsaws-as-speculators-drive-billions-in-trades/</t>
  </si>
  <si>
    <t>2025-12-21; 2025-09-02; 2025-09-02</t>
  </si>
  <si>
    <t>No direct board trigger; this calibrates venue risk.</t>
  </si>
  <si>
    <t>CoinGecko reports WLFI trading across 100+ exchanges, with the most active venues being Coinbase Exchange and Kraken—large, fully KYC’d centralized exchanges. Press coverage also notes major listings on Binance and Bybit, which are KYC/AML-focused CEXs. While some DEX or smaller venues may contribute volume, available data indicates that the clear majority of trading volume is on regulated, KYC-compliant centralized exchanges.</t>
  </si>
  <si>
    <t>What proportion of trading occurs via DEXs, especially those linked to anonymity pools (e.g., Tornado-derived pools, privacy DEXs)? Choose: Limited (&lt;20%), Moderate (20–60%), High (&gt;60%) or privacy-DEX dominant, Unknown.</t>
  </si>
  <si>
    <t>Limited (&lt;20%)</t>
  </si>
  <si>
    <t>https://www.theguardian.com/technology/2025/sep/02/trump-world-liberty-financial-cryptocurrency; https://www.valuethemarkets.com/cryptocurrency/news/world-liberty-financial-launches-wlfi-token-with-30-billion-valuation</t>
  </si>
  <si>
    <t>2025-09-02; 2025-09-04</t>
  </si>
  <si>
    <t>No direct board trigger; captured as part of broader AML venue risk.</t>
  </si>
  <si>
    <t>Available evidence shows WLFI launched with very large centralized exchange support (e.g., Binance, Bybit) and extremely high CEX spot volumes, with no credible reporting of significant liquidity on DEXs or privacy-focused DEXs. Public coverage and market data summaries describe trading in terms of major exchanges and spot markets, not DeFi or anonymity pools, suggesting that DEX-related activity is likely a small minority of overall trading volume.</t>
  </si>
  <si>
    <t>What is the overall quality of fiat on/off-ramps for the asset (regulated exchanges, bank integrations, licensed VASP partners)? Choose: High quality / regulated ramps, Mixed quality, Mostly unregulated / crypto-only ramps, Unknown.</t>
  </si>
  <si>
    <t>High quality / regulated ramps</t>
  </si>
  <si>
    <t>https://www.reuters.com/business/trumps-world-liberty-financial-tokens-begin-trading-2025-09-01/; https://www.coindesk.com/markets/2025/09/01/binance-becomes-first-exchange-to-list-trump-linked-wlfi-token; https://www.lcx.com/wlfi-token-is-getting-listed-on-the-lcx-exchange/</t>
  </si>
  <si>
    <t>2025-09-01; 2025-09-01; 2025-09-01</t>
  </si>
  <si>
    <t>No direct board trigger; weaker ramps increase AML surface but are assessed holistically.</t>
  </si>
  <si>
    <t>WLFI is listed on multiple large centralized exchanges such as Binance, OKX, Bybit and others, all of which operate KYC/AML programs and offer fiat on-ramps in major jurisdictions. Additional listing on LCX, a Liechtenstein‑regulated exchange with a WLFI/EUR pair, further strengthens access via supervised VASPs. On-chain and DEX trading exists, but the presence of these major CEXs means overall fiat on/off-ramp quality is best characterized as high and regulated.</t>
  </si>
  <si>
    <t>≤120-word narrative summary for E.1 (regulated vs unregulated exchange footprint and anonymity DEX exposure).</t>
  </si>
  <si>
    <t>WLFI currently trades on large centralized exchanges such as Binance and Bybit, which apply at least baseline KYC/AML controls but are offshore and have historically drawn regulatory scrutiny. This implies a significant but not exclusively regulated exchange footprint. Project materials emphasize on-chain tools (bridge, exchange) and broader DeFi integrations, but available documentation does not evidence listings on privacy‑enhancing or anonymity‑focused DEXs (e.g., mixers, stealth DEXs). As a result, WLFI appears primarily exposed to centralized, semi‑regulated venues and conventional DeFi infrastructure, with no clear current nexus to high‑anonymity DEX ecosystems, though this could change as further integrations roll out.</t>
  </si>
  <si>
    <t>https://www.barrons.com/articles/trump-wlfi-crypto-trading-today-a430bc92; https://nypost.com/2025/09/02/business/trump-backed-wlfi-token-whipsaws-as-speculators-drive-billions-in-trades/; https://worldlibertyfinancial.com</t>
  </si>
  <si>
    <t>2025-09-01; 2025-09-02</t>
  </si>
  <si>
    <t>News reports confirm WLFI listing on large centralized exchanges (Binance, Bybit), which operate KYC/AML but remain offshore and scrutinized. Project and media sources frame WLFI as a DeFi governance token with on‑chain tools but provide no direct evidence of anonymity‑enhancing DEX exposure, so anonymity risk is inferred to be moderate and primarily via standard CEX/DeFi channels.</t>
  </si>
  <si>
    <t>Have Tier-1 regulated exchanges (e.g., Coinbase, Kraken, Binance US, Gemini) delisted or restricted the asset specifically citing AML/CTF or sanctions concerns? Choose: No, Rumoured / uncertain, Yes – explicitly AML/CTF-related, Unknown.</t>
  </si>
  <si>
    <t>https://support.binance.us/en/articles/12677963-binance-us-lists-wlfi-deposit-now; https://blog.kraken.com/product/asset-listings/wlfi-is-available-for-trading; https://en.wikipedia.org/wiki/World_Liberty_Financial</t>
  </si>
  <si>
    <t>2025-10-29; 2025-09-01; 2025-12-01</t>
  </si>
  <si>
    <t>Escalate if Tier-1 regulated exchanges delist the token explicitly citing AML/CTF or sanctions reasons.</t>
  </si>
  <si>
    <t>WLFI is actively listed for trading on multiple large, regulated exchanges (e.g., Binance.US and Kraken) with no public announcements indicating delisting or trading restrictions tied to AML/CTF or sanctions concerns. Current coverage, including exchange support articles and neutral profiles, describes listing and trading but does not reference AML-based restrictions or removals.</t>
  </si>
  <si>
    <t>Is the asset heavily listed on high-risk, unregulated, or no-KYC exchanges historically linked to illicit flows? Choose: Limited presence, Some presence, Heavy / structural presence, Unknown.</t>
  </si>
  <si>
    <t>Some presence</t>
  </si>
  <si>
    <t>https://support.poloniex.com/hc/en-us/articles/34393177913495-New-Listing-World-Liberty-Financial-WLFI; https://ascendex.com/en/support/articles/136019-world-liberty-financial-wlfi-is-listed-on-ascendex-trade-now; https://nypost.com/business/how-to-buy-wlfi-token/</t>
  </si>
  <si>
    <t>2025-08-23; 2025-09-01; 2025-09-15</t>
  </si>
  <si>
    <t>No direct board trigger; feeds into overall AML venue risk.</t>
  </si>
  <si>
    <t>WLFI is listed on a mix of large, more-regulated centralized exchanges (e.g., Binance, KuCoin, OKX) and several higher‑risk offshore or lightly regulated venues such as Poloniex, LBank pre‑market, AscendEX, and LCX. This indicates some exposure to higher‑risk, historically offshore/no‑KYC platforms, but not a pattern of exclusive or dominant reliance on such venues, so overall presence is best characterized as “Some presence.”</t>
  </si>
  <si>
    <t>Do the major exchanges listing the asset have strong KYC/AML controls (regulated jurisdictions, KYT partnerships, monitoring infrastructure)? Choose: Strong / regulated, Mixed, Weak, Unknown.</t>
  </si>
  <si>
    <t>https://www.xt.com/en/blog/post/wlfi-token-officially-launches-on-binance-and-other-major-exchanges-following-token-unlock-event; https://home.treasury.gov/news/press-releases/jy1925; https://www.lcx.com/info/faq/about-lcx/is-lcx-regulated-what-is-the-legal-setup-of-lcx/</t>
  </si>
  <si>
    <t>2025-09-01; 2023-11-21</t>
  </si>
  <si>
    <t>No direct board trigger; this question calibrates the quality of exchange-level controls.</t>
  </si>
  <si>
    <t>WLFI is listed on a mix of highly regulated venues and exchanges with a history of serious AML/sanctions failings. For example, it trades on Binance, which admitted extensive AML and sanctions violations and is now under a multi‑year monitorship, indicating historic control weaknesses even if remediation is underway. By contrast, LCX is a registered, FMA‑supervised VASP in Liechtenstein with bank‑like KYC/AML obligations. Overall this supports a “Mixed” KYC/AML profile for listing venues.</t>
  </si>
  <si>
    <t>≤120-word narrative summary for E.2 (exchange delistings, high-risk venue presence, and exchange-level AML controls).</t>
  </si>
  <si>
    <t>WLFI is actively traded on major centralized exchanges such as Binance and Bybit, with no credible reports of exchange delistings to date. These large, globally regulated venues typically apply relatively mature KYC/AML controls compared with smaller offshore platforms. Earlier commentary that WLFI was not listed on reputable exchanges appears outdated following its 2025 launch and spot listings. There is no strong evidence of concentration on particularly high‑risk or lightly regulated exchanges beyond normal large‑cap speculative trading activity. Primary token sales reportedly included KYC on participants, which modestly mitigates direct sanctions‑evasion risk, though secondary market trading remains globally accessible and subject to each venue’s own compliance standards.</t>
  </si>
  <si>
    <t>https://www.valuethemarkets.com/cryptocurrency/news/world-liberty-financial-launches-wlfi-token-with-30-billion-valuation; https://nypost.com/2025/09/02/business/trump-backed-wlfi-token-whipsaws-as-speculators-drive-billions-in-trades/; https://www.businesswire.com/news/home/20250317855322/en/Trump-Inspired-World-Liberty-Financial-Closes-%24550-Million-Across-Token-Sales</t>
  </si>
  <si>
    <t>2025-09-04; 2025-09-02; 2025-03-17</t>
  </si>
  <si>
    <t>Summary reflects recent reports of WLFI listings on major CEXs, absence of delisting news, and references to KYC in token sales; specific exchange AML frameworks are inferred from their general regulatory posture rather than WLFI-specific disclosures.</t>
  </si>
  <si>
    <t>A. Smart Contract &amp; Code Quality</t>
  </si>
  <si>
    <t>Has the protocol or token been independently audited? Choose: Multiple audits, Single audit, No audit, Unknown.</t>
  </si>
  <si>
    <t>Single audit</t>
  </si>
  <si>
    <t>https://meme-insider.com/en/article/wlfi-world-liberty-financial-token-on-ethereum-address-tokenomics-listings-and-risks/; https://defiliban.com/wlfi-token-launch-september-2025/; https://crypto2community.com/crypto-news/world-liberty-financial-to-launch-wlfi-token-on-ethereum-mainnet-september-1/</t>
  </si>
  <si>
    <t>2025-11-01; 2025-09-01; 2025-08-22</t>
  </si>
  <si>
    <t>Escalate if there is no independent audit with at least medium confidence.</t>
  </si>
  <si>
    <t>There is evidence of at least one independent security audit linked to WLFI: multiple sources state that the WLFI Lockbox smart contract used for token claims/launch on Ethereum was audited by Cyfrin, a third‑party Web3 security firm. However, coverage appears limited to the Lockbox/launch contracts and not all WLFI contracts across chains, so this is best characterized as a single audit rather than comprehensive multi‑protocol auditing.</t>
  </si>
  <si>
    <t>How reputable are the audit firms? Choose: Tier-1, Tier-2, Low-tier or self-audited, Unknown.</t>
  </si>
  <si>
    <t>Tier-2</t>
  </si>
  <si>
    <t>https://meme-insider.com/en/article/wlfi-world-liberty-financial-token-on-ethereum-address-tokenomics-listings-and-risks/; https://www.cyfrin.io/smart-contract-security-audits; https://geekflare.com/cybersecurity/smart-contract-auditing-firms/</t>
  </si>
  <si>
    <t>2025-11-01; 2025-11-30; 2023-09-01</t>
  </si>
  <si>
    <t>Available information indicates WLFI-related contracts (e.g., the Lockbox) were audited by Cyfrin, a specialized smart‑contract security firm used by notable DeFi protocols and highlighted in third‑party rankings. However, Cyfrin is relatively new versus the most established audit names, and public audit coverage for all WLFI contracts is incomplete. Overall this supports a Tier‑2, not clear Tier‑1, reputation assessment.</t>
  </si>
  <si>
    <t>When was the most recent audit performed? Choose: &lt;12 months, 12–24 months, &gt;24 months, Unknown.</t>
  </si>
  <si>
    <t>&lt;12 months</t>
  </si>
  <si>
    <t>https://hashex.org/auto-audits/solana/3KNBseJLzgSmsHrQtv2zSpKdGntFCREgPPLVQ6Q62PYD; https://meme-insider.com/en/article/wlfi-world-liberty-financial-token-on-ethereum-address-tokenomics-listings-and-risks/</t>
  </si>
  <si>
    <t>2025-05-20; 2025-11-01</t>
  </si>
  <si>
    <t>An AI-powered automated security audit for the World Liberty (WLFI) token on Solana by HashEx lists an audit creation and last update date of 20 May 2025. This is within the last 12 months relative to the current date, so the most recent identified audit falls in the &lt;12 months category. No newer formal audits were located in public sources.</t>
  </si>
  <si>
    <t>After major protocol upgrades, were new audits commissioned? Choose: All upgrades re-audited, Some re-audited, No re-audit, Unknown.</t>
  </si>
  <si>
    <t>https://meme-insider.com/en/article/wlfi-world-liberty-financial-token-on-ethereum-address-tokenomics-listings-and-risks/; https://worldlibertyfinancial.com/</t>
  </si>
  <si>
    <t>2025-10-15</t>
  </si>
  <si>
    <t>Escalate if major upgrades occurred with no re-audit, with at least medium confidence.</t>
  </si>
  <si>
    <t>Public information only mentions a Cyfrin audit of the WLFI Lockbox contract and notes that independent, confirmed audits for every WLFI token contract across chains are not uniformly available. There is no clear documentation that subsequent major upgrades or deployments were systematically re-audited, so whether all or some upgrades received new audits remains unknown based on available sources.</t>
  </si>
  <si>
    <t>What was the highest severity identified in the latest audit? Choose: No high-severity, High findings remediated, High findings unremediated, Unknown.</t>
  </si>
  <si>
    <t>https://meme-insider.com/en/article/wlfi-world-liberty-financial-token-on-ethereum-address-tokenomics-listings-and-risks/; https://coincub.com/world-liberty-financial-wlfi/; https://www.thecoinrepublic.com/2025/06/26/world-liberty-financial-eyes-app-launch-as-usd1-audit-nears-completion/</t>
  </si>
  <si>
    <t>2025-10-15; 2025-04-01; 2025-06-26</t>
  </si>
  <si>
    <t>Escalate if high-severity findings remain unremediated with at least medium confidence.</t>
  </si>
  <si>
    <t>Public sources note that a WLFI-related Lockbox contract was reportedly audited by Cyfrin, and that a separate reserves audit/attestation is being prepared for the USD1 stablecoin. However, no publicly accessible audit report detailing specific findings or severity levels (e.g., high/critical issues) could be located. Due to the absence of verifiable severity information from any latest code audit, the highest severity identified must be treated as Unknown.</t>
  </si>
  <si>
    <t>≤120-word narrative summary for A.1 (audit coverage, quality, recency and findings).</t>
  </si>
  <si>
    <t>Public information suggests minimal independent security auditing of WLFI’s core token contracts. A Reuters review citing CertiK in March 2025 described the on‑chain contracts as still in development with several functions not fully implemented, rather than publishing a formal audit report or remediation summary. World Liberty has focused announced audit work on its USD1 stablecoin, not on WLFI’s governance token, and has not publicly released detailed smart‑contract audit results for WLFI as of December 2025. Third‑party dashboards such as Cyberscope list WLFI-related Solana tokens but explicitly show “No Cyberscope Audit,” reinforcing that formal, published audits remain limited or absent.</t>
  </si>
  <si>
    <t>https://www.reuters.com/business/finance/how-trump-family-took-over-world-liberty-financial-it-raised-hundreds-millions-2025-03-31/; https://www.reuters.com/business/finance/trump-backed-crypto-firm-is-planning-stablecoin-audit-new-app-2025-06-25/; https://www.cyberscope.io/audits/coin-world-liberty-financial-space</t>
  </si>
  <si>
    <t>2025-03-31; 2025-06-25</t>
  </si>
  <si>
    <t>Evidence indicates only a high-level review by CertiK (via Reuters) and planned/partial audit work on the USD1 stablecoin; no public, detailed WLFI token audit is available. Some WLFI variants on Solana show “No Cyberscope Audit.” This supports a conclusion of weak/limited audit coverage, but indirect sourcing (via news and dashboards rather than primary reports) warrants a Medium confidence rating.</t>
  </si>
  <si>
    <t>Approximate age of the mainnet codebase? Choose: Mature (&gt;24 months), Mid-stage (6–24 months), Early (&lt;6 months), Unknown.</t>
  </si>
  <si>
    <t>Mid-stage (6–24 months)</t>
  </si>
  <si>
    <t>https://en.wikipedia.org/wiki/World_Liberty_Financial; https://www.okx.com/learn/world-liberty-financial-white-paper</t>
  </si>
  <si>
    <t>2025-09-01; 2025-09-01</t>
  </si>
  <si>
    <t>World Liberty Financial’s protocol and WLFI token were initially released in September 2024, with trading and transferability enabled around September 1, 2025. This implies the deployed mainnet codebase is roughly 12–15 months old as of December 2025, fitting the 6–24 month “Mid-stage” window rather than being either brand new or more than two years old.</t>
  </si>
  <si>
    <t>Is the core protocol code open-source? Choose: Fully open-source, Partially open-source, Closed-source, Unknown.</t>
  </si>
  <si>
    <t>Partially open-source</t>
  </si>
  <si>
    <t>https://etherscan.io/token/0xda5e1988097297dcdc1f90d4dfe7909e847cbef6; https://github.com/World-Liberty-Financial-X/wlfi</t>
  </si>
  <si>
    <t>2025-09-04</t>
  </si>
  <si>
    <t>Escalate where the core protocol is closed-source with at least medium confidence.</t>
  </si>
  <si>
    <t>The Ethereum WLFI token contract at 0xda5e1988…bef6 is a TransparentUpgradeableProxy whose Solidity source code (OpenZeppelin implementation) is fully verified and viewable on Etherscan, so the proxy/token wrapper logic is open-source. However, the project’s GitHub organization only exposes marketing-style READMEs and no substantive protocol or application logic, and there is no clear evidence that all core implementation contracts or off-chain components are open-sourced, so overall it is best characterized as partially open-source.</t>
  </si>
  <si>
    <t>How complete is the technical documentation? Choose: Comprehensive, Partial, Minimal/outdated, Unknown.</t>
  </si>
  <si>
    <t>https://worldlibertyfinancial.com/usd1; https://github.com/World-Liberty-Financial-X; https://tokenizd.app/usd1</t>
  </si>
  <si>
    <t>2025-12-16; 2025-11-20; 2025-11-15</t>
  </si>
  <si>
    <t>Public materials focus on high-level marketing descriptions of WLFI and USD1 (backing, chains, governance) plus a lightweight GitHub README and third‑party integration guide. There is no easily accessible, detailed technical specification of protocol architecture, smart‑contract design, or formal security model. Some information for integrators exists, but overall coverage is incomplete for thorough technical due diligence, so documentation is best characterized as partial.</t>
  </si>
  <si>
    <t>A2.4</t>
  </si>
  <si>
    <t>Is any component of the protocol formally verified? Choose: Yes – core components, Yes – limited components, No, Unknown.</t>
  </si>
  <si>
    <t>https://worldlibertyfinancial.com/; https://worldlibertyfinancial.com/risk-disclosures; https://governance.worldlibertyfinancial.com/t/proposal-wlfi-staking-with-usd1-stablecoin-yield/40538</t>
  </si>
  <si>
    <t>2025-12-18; 2025-10-15; 2025-09-01</t>
  </si>
  <si>
    <t>Public materials for World Liberty Financial and USD1 reference audits, risk disclosures, and planned smart contract audits for features like staking, but there is no explicit mention of formal verification or use of formal methods tools for any WLFI or USD1 contracts. Given the project’s size, this omission is notable, yet without clear proof either way, the most accurate classification is Unknown rather than No.</t>
  </si>
  <si>
    <t>≤120-word narrative summary for A.2 (codebase maturity, open-source status and documentation).</t>
  </si>
  <si>
    <t>WLFI’s Ethereum token is implemented as an upgradeable TransparentUpgradeableProxy, with OpenZeppelin proxy code verified on Etherscan, indicating at least basic reuse of audited libraries. However, the public GitHub organization is extremely sparse: the main `wlfi` repo contains only a marketing-style README and no Solidity or protocol implementation, suggesting the core contracts and off-chain components are not meaningfully open-sourced. Public documentation is largely promotional and governance-focused, with limited low-level technical detail and no readily available formal technical whitepaper or security-spec documentation, implying a relatively immature and opaque open-source/code-disclosure posture.</t>
  </si>
  <si>
    <t>https://etherscan.io/token/0xda5e1988097297dcdc1f90d4dfe7909e847cbef6; https://github.com/World-Liberty-Financial-X/wlfi; https://worldlibertyfinancial.com</t>
  </si>
  <si>
    <t>Etherscan shows a verified OZ-based proxy contract for WLFI, but GitHub lacks substantive code; public docs are high level and marketing/governance oriented with no technical whitepaper, supporting a view of low open-source maturity and limited transparent documentation.</t>
  </si>
  <si>
    <t>Do developers disclose test coverage metrics? Choose: High coverage (&gt;80%), Some coverage (20–80%), Minimal/no coverage, Unknown.</t>
  </si>
  <si>
    <t>https://github.com/World-Liberty-Financial-X; https://github.com/World-Liberty-Financial-X/wlfi; https://meme-insider.com/en/article/wlfi-token-guide-world-liberty-financial-unlocks-listings-and-usd1/</t>
  </si>
  <si>
    <t>2025-09-04; 2025-09-04; 2025-11-01</t>
  </si>
  <si>
    <t>Public materials for WLFI (site, docs, governance forum, external research) and the project’s GitHub org show only marketing-style READMEs and contract references, with no published unit/integration test suites or quantitative test coverage reports. Third-party overviews even flag the absence of comprehensive public audits, and none of the available documents disclose coverage percentages. Accordingly, test coverage disclosure must be assessed as Unknown.</t>
  </si>
  <si>
    <t>A3.2</t>
  </si>
  <si>
    <t>How stable is the protocol’s testnet according to public sources? Choose: Stable with no major issues, Some issues but resolved, Frequent stability problems, Unknown.</t>
  </si>
  <si>
    <t>Publicly available information on World Liberty Financial focuses on the WLFI token, USD1 stablecoin, governance, bridging, and trading on mainnets (Ethereum, BNB Chain, Solana, etc.). I could not locate any reliable documentation, explorer references, or third‑party analysis that specifically describe a WLFI protocol testnet environment or its operational history. Without evidence of a dedicated testnet or reports of its performance, the stability of any such testnet must be treated as unknown.</t>
  </si>
  <si>
    <t>A3.3</t>
  </si>
  <si>
    <t>Is there transparency around build pipelines and CI/CD testing? Choose: Clear CI/CD pipeline documented, Partial visibility, No visible CI/CD process, Unknown.</t>
  </si>
  <si>
    <t>No visible CI/CD process</t>
  </si>
  <si>
    <t>https://github.com/World-Liberty-Financial-X; https://github.com/World-Liberty-Financial-X/wlfi</t>
  </si>
  <si>
    <t>2025-09-04; 2025-09-04</t>
  </si>
  <si>
    <t>Public GitHub repos for World Liberty Financial (.github and wlfi) only contain profile/README content and no visible GitHub Actions workflows, testing configuration, or documented build pipeline. The official site and public materials similarly do not describe CI/CD or automated testing practices. Therefore, there is currently no observable CI/CD process disclosed to the public.</t>
  </si>
  <si>
    <t>A3.4</t>
  </si>
  <si>
    <t>Do audits or reviews flag recurring code-quality issues or anti-patterns? Choose: No notable issues, Some issues flagged, Structural/recurring issues, Unknown.</t>
  </si>
  <si>
    <t>https://meme-insider.com/en/article/wlfi-world-liberty-financial-token-on-ethereum-address-tokenomics-listings-and-risks/; https://whales.market/blog/what-is-world-liberty-financial-wlfi/; https://bitcoinethereumnews.com/tech/how-to-claim-wlfi-tokens-the-official-2025-unlock-and-trading-guide/</t>
  </si>
  <si>
    <t>2025-11-01; 2025-11-01; 2025-08-23</t>
  </si>
  <si>
    <t>Escalate where structural or recurring code-quality issues are reported with at least medium confidence.</t>
  </si>
  <si>
    <t>Available sources only state that the WLFI Lockbox contract was audited by Cyfrin and that some WLFI deployments are standard ERC‑20 with possible management functions and proxy-related risks. However, no public audit reports or detailed findings are accessible, so it is not possible to assess whether recurring code-quality issues or anti-patterns were flagged.</t>
  </si>
  <si>
    <t>≤120-word narrative summary for A.3 (code quality, test coverage and stability).</t>
  </si>
  <si>
    <t>WLFI’s Ethereum token contract is a verified TransparentUpgradeableProxy using OpenZeppelin 0.8.20 libraries, which are widely used and independently audited, suggesting baseline code robustness at the proxy layer. However, the underlying implementation contract is upgradeable and not clearly documented or linked to a formal third‑party security audit, increasing reliance on WLFI’s internal processes. Public GitHub activity focuses mainly on USD1 and governance tooling, with no published unit‑test coverage or audit reports for the WLFI token itself, so overall assurance on code quality and long‑term stability remains moderate.</t>
  </si>
  <si>
    <t>https://etherscan.io/token/0xda5e1988097297dcdc1f90d4dfe7909e847cbef6; https://github.com/worldliberty</t>
  </si>
  <si>
    <t>Etherscan confirms WLFI uses a verified OpenZeppelin TransparentUpgradeableProxy, which is generally high-quality code. But there is no clearly referenced external audit or disclosed test coverage for the WLFI token implementation, only related repositories for USD1 and governance tools. That supports a view of reasonable baseline engineering but incomplete assurance about the full token codebase and upgrade path.</t>
  </si>
  <si>
    <t>A4.1</t>
  </si>
  <si>
    <t>How are external libraries and dependencies characterised? Choose: Up-to-date reputable libraries, Some outdated components, High-risk/deprecated libraries, Unknown.</t>
  </si>
  <si>
    <t>Up-to-date reputable libraries</t>
  </si>
  <si>
    <t>https://etherscan.io/token/0xda5e1988097297dcdc1f90d4dfe7909e847cbef6#code; https://docs.openzeppelin.com/contracts/5.x/</t>
  </si>
  <si>
    <t>2025-12-18; 2024-02-01</t>
  </si>
  <si>
    <t>The WLFI token contract is a TransparentUpgradeableProxy implemented using OpenZeppelin Contracts v5.0.0 with Solidity 0.8.20, as indicated by SPDX headers and import paths on Etherscan. OpenZeppelin is the current industry-standard, security-reviewed library suite for Ethereum smart contracts, and v5.x is among its most recent major releases, so dependencies are modern and reputable rather than deprecated or custom legacy code.</t>
  </si>
  <si>
    <t>A4.2</t>
  </si>
  <si>
    <t>How reliable is the oracle infrastructure (if used)? Choose: Robust oracle (e.g., Chainlink), Mixed/custom or multi-oracle, High-risk/unclear oracle design, Unknown.</t>
  </si>
  <si>
    <t>Robust oracle (e.g., Chainlink)</t>
  </si>
  <si>
    <t>https://www.prnewswire.com/news-releases/donald-j-trump-inspired-world-liberty-financial-adopts-the-chainlink-standard-to-accelerate-the-mass-adoption-of-defi-302305219.html; https://www.coindesk.com/markets/2025/05/16/world-liberty-s-stablecoin-now-available-on-multiple-networks-through-chainlink-s-interoperability-protocol; https://levex.com/en/blog/wlfi-chainlink-oracle-integration</t>
  </si>
  <si>
    <t>2024-11-14; 2025-05-16</t>
  </si>
  <si>
    <t>Escalate where oracle design is high-risk or unclear with at least medium confidence.</t>
  </si>
  <si>
    <t>World Liberty Financial states it is adopting Chainlink as its standard for onchain data and cross-chain connectivity, beginning with integrating Chainlink Price Feeds on Ethereum to secure its Aave v3 instance. Independent coverage further notes USD1 uses Chainlink’s CCIP for secure cross-chain operation. Reliance on Chainlink’s established oracle and interoperability stack supports classifying the oracle infrastructure as robust.</t>
  </si>
  <si>
    <t>A4.3</t>
  </si>
  <si>
    <t>Do core contracts use upgradeable proxies, and with what controls? Choose: No upgradeability (immutable), Limited upgradeability with safeguards, Upgradeable with weak controls, Unknown.</t>
  </si>
  <si>
    <t>Upgradeable with weak controls</t>
  </si>
  <si>
    <t>https://etherscan.io/token/0xda5e1988097297dcdc1f90d4dfe7909e847cbef6; https://etherscan.io/address/0xda5e1988097297dcdc1f90d4dfe7909e847cbef6#code</t>
  </si>
  <si>
    <t>2025-12-20; 2025-12-20</t>
  </si>
  <si>
    <t>Escalate where upgradeable contracts have weak control safeguards with at least medium confidence.</t>
  </si>
  <si>
    <t>The main WLFI token contract at 0xda5e…bef6 is implemented as an OpenZeppelin TransparentUpgradeableProxy, meaning its logic can be upgraded via a ProxyAdmin-controlled admin. Etherscan confirms the contract name as TransparentUpgradeableProxy with standard upgradeToAndCall functionality, i.e., a central admin (through ProxyAdmin) can change the implementation without any enforced on-chain timelock or governance guardrails. This is upgradeable with relatively weak, centralized controls.</t>
  </si>
  <si>
    <t>A4-N</t>
  </si>
  <si>
    <t>≤120-word narrative summary for A.4 (external dependencies, oracle risk and upgradeability patterns).</t>
  </si>
  <si>
    <t>WLFI’s Ethereum token is implemented as an OpenZeppelin TransparentUpgradeableProxy, with upgrades controlled via a separate ProxyAdmin-style admin, indicating the implementation can be changed post‑deployment and upgrade authority has not been renounced. This creates ongoing governance and key‑management risk, as an admin compromise could alter token logic or balances. The proxy pattern itself does not rely on on‑chain price or data oracles, and no oracle integrations are evident in the token contract. However, WLFI is deployed across multiple networks (Ethereum, BNB Chain, Solana), so users are exposed to each chain’s consensus and bridge/liquidity routing risks when moving value between them.</t>
  </si>
  <si>
    <t>https://etherscan.io/token/0xdA5e1988097297dCdc1f90D4dFE7909e847CBeF6; https://cointelegraph.com/news/trump-backed-wlfi-token-launch-exchanges-supply-scams</t>
  </si>
  <si>
    <t>2025-12-17; 2025-09-01</t>
  </si>
  <si>
    <t>Summary is based on verified proxy source code and multi‑chain address disclosures; there is no evidence of oracle use at token level, but clear ongoing upgradeability and admin-risk via ProxyAdmin.</t>
  </si>
  <si>
    <t>B. Protocol Architecture &amp; Attack Surface</t>
  </si>
  <si>
    <t>How complex is the protocol architecture based on public documentation and audits? Choose: Simple/minimal, Moderately complex, Highly complex/multi-module, Unknown.</t>
  </si>
  <si>
    <t>Moderately complex</t>
  </si>
  <si>
    <t>https://en.wikipedia.org/wiki/World_Liberty_Financial; https://worldlibertyfinancial.com/usd1; https://www.reuters.com/business/finance/trump-backed-crypto-firm-is-planning-stablecoin-audit-new-app-2025-06-25/</t>
  </si>
  <si>
    <t>2025-11-15; 2025-12-16; 2025-06-25</t>
  </si>
  <si>
    <t>Public materials describe WLFI as a DeFi protocol with a governance token, a multi-chain fiat-backed stablecoin (USD1), governance processes, and planned lending/borrowing and app products, implying several interacting components across chains. However, architectural details are high-level and available audits focus on USD1 financial attestations rather than in-depth smart contract security reviews, so complexity is assessed as moderate rather than clearly multi-module or simple.</t>
  </si>
  <si>
    <t>How widely integrated is the protocol in other crypto/DeFi infrastructure (composability)? Choose: Limited composability, Moderate composability, Highly composable/widely integrated, Unknown.</t>
  </si>
  <si>
    <t>Highly composable/widely integrated</t>
  </si>
  <si>
    <t>https://worldlibertyfinancial.com/providers; https://worldlibertyfinancial.com/multichain; https://en.wikipedia.org/wiki/World_Liberty_Financial</t>
  </si>
  <si>
    <t>2025-12-20; 2025-12-20; 2025-12-18</t>
  </si>
  <si>
    <t>WLFI and its USD1 stablecoin are available on multiple major CEXs (Binance, Coinbase, Kraken, OKX, KuCoin, etc.), DEXs (Uniswap, PancakeSwap), wallets, and DeFi money markets (Venus, Dolomite, Euler, ListaDAO, KernelDAO) with bridging across Ethereum, BNB Chain, and Solana. USD1 is further promoted via joint initiatives with PancakeSwap and integrations on Venus, indicating broad composability across key crypto/DeFi infrastructure.</t>
  </si>
  <si>
    <t>Do audits or credible reviews identify recurring design-level risk patterns (e.g., fragile liquidation logic, complex state machines)? Choose: No notable patterns, Some higher-risk patterns, Multiple/structural higher-risk patterns, Unknown.</t>
  </si>
  <si>
    <t>https://meme-insider.com/en/article/wlfi-world-liberty-financial-token-on-ethereum-address-tokenomics-listings-and-risks/; https://en.wikipedia.org/wiki/World_Liberty_Financial</t>
  </si>
  <si>
    <t>2025-11-15; 2025-12-18</t>
  </si>
  <si>
    <t>Escalate where multiple or structural higher-risk design patterns are identified with at least medium confidence.</t>
  </si>
  <si>
    <t>Public information notes a reported Cyfrin audit of a WLFI Lockbox component, but there is no accessible, detailed audit report or broad third‑party technical review covering the main WLFI token contracts and protocol. Available commentary focuses on centralization, proxy/admin risks, and governance, not on recurring design‑level vulnerabilities identified by auditors, so any pattern assessment would be speculative.</t>
  </si>
  <si>
    <t>≤120-word narrative summary for B.1 (architectural complexity, composability and design risk patterns).</t>
  </si>
  <si>
    <t>WLFI’s architecture appears moderately complex and evolving, increasing design and composability risk. The token uses an upgradable proxy pattern with minting capability and limited publicly documented safeguards, creating governance and upgrade‑risk around supply and permissions. WLFI is issued on Ethereum with bridging and liquidity on Solana DEXs, adding cross‑chain contract and bridge‑integration risk. Governance, lockbox/airdrop claim contracts, and proposed staking introduce multiple interacting components whose audits and security assurances are not clearly published. Third‑party analysis has already flagged structural risks around the proxy and supply management, suggesting heightened reliance on centralized or opaque controls versus fully permissionless, ossified token contracts.</t>
  </si>
  <si>
    <t>https://governance.worldlibertyfinancial.com/t/wlfi-staking-proposal/35458; https://blockchain.news/flashnews/wlfi-airdrop-on-ethereum-eth-official-contract-address-0xda5e1988097297dcdc1f90d4dfe7909e847cbef6-spam-alert-and-gas-fee-surge-risk; https://www.reddit.com/r/u_Meta-Face/comments/1n115pf</t>
  </si>
  <si>
    <t>2025-07-24; 2025-08-31; 2025-08-26</t>
  </si>
  <si>
    <t>Summary leans on governance docs, airdrop/claim contract info, Solana pool listings, and an external technical risk review describing WLFI as a proxy with minting and weak safeguards. Some details come from third-party analysis rather than primary code review, so confidence is Medium.</t>
  </si>
  <si>
    <t>To what extent does core protocol functionality depend on cross-chain bridges? Choose: No bridge dependency, Peripheral bridge usage only, Core functionality depends on bridges, Unknown.</t>
  </si>
  <si>
    <t>Peripheral bridge usage only</t>
  </si>
  <si>
    <t>https://worldlibertyfinancial.com/bridge; https://outposts.io/article/world-liberty-financial-enables-cross-chain-wlfi-token-1088f1ba-6077-4cd2-a841-755476051aaf</t>
  </si>
  <si>
    <t>2025-12-17; 2025-09-02</t>
  </si>
  <si>
    <t>Escalate where core protocol functionality depends on bridges with at least medium confidence.</t>
  </si>
  <si>
    <t>WLFI’s core role is as a governance token for World Liberty Financial; core protocol functions (governance, ecosystem utility) do not require cross-chain transfers to operate. Bridges are offered to let users move WLFI and USD1 between supported networks via Chainlink CCIP and the project’s bridge interface, which enhances accessibility and liquidity but is not fundamental for protocol operation.</t>
  </si>
  <si>
    <t>How is the primary bridge implementation characterised in public sources? Choose: Well-established/audited bridge, Custom or mixed-quality bridges, High-risk/unaudited bridge design, Unknown.</t>
  </si>
  <si>
    <t>Well-established/audited bridge</t>
  </si>
  <si>
    <t>https://www.coindesk.com/markets/2025/05/16/world-liberty-s-stablecoin-now-available-on-multiple-networks-through-chainlink-s-interoperability-protocol; https://www.prnewswire.com/news-releases/record-breaking-world-liberty-financial-usd1-stablecoin-unlocks-cross-chain-capabilities-with-chainlink-302458003.html; https://cryptocurrencynewscast.online/world-liberty-financials-usd1-stablecoin-expands-with-chainlink-ccip-for-cross-chain-transfers/</t>
  </si>
  <si>
    <t>2025-05-16; 2025-05-16; 2025-05-16</t>
  </si>
  <si>
    <t>Escalate where the primary bridge is described as high-risk or unaudited with at least medium confidence.</t>
  </si>
  <si>
    <t>Public technical descriptions state that WLFI’s ecosystem (notably the USD1 stablecoin and cross-chain transfers) uses Chainlink’s Cross-Chain Interoperability Protocol (CCIP) for bridging across networks. CCIP is a widely used, security-focused interoperability layer with significant prior adoption and auditing, so the primary bridge design is best classified as a well‑established/audited bridge rather than a bespoke or unaudited custom bridge.</t>
  </si>
  <si>
    <t>How heavily does the protocol rely on cross-chain messaging or external executors? Choose: Minimal reliance, Moderate reliance, Heavy/structural reliance, Unknown.</t>
  </si>
  <si>
    <t>Moderate reliance</t>
  </si>
  <si>
    <t>https://static.worldlibertyfinancial.com/docs/mica-whitepaper.pdf; https://worldlibertyfinancial.com/; https://coincodex.com/article/72469/63-billion-valuation-world-liberty-finances-wlfi-token-now-trading-on-major-crypto-exchanges/</t>
  </si>
  <si>
    <t>2025-10-30; 2025-12-20; 2025-12-20</t>
  </si>
  <si>
    <t>WLFI itself is issued as an ERC‑20 governance token on Ethereum, so its core token and governance logic are Ethereum-native. However, the broader World Liberty Financial protocol is explicitly multi-chain: USD1 operates on multiple networks and the official site offers a native bridge for USD1 and WLFI across Ethereum, BNB Chain, and Solana. This makes cross-chain infrastructure important to user flows but not the sole basis of the token’s state or governance, supporting a “Moderate reliance” classification.</t>
  </si>
  <si>
    <t>≤120-word narrative summary for B.2 (bridge dependency, bridge quality and cross-chain execution risk).</t>
  </si>
  <si>
    <t>WLFI and its USD1 stablecoin are explicitly positioned as multi-chain assets, with official tooling to “bridge $WLFI” and “seamlessly transfer…between integrated networks.” This creates dependency on World Liberty’s own bridge stack plus underlying infrastructure such as Chainlink CCIP for cross-chain messaging. While this can improve liquidity reach, it concentrates risk in the bridge contracts, off‑chain relayers, and upgradeable proxy admin on Ethereum. Any bug, key compromise, or misconfigured deployment across Ethereum, BNB Chain, Solana or related networks could enable theft, desync token supplies, or disrupt governance. No independent, detailed third‑party bridge audits are prominently disclosed, so cross‑chain execution risk should be treated as material.</t>
  </si>
  <si>
    <t>https://worldlibertyfinancial.com/; https://coinmarketcap.com/cmc-ai/world-liberty-financial-wlfi/what-is/; https://etherscan.io/token/0xda5e1988097297dcdc1f90d4dfe7909e847cbef6</t>
  </si>
  <si>
    <t>Answer relies on primary protocol materials describing WLFI/USD1 bridging and multi-chain support, plus on-chain evidence of an upgradeable proxy. I did not find clear, detailed third-party bridge audits or major public bridge incidents, so I infer elevated but not yet realized bridge risk. Limited transparency on bridge design and operational controls lowers confidence to Medium.</t>
  </si>
  <si>
    <t>How broad is the set of privileged functions (upgrade, pause, mint/burn, parameter changes)? Choose: Narrow/well-scoped, Moderate, Broad/high-impact privileged controls, Unknown.</t>
  </si>
  <si>
    <t>Broad/high-impact privileged controls</t>
  </si>
  <si>
    <t>https://etherscan.io/token/0xda5e1988097297dcdc1f90d4dfe7909e847cbef6; https://www.reddit.com/r/u_Meta-Face/comments/1n115pf</t>
  </si>
  <si>
    <t>The WLFI token contract on Ethereum is a TransparentUpgradeableProxy using OpenZeppelin’s ERC1967/ProxyAdmin pattern and Ownable, meaning an admin/owner can upgrade the implementation and thereby change token logic at will. This implies broad, high‑impact control over behavior (including potential mint/burn or new control functions), even if those functions are not currently visible. External analysis also flags the proxy’s ability to mint as a structural risk, reinforcing this assessment.</t>
  </si>
  <si>
    <t>How is any emergency pause or kill-switch implemented? Choose: No pause/kill-switch, Controlled pause with multisig/timelock, Centralised pause/kill with minimal checks, Unknown.</t>
  </si>
  <si>
    <t>https://optimistic.etherscan.io/address/0xdA5e1988097297dCdc1f90D4dFE7909e847CBeF6; https://www.criptonoticias.com/mercados/trump-lanzar-criptomoneda-mercado/; https://meme-insider.com/en/article/wlfi-world-liberty-financial-token-on-ethereum-address-tokenomics-listings-and-risks/</t>
  </si>
  <si>
    <t>2025-09-01; 2025-11-01</t>
  </si>
  <si>
    <t>Escalate where centralised pause/kill can be invoked with minimal checks and at least medium confidence.</t>
  </si>
  <si>
    <t>The address provided (0xda5e…bef6) is shown on Optimism Etherscan as a regular externally owned address, not a token contract, and therefore reveals nothing about WLFI token logic or admin controls. Public write‑ups identify different Ethereum contract addresses for WLFI and do not document pause or kill functions. With conflicting contract references and no verified code linked to the given address, the existence and design of any pause/kill‑switch cannot be determined.</t>
  </si>
  <si>
    <t>B3-N</t>
  </si>
  <si>
    <t>≤120-word narrative summary for B.3 (privileged control surface and emergency mechanisms).</t>
  </si>
  <si>
    <t>WLFI’s ERC-20 token is deployed behind an OpenZeppelin TransparentUpgradeableProxy, giving a ProxyAdmin-controlled admin the power to upgrade the implementation via `upgradeToAndCall`. This introduces a central privileged control surface over core token logic. The underlying implementation uses an Ownable pattern, so an owner address can exercise restricted functions and transfer or renounce ownership; no on-chain timelock or multisig is visible from the contract page. Governance proposals (e.g., unlock schedules, USD1 airdrop) are currently coordinated via an off‑chain forum, with execution dependent on these admin/owner roles rather than binding on‑chain voting, concentrating emergency and upgrade powers in a small set of keys.</t>
  </si>
  <si>
    <t>https://etherscan.io/token/0xda5e1988097297dcdc1f90d4dfe7909e847cbef6; https://governance.worldlibertyfinancial.com/t/token-unlock-agreement-unlock-agreement-will-definitely-be-in-circulation-below-5-billion-as-there-are-some-wlfi-bought-by-bots-wallet-changes-that-will-not-be-eligible-for-unlocking/40302; https://cointelegraph.com/news/world-liberty-financial-plans-airdrop-usd1-wlfi-holders</t>
  </si>
  <si>
    <t>2025-08-26; 2025-05-07</t>
  </si>
  <si>
    <t>Summary is based on verified Etherscan source code showing a TransparentUpgradeableProxy with Ownable and ERC1967 admin storage, plus governance forum/audit-style descriptions of unlock and airdrop processes. Exact admin/owner identities and whether keys are a multisig cannot be confirmed on-chain from public metadata, so I assume concentrated control without visible timelock, driving a Medium confidence rating.</t>
  </si>
  <si>
    <t>C. Operational Security &amp; Key Management</t>
  </si>
  <si>
    <t>Are privileged roles (upgrade keys, governance keys, treasury keys) clearly disclosed in public sources? Choose: Fully disclosed, Partially disclosed, Poorly disclosed/unclear, Unknown.</t>
  </si>
  <si>
    <t>Poorly disclosed/unclear</t>
  </si>
  <si>
    <t>https://etherscan.io/token/0xda5e1988097297dcdc1f90d4dfe7909e847cbef6; https://worldlibertyfinancial.com/governance; https://worldlibertyfinancial.com</t>
  </si>
  <si>
    <t>Escalate where privileged-role disclosure is unclear with at least medium confidence.</t>
  </si>
  <si>
    <t>The WLFI token contract is a TransparentUpgradeableProxy on Ethereum, implying an upgrade admin/ProxyAdmin exists, but Etherscan and other explorers do not clearly label the controlling addresses or multisigs. Public governance materials describe tokenholder voting and general governance flow but do not specify which entities hold upgrade, treasury, or emergency powers. Overall, key role holders are implied rather than explicitly and concretely disclosed.</t>
  </si>
  <si>
    <t>How centralised is control of privileged keys? Choose: Decentralised (multisig/DAO), Moderately centralised, Highly centralised (1–2 individuals), Unknown.</t>
  </si>
  <si>
    <t>Moderately centralised</t>
  </si>
  <si>
    <t>https://etherscan.io/token/0xda5e1988097297dcdc1f90d4dfe7909e847cbef6; https://worldlibertyfinancial.com; https://en.wikipedia.org/wiki/World_Liberty_Financial</t>
  </si>
  <si>
    <t>The WLFI token contract is a TransparentUpgradeableProxy administered via a ProxyAdmin, meaning upgrade and other privileged functions are controlled off‑chain by the project’s designated admin rather than by token holders. Public materials describe WLFI as community‑governed, but there is no on‑chain evidence that the proxy admin is a DAO or publicly disclosed multisig; it appears to be controlled by the issuer organization, implying centralised but not provably single‑person control.</t>
  </si>
  <si>
    <t>What is the scope of privileged functions? Choose: Narrow, Moderate, Broad/high-impact, Unknown.</t>
  </si>
  <si>
    <t>Broad/high-impact</t>
  </si>
  <si>
    <t>Escalate where privileged function scope is broad/high-impact with at least medium confidence.</t>
  </si>
  <si>
    <t>The WLFI token contract on Ethereum is deployed as an OpenZeppelin TransparentUpgradeableProxy controlled via a ProxyAdmin that is in turn Ownable. This architecture gives the admin/owner the ability to upgrade the implementation contract and thus effectively change or add arbitrary token logic in the future, which is a broad, high‑impact privileged capability, even if current implementation functions may be more limited.</t>
  </si>
  <si>
    <t>≤120-word narrative summary for C.1 (privileged roles, centralisation and scope).</t>
  </si>
  <si>
    <t>WLFI on Ethereum is implemented as an upgradeable TransparentUpgradeableProxy, controlled via a ProxyAdmin-style admin, meaning a privileged actor can swap or modify the token implementation and logic. Etherscan shows no renounced ownership and the contract remains upgradeable, implying ongoing centralised control over core token behaviour. Externally, WLFI is positioned as a governance token for World Liberty Financial, with large strategic holdings (e.g. Trump family and major investors like ALT5) that further concentrate influence over protocol decisions, reinforcing a highly centralised governance and control model.</t>
  </si>
  <si>
    <t>https://etherscan.io/token/0xda5e1988097297dcdc1f90d4dfe7909e847cbef6; https://www.reuters.com/technology/trumps-world-liberty-financial-crypto-venture-says-it-will-launch-stablecoin-2025-03-25/; https://www.businesswire.com/news/home/20250812677412/en/ALT5-Sigma-Corporation-Announces-Closing-of-%241.5-Billion-Registered-Direct-Offering-and-Concurrent-Private-Placement-to-Initiate-World-Liberty-Financial-%24WLFI-Treasury-Strategy</t>
  </si>
  <si>
    <t>2025-12-18; 2025-03-25; 2025-08-12</t>
  </si>
  <si>
    <t>Summary infers centralisation from the proxy pattern and lack of renounce plus external reporting that WLFI is a governance token with large insider/strategic holdings. Exact admin identity and full governance mechanics are not fully transparent on-chain, so confidence is medium rather than high.</t>
  </si>
  <si>
    <t>Is a multisig used for privileged actions? Choose: Yes – main control path, Yes – partial control, No multisig, Unknown.</t>
  </si>
  <si>
    <t>Could not parse structured output. Preview: {"id": "resp_0a0334a532f3bd1c00694821c93b5081979b45dc6dd90d7a77", "object": "response", "created_at": 1766334921, "status": "incomplete", "background": false, "billing": {"payer": "developer"}, "completed_at": null, "error": null, "incomple</t>
  </si>
  <si>
    <t>What is the multisig threshold relative to number of signers? Choose: Strong threshold (≥⅔), Moderate threshold (~50%), Weak threshold (&lt;50%), Unknown.</t>
  </si>
  <si>
    <t>Could not parse structured output. Preview: {"id": "resp_0f39ef481842899200694821cba1508194a14e6e7f197d30ae", "object": "response", "created_at": 1766334923, "status": "incomplete", "background": false, "billing": {"payer": "developer"}, "completed_at": null, "error": null, "incomple</t>
  </si>
  <si>
    <t>Are multisig signers publicly known or institutionally verifiable? Choose: Fully transparent, Partial transparency, Opaque/unknown signers, Unknown.</t>
  </si>
  <si>
    <t>Opaque/unknown signers</t>
  </si>
  <si>
    <t>WLFI’s Ethereum token is implemented as an OpenZeppelin TransparentUpgradeableProxy managed via a ProxyAdmin contract, but Etherscan does not label the proxy admin or any associated address as a known multisig or disclose signers. Independent analysis notes tokens being moved into a multisig but highlights a lack of clarity around that wallet and its control structure. There is no public, verifiable list of multisig signers, so governance control appears opaque.</t>
  </si>
  <si>
    <t>≤120-word narrative summary for C.2 (multisig strength and signer transparency).</t>
  </si>
  <si>
    <t>WLFI’s ERC‑20 token is implemented as an OpenZeppelin TransparentUpgradeableProxy, implying an upgradable admin-controlled design rather than immutable code. Etherscan shows the proxy but does not clearly expose or label the proxy admin or its governance setup, limiting visibility into who can upgrade or pause the contract. Public reporting indicates that a WLFI multisig wallet controls roughly 32% of total supply, but the number of signers, threshold, and identities are not disclosed on-chain or in technical docs. Overall, multisig presence for treasury/control is suggested, yet signer structure and accountability are opaque, so multisig strength and transparency appear moderate-to-weak.</t>
  </si>
  <si>
    <t>https://etherscan.io/token/0xdA5e1988097297dCdc1f90d4dFE7909e847CBeF6; https://www.ethnews.com/wlfi-opens-trading-september-1-after-governance-only-phase/</t>
  </si>
  <si>
    <t>2025-08-28</t>
  </si>
  <si>
    <t>Etherscan confirms WLFI is a TransparentUpgradeableProxy but does not surface admin/multisig details. External reporting references a multisig holding ~32% of supply, but there is no clear public data on signer count, thresholds, or identities, so transparency and strength cannot be robustly verified.</t>
  </si>
  <si>
    <t>C3.1</t>
  </si>
  <si>
    <t>Is a timelock used for upgrade or parameter-change operations? Choose: Yes – all critical actions, Yes – some actions, No timelock, Unknown.</t>
  </si>
  <si>
    <t>No timelock</t>
  </si>
  <si>
    <t>https://etherscan.io/token/0xdA5e1988097297dCdc1f90D4dFE7909e847CBeF6; https://etherscan.io/address/0xdA5e1988097297dCdc1f90D4dFE7909e847CBeF6#code; https://www.reddit.com/r/u_Meta-Face/comments/1n115pf</t>
  </si>
  <si>
    <t>Escalate where no timelock is used for critical privileged actions with at least medium confidence.</t>
  </si>
  <si>
    <t>The WLFI ERC‑20 on Ethereum is implemented as an OpenZeppelin TransparentUpgradeableProxy, meaning upgrades and critical parameter changes are controlled via an external ProxyAdmin/owner, not a built‑in timelock. Public materials and an independent contract review describe it as an upgradable proxy with minting ability and “no safeguards preventing abuse,” with no evidence of a separate on‑chain timelock controller managing upgrades or parameter changes. Accordingly, we assess no effective timelock is in use for critical operations.</t>
  </si>
  <si>
    <t>C3.2</t>
  </si>
  <si>
    <t>If timelocks exist, how long are they? Choose: Adequate duration (≥24h), Short duration (&lt;24h), No timelock or irrelevant, Unknown.</t>
  </si>
  <si>
    <t>Adequate duration (≥24h)</t>
  </si>
  <si>
    <t>https://web3.bitget.com/en/academy/wlfi-token-unlock-schedule-key-dates-vesting-periods-and-price-impact; https://crypto.news/world-liberty-financial-unlock-tokens-sept-1-2025; https://governance.worldlibertyfinancial.com/t/token-unlock-agreement-unlock-agreement-will-definitely-be-in-circulation-below-5-billion-as-there-are-some-wlfi-bought-by-bots-wallet-changes-that-will-not-be-eligible-for-unlocking/40302</t>
  </si>
  <si>
    <t>2025-12-18; 2025-09-01; 2025-08-26</t>
  </si>
  <si>
    <t>WLFI uses a Lockbox and vesting-based unlock schedule: only 20% of presale allocations unlocked on Sept. 1, 2025, with the remaining 80% remaining locked subject to future governance votes. External analyses describe multi‑month/ multi‑year vesting windows for core team, investors, and other allocations (12–36 months). These mechanisms represent lockups/timelocks far longer than 24 hours, though exact admin‑key timelocks are not clearly disclosed.</t>
  </si>
  <si>
    <t>C3-N</t>
  </si>
  <si>
    <t>≤120-word narrative summary for C.3 (timelock design and change-control protections).</t>
  </si>
  <si>
    <t>Public documentation indicates that WLF protocol control is centralized in one or more admin multisigs designated by World Liberty Financial, not by an on‑chain timelock. Governance FAQs state that during “material adverse events” or “security risks,” protocol governance is fully controlled by a security multisig, which may update the protocol until normal operations resume. WLFI holder votes are largely advisory and World Liberty is not strictly bound by them. Independent technical commentary notes proxy-style patterns and admin management functions, implying that core parameters and even logic could be changed quickly by the controlling multisig, with no disclosed enforced delay, creating elevated change‑control and governance‑capture risk.</t>
  </si>
  <si>
    <t>https://www.mexc.com/news/80818; https://www.odaily.news/en/newsflash/445830; https://meme-insider.com/en/article/wlfi-world-liberty-financial-token-on-ethereum-address-tokenomics-listings-and-risks/</t>
  </si>
  <si>
    <t>2025-11-25; 2025-08-30; 2025-10-15</t>
  </si>
  <si>
    <t>Sources describe governance as multisig-controlled with emergency override and advisory token voting, but do not document any enforced timelock on upgrades. Commentaries flag proxy/admin patterns. Absence of explicit timelock details and closed-source governance contracts lowers confidence, but the centralized multisig model and emergency powers are clearly stated.</t>
  </si>
  <si>
    <t>C4.1</t>
  </si>
  <si>
    <t>How are privileged keys custodied according to public sources? Choose: Institutional or HSM custody, Mixed model, Personal custody (individuals), Unknown.</t>
  </si>
  <si>
    <t>https://en.wikipedia.org/wiki/World_Liberty_Financial; https://etherscan.io/address/0xda5e1988097297dcdc1f90d4dfe7909e847cbef6; https://worldlibertyfinancial.com</t>
  </si>
  <si>
    <t>2025-09-01</t>
  </si>
  <si>
    <t>Escalate where privileged keys are held in personal custody with at least medium confidence.</t>
  </si>
  <si>
    <t>Public materials for WLFI (whitepaper-style overviews, token sale pages, and major press coverage) describe governance, ownership, and token economics but do not disclose how smart‑contract admin or upgrade keys are stored (e.g., HSM, institutional custodian vs. individual wallets). Etherscan shows the token contract and creator but no statement about key custody practices. Therefore the custody model of privileged keys must be treated as Unknown.</t>
  </si>
  <si>
    <t>C4.2</t>
  </si>
  <si>
    <t>Are there credible historical reports of key compromise relating to the project? Choose: No incidents, Minor incident fully resolved, Significant compromise, Unknown.</t>
  </si>
  <si>
    <t>Significant compromise</t>
  </si>
  <si>
    <t>https://cointelegraph.com/news/wlfi-hack-attempts-blacklisting-token-launch; https://governance.worldlibertyfinancial.com/t/victims-of-wlfi-compromise-join-our-community/50121; https://crypto.news/world-liberty-financial-wlfi-wallet-breach-2025/</t>
  </si>
  <si>
    <t>2025-09-03; 2025-09-24; 2025-11-19</t>
  </si>
  <si>
    <t>Escalate where significant key compromise has occurred with at least medium confidence.</t>
  </si>
  <si>
    <t>There are multiple credible reports of WLFI-related wallet/key compromise. Cointelegraph and other outlets describe hacking attempts and compromised end-user wallets around token launch, with WLFI using onchain blacklisting of affected addresses. The project later executed a recovery plan that burned and reallocated over 160M+ WLFI from compromised wallets, and community forums host threads for “victims of WLFI compromise.” These are large-scale incidents, not a minor, isolated case.</t>
  </si>
  <si>
    <t>C4.3</t>
  </si>
  <si>
    <t>How mature is the project’s incident response process? Choose: Mature documented process, Partial process, Minimal or ad-hoc, Unknown.</t>
  </si>
  <si>
    <t>Partial process</t>
  </si>
  <si>
    <t>https://coincentral.com/wlfi-responds-to-security-breach-freezes-272-wallets-affected/; https://defi-planet.com/2025/11/wlfi-faces-security-breach-leading-to-22m-token-burn-and-wallet-freezes/; https://governance.worldlibertyfinancial.com/t/protect-yourself-from-wlfi-scams/30146</t>
  </si>
  <si>
    <t>2025-11-19; 2025-11-20; 2025-07-07</t>
  </si>
  <si>
    <t>WLFI has demonstrated an ability to respond to incidents with multiple coordinated actions: freezing 272 compromised wallets, deploying emergency smart‑contract logic to burn and reallocate ~166.7M WLFI, and routing affected users through a KYC-based recovery flow via its help center. The team has also issued repeated scam and phishing warnings through its governance forum and official channels. However, there is no publicly available, formal incident response policy or framework, so maturity appears only partial rather than fully documented and institutionalized.</t>
  </si>
  <si>
    <t>C4-N</t>
  </si>
  <si>
    <t>≤120-word narrative summary for C.4 (key custody, compromise history and incident response).</t>
  </si>
  <si>
    <t>WLFI employs centrally controlled smart contracts with onchain blacklisting and emergency functions that can freeze and reallocate tokens. In 2025, large-scale phishing and seed‑phrase compromises (including an EIP‑7702–linked exploit) exposed user wallets and reportedly led to hundreds of millions of dollars in WLFI at risk or stolen. In response, the team froze affected wallets, required KYC for recovery, and executed an emergency burn of about 166.7M WLFI (~$22M) from compromised addresses before reissuing tokens to verified wallets via new contract logic. The project maintains that core protocol code was not directly exploited, but user and third‑party security failures remain a material risk.</t>
  </si>
  <si>
    <t>https://www.gate.com/tr/crypto-wiki/article/how-did-the-wlfi-security-breach-lead-to-22-million-in-token-burns-20251125; https://www.bitget.com/news/detail/12560605074433; https://www.gate.com/crypto-wiki/article/what-are-the-security-risks-and-vulnerabilities-of-wlfi-s-smart-contracts</t>
  </si>
  <si>
    <t>2025-11-25</t>
  </si>
  <si>
    <t>Sources consistently report user-wallet compromises tied to phishing and EIP‑7702, WLFI’s use of admin controls to blacklist/freeze wallets, and an emergency burn-and-reallocate of ~166.7M WLFI. This directly supports statements on custody design, compromise history, and incident response. Some dollar figures and total loss estimates vary, but overall picture is clear, so confidence is high.</t>
  </si>
  <si>
    <t>D. Network Security &amp; Consensus Integrity</t>
  </si>
  <si>
    <t>What type of network does the protocol rely on? Choose: Layer-1, Layer-2 (Rollup), App-chain/Subnet, Sidechain, Unknown.</t>
  </si>
  <si>
    <t>Layer-1</t>
  </si>
  <si>
    <t>https://worldlibertyfinancial.com; https://meme-insider.com/en/article/wlfi-world-liberty-financial-on-bnb-chain-official-addresses-tokenomics-and-how-to-trade-safely; https://www.criptonoticias.com/mercados/trump-lanzar-criptomoneda-mercado/</t>
  </si>
  <si>
    <t>2025-12-21; 2025-11-15; 2025-09-15</t>
  </si>
  <si>
    <t>World Liberty Financial’s WLFI token is deployed as a standard token on general-purpose base-layer networks (Ethereum ERC‑20, BNB Chain BEP‑20, Solana SPL), not on its own rollup, app-chain, or sidechain. Therefore, the protocol relies on Layer‑1 networks for settlement and security.</t>
  </si>
  <si>
    <t>How is the underlying chain’s security reputation described in credible public sources? (Answer with one of: "High - robust history", "Moderate", "Low or repeated issues", or "Unknown".)</t>
  </si>
  <si>
    <t>High - robust history</t>
  </si>
  <si>
    <t>https://coinedition.com/robust-security-has-sustained-network-stability-amid-volatility-buterin/; https://www.forbes.com/sites/lawrencewintermeyer/2025/08/07/ethereum-is-10-years-old-as-the-sec-chair-heralds-defi-as-the-future-of-finance/; https://bitcoinist.com/10-years-of-ethereum-key-milestones-in-security-and-adoption/</t>
  </si>
  <si>
    <t>2025-08-01; 2025-08-07</t>
  </si>
  <si>
    <t>Escalate where the underlying chain has low security reputation or repeated issues with at least medium confidence.</t>
  </si>
  <si>
    <t>The WLFI contract address corresponds to Ethereum mainnet. Ethereum is widely regarded as a highly secure base layer, with ~10 years of operation, no successful 51% attacks or double-spends on mainnet, and continuous uptime through multiple major upgrades. Credible sources highlight Ethereum’s robust security, decentralization, and role as institutional-grade infrastructure, supporting a “High - robust history” rating for the underlying chain.</t>
  </si>
  <si>
    <t>Is there any credible chain-level audit, formal verification or security analysis? Choose: Yes – formal/high quality audit, Yes – limited audit, No audit, Unknown.</t>
  </si>
  <si>
    <t>Yes – limited audit</t>
  </si>
  <si>
    <t>https://hashex.org/auto-audits/solana/3KNBseJLzgSmsHrQtv2zSpKdGntFCREgPPLVQ6Q62PYD; https://en.wikipedia.org/wiki/World_Liberty_Financial</t>
  </si>
  <si>
    <t>2025-05-20; 2025-11-24</t>
  </si>
  <si>
    <t>There is an automated, computer-assisted security review of the WLFI Solana token by HashEx, providing an AI-generated “auto-audit” with a security score and basic checks on minting, freezing, and distribution risks. This is not a full, manual smart contract audit or formal verification by a top-tier firm, so it qualifies as a limited audit rather than a high-quality formal audit.</t>
  </si>
  <si>
    <t>≤120-word narrative summary for D.1 (base network security characteristics).</t>
  </si>
  <si>
    <t>WLFI’s primary contract 0xda5e…bef6 is deployed on Ethereum mainnet, inheriting Ethereum’s base security model. Ethereum uses a proof-of-stake consensus with a large, globally distributed validator set and slashing for misbehavior, providing strong resistance to chain reorgs and 51% attacks under normal conditions. Security benefits include mature tooling, extensive historical battle‑testing, and high economic security from large staked value. Key residual risks are Ethereum-wide: MEV, temporary congestion and fee spikes, smart‑contract vulnerabilities at the application layer, and dependence on client software diversity and validator decentralization for long‑term robustness.</t>
  </si>
  <si>
    <t>https://etherscan.io/address/0xda5e1988097297dcdc1f90d4dfe7909e847cbef6; https://ethereum.org/en/developers/docs/consensus-mechanisms/pos</t>
  </si>
  <si>
    <t>Summary ties this WLFI contract to Ethereum mainnet and then concisely describes Ethereum’s consensus, decentralization, and systemic risks. These points are well supported by primary sources on Ethereum’s design and by the Etherscan listing confirming WLFI’s deployment network.</t>
  </si>
  <si>
    <t>How concentrated is the validator or sequencer set? Choose: Low concentration (top 5 &lt;25%), Moderate (25–50%), High concentration (top 5 &gt;50%), Unknown.</t>
  </si>
  <si>
    <t>High concentration (top 5 &gt;50%)</t>
  </si>
  <si>
    <t>https://etherscan.io/token/0xda5e1988097297dcdc1f90d4dfe7909e847cbef6; https://dune.com/hildobby/eth2-staking</t>
  </si>
  <si>
    <t>2025-10-01</t>
  </si>
  <si>
    <t>Escalate where validator/sequencer power is highly concentrated with at least medium confidence.</t>
  </si>
  <si>
    <t>WLFI appears to be an ERC‑20 token on Ethereum. Ethereum’s economic security is provided by its validator set, which is significantly concentrated among the largest operators: recent validator distribution data shows that the top few staking entities (e.g., Lido and major exchanges) together control well over 50% of staked ETH. Thus the effective validator set concentration for WLFI’s base chain is best classified as High concentration (top 5 &gt;50%).</t>
  </si>
  <si>
    <t>Have there been credible reports of validator or sequencer censorship (e.g., OFAC filtering)? Choose: No censorship reported, Minor/isolated incidents, Documented or sustained censorship, Unknown.</t>
  </si>
  <si>
    <t>Minor/isolated incidents</t>
  </si>
  <si>
    <t>https://www.coindesk.com/tech/2025/09/04/world-liberty-financial-blacklists-justin-sun-s-address-with-usd107m-wlfi/; https://www.cointeeth.com/news/price-manipulation-allegations-lead-wlfi-to-freeze-272-wallets-stirring</t>
  </si>
  <si>
    <t>2025-09-04; 2025-09-06</t>
  </si>
  <si>
    <t>Escalate where censorship is documented and confidence is at least medium.</t>
  </si>
  <si>
    <t>There is no evidence that Ethereum/Solana validators or any L2 sequencers are systematically censoring WLFI transactions for OFAC-style reasons. However, World Liberty Financial has exercised contract-level control to blacklist specific addresses: Justin Sun’s wallet holding ~595M WLFI was blocked from transferring tokens, and reports indicate hundreds of wallets were frozen over alleged price manipulation. These are targeted, issuer-driven actions rather than chain-level censorship, so classified as minor/isolated incidents.</t>
  </si>
  <si>
    <t>How reliable is the validator/sequencer set based on public uptime data? Choose: High reliability, Moderate, Low reliability or repeated liveness failures, Unknown.</t>
  </si>
  <si>
    <t>https://en.wikipedia.org/wiki/World_Liberty_Financial; https://www.criptonoticias.com/mercados/trump-lanzar-criptomoneda-mercado/; https://blockchain.news/flashnews/wlfi-airdrop-on-ethereum-eth-official-contract-address-0xda5e1988097297dcdc1f90d4dfe7909e847cbef6-spam-alert-and-gas-fee-surge-risk</t>
  </si>
  <si>
    <t>2025-09-01; 2025-09-02; 2025-08-31</t>
  </si>
  <si>
    <t>WLFI is an ERC-20/SPL-style token deployed on existing networks like Ethereum and Solana, not its own L1/L2 with a distinct validator or sequencer set. Public data describes WLFI’s contracts and tokenomics but does not expose any separate WLFI-operated consensus or sequencer infrastructure, nor network-specific uptime metrics. As a result, there is no project-specific validator/sequencer reliability data to assess, so reliability must be treated as Unknown.</t>
  </si>
  <si>
    <t>≤120-word narrative summary for D.2 (validator/sequencer decentralisation, censorship and reliability).</t>
  </si>
  <si>
    <t>WLFI does not run its own validators or sequencers; it is an ERC‑20 token on Ethereum and uses bridges to other networks, so it inherits the decentralisation and censorship‑resistance properties of those underlying L1s. Ethereum’s large, geographically distributed validator set and mature client ecosystem provide strong liveness and reliability guarantees. However, cross‑chain operations and bridging add smart‑contract and operational risk, and outages or censorship on any supported chain could affect WLFI transfers there. WLFI’s regulated, KYC‑gated front end can restrict access at the application layer, but on-chain token transfers remain permissionless wherever the token is deployed.</t>
  </si>
  <si>
    <t>https://coinmarketcap.com/currencies/world-liberty-financial-wlfi/; https://worldlibertyfinancial.com/; https://coinmarketcap.com/currencies/world-liberty-financial-wlfi/</t>
  </si>
  <si>
    <t>2025-12-20; 2025-12-18; 2025-12-20</t>
  </si>
  <si>
    <t>Public data show WLFI as an ERC‑20 on Ethereum with bridging to other chains; it does not maintain its own validator set and thus inherits base‑layer properties. This supports a high‑confidence, protocol‑level assessment while noting added bridge and app‑layer risks.</t>
  </si>
  <si>
    <t>D3.1</t>
  </si>
  <si>
    <t>How significant is MEV exploitation risk on the underlying network? Choose: Low MEV exposure, Moderate exposure, High MEV exposure, Unknown.</t>
  </si>
  <si>
    <t>High MEV exposure</t>
  </si>
  <si>
    <t>https://coincolahelp.zendesk.com/hc/en-us/articles/50292893467673; https://writings.flashbots.net/quantifying-mev; https://docs.flashbots.net/flashbots-mev-boost/introduction</t>
  </si>
  <si>
    <t>2025-09-03; 2021-03-01; 2023-08-01</t>
  </si>
  <si>
    <t>WLFI’s primary contract is on Ethereum mainnet (ERC‑20). Ethereum is the canonical high‑MEV environment, with extensive documented arbitrage, liquidation and sandwich activity and a mature MEV-Boost builder/relay market that explicitly maximizes MEV extraction. As a result, any ERC‑20 on Ethereum, including WLFI, faces structurally high MEV exploitation risk at the network level.</t>
  </si>
  <si>
    <t>D3.2</t>
  </si>
  <si>
    <t>How strong are the chain’s finality guarantees? Choose: Strong finality, Moderate finality, Weak finality/rollback risk, Unknown.</t>
  </si>
  <si>
    <t>Strong finality</t>
  </si>
  <si>
    <t>https://etherscan.io/token/0xda5e1988097297dcdc1f90d4dfe7909e847cbef6; https://ethereum.org/developers/docs/consensus-mechanisms/pos/; https://ethereum.org/developers/docs/consensus-mechanisms/pos/faqs/</t>
  </si>
  <si>
    <t>Escalate where weak finality creates material rollback/reorg risk with at least medium confidence.</t>
  </si>
  <si>
    <t>WLFI is an ERC‑20 token deployed on Ethereum mainnet, so its transaction finality is determined by Ethereum’s proof‑of‑stake consensus. Ethereum implements crypto‑economic finality via Casper FFG checkpoints: once a block is finalized, reverting it would require burning at least one‑third of all staked ETH, making rollbacks of finalized blocks economically infeasible. This gives WLFI strong finality guarantees when relying on finalized Ethereum blocks.</t>
  </si>
  <si>
    <t>D3.3</t>
  </si>
  <si>
    <t>Have there been credible historical chain reorg or rollback events? Choose: No reorgs, Minor reorgs, Major or repeated reorgs, Unknown.</t>
  </si>
  <si>
    <t>Minor reorgs</t>
  </si>
  <si>
    <t>https://etherscan.io/token/0xda5e1988097297dcdc1f90d4dfe7909e847cbef6; https://ethereum.org/en/developers/docs/consensus-mechanisms/pos</t>
  </si>
  <si>
    <t>2024-01-15</t>
  </si>
  <si>
    <t>Escalate where major or repeated reorgs are documented with at least medium confidence.</t>
  </si>
  <si>
    <t>WLFI appears to be an ERC-20-style token on Ethereum (contract 0xda5e...bef6). Ethereum mainnet has experienced occasional short chain reorganizations (typically 1–2 blocks) as part of normal network operation, but no credible full rollback or major sustained reorg impacting ERC-20 tokens like WLFI. Therefore, the appropriate classification is that only minor, routine reorgs have occurred on the underlying chain, not major or repeated rollbacks.</t>
  </si>
  <si>
    <t>D3-N</t>
  </si>
  <si>
    <t>≤120-word narrative summary for D.3 (MEV exposure, finality guarantees and reorg history).</t>
  </si>
  <si>
    <t>WLFI is an ERC-20 token on Ethereum mainnet, so its MEV and finality profile are those of Ethereum rather than any WLFI-specific mechanism. As with other ERC-20s, WLFI trades on DEXs and can be affected by sandwiching, arbitrage and other MEV strategies in the public mempool and MEV-Boost builder market. Ethereum’s PoS Gasper consensus provides probabilistic finality over multiple epochs; post-Merge, deep reorgs are rare but possible before finalization. There is no evidence of WLFI-specific MEV mitigations or custom finality logic.</t>
  </si>
  <si>
    <t>https://www.bitget.com/wiki/wlfi-token-0xda5e1988097297dcdc1f90d4dfe7909e847cbef6-news; https://docs.flashbots.net/flashbots-mev-boost/introduction; https://arxiv.org/abs/2411.00558</t>
  </si>
  <si>
    <t>2024-06-01; 2024-05-01; 2024-11-01</t>
  </si>
  <si>
    <t>Public sources confirm WLFI is an ERC-20 on Ethereum, implying it inherits Ethereum’s MEV and finality characteristics. Flashbots and research literature describe Ethereum’s PoS+MEV-Boost environment and Gasper’s multi-epoch finality, with residual reorg risk pre-finalization. I find no project documentation indicating WLFI adds custom consensus, slashing, or MEV-protection layers, so assessment is at the underlying-chain level. Medium confidence reflects reliance on general Ethereum properties plus absence (not proof) of WLFI-specific mitigations.</t>
  </si>
  <si>
    <t>D4.1</t>
  </si>
  <si>
    <t>Have there been historical consensus failures (chain halts, partition events)? Choose: No failures, Minor/short-lived event, Major or repeated failures, Unknown.</t>
  </si>
  <si>
    <t>No failures</t>
  </si>
  <si>
    <t>https://etherscan.io/token/0xda5e1988097297dcdc1f90d4dfe7909e847cbef6; https://ethereum.org/en/developers/docs/intro-to-ethereum/</t>
  </si>
  <si>
    <t>WLFI appears to be an ERC‑20–style token on Ethereum. Historical consensus or chain‑halt risk is therefore primarily tied to Ethereum mainnet, which has operated without major, prolonged consensus failures or repeated chain halts in recent years. Known past incidents (e.g., 2016 DAO-related fork) are legacy and not indicative of ongoing instability. No WLFI‑specific consensus or partition events were identified.</t>
  </si>
  <si>
    <t>D4.2</t>
  </si>
  <si>
    <t>Have there been credible chain-level security breaches (e.g., exploited consensus bug, native token compromise)? Choose: No breaches, Minor issue fully resolved, Significant breach, Unknown.</t>
  </si>
  <si>
    <t>No breaches</t>
  </si>
  <si>
    <t>https://crypto.news/world-liberty-financial-wlfi-wallet-breach-2025/; https://www.rootdata.com/news/432296; https://defi-planet.com/2025/11/wlfi-faces-security-breach-leading-to-22m-token-burn-and-wallet-freezes/</t>
  </si>
  <si>
    <t>2025-11-19; 2025-11-20; 2025-11-20</t>
  </si>
  <si>
    <t>Available evidence points to serious wallet-level compromises and phishing/EIP‑7702–related attacks affecting some WLFI holders, leading WLFI to freeze 272 wallets and later burn/reallocate ~166.7M WLFI. However, reports explicitly state the incident stemmed from third‑party phishing and leaked keys, not from vulnerabilities in WLFI’s own contracts or a consensus/native-token failure on the underlying chains. Thus, no credible chain-level breach of WLFI itself is documented.</t>
  </si>
  <si>
    <t>D4.3</t>
  </si>
  <si>
    <t>Combined escalation for chain-level failures: Escalate where both (a) major consensus failures or major reorgs and (b) a significant chain-level breach are documented with medium/high confidence.</t>
  </si>
  <si>
    <t>https://etherscan.io/token/0xda5e1988097297dcdc1f90d4dfe7909e847cbef6; https://ethereum.org/en/history/#dao-fork</t>
  </si>
  <si>
    <t>2016-07-20</t>
  </si>
  <si>
    <t>Escalate only where major consensus/reorg failures and a significant chain-level breach are both documented with at least medium confidence.</t>
  </si>
  <si>
    <t>WLFI appears to be an ERC‑20-style token on Ethereum. Ethereum mainnet has not experienced a combination of (a) major consensus failures or major reorgs and (b) a confirmed significant chain‑level breach such as a successful 51% attack or protocol‑level exploit resulting in systemic loss. Past incidents like the 2016 DAO event stemmed from contract-level vulnerabilities rather than a failure of Ethereum’s core consensus or a chain takeover, so the combined escalation condition is not met.</t>
  </si>
  <si>
    <t>D4-N</t>
  </si>
  <si>
    <t>≤120-word narrative summary for D.4 (historical consensus failures and chain-level breaches).</t>
  </si>
  <si>
    <t>WLFI is issued on established L1s (primarily Ethereum, with deployment and liquidity on Solana and other EVM chains), so its consensus and chain‑level security largely depend on those base networks. Public reporting to date focuses on token sales, listings, and market volatility; there are no documented consensus failures or chain‑level compromises specifically targeting WLFI contracts or the associated USD1 infrastructure as of December 2025. Reported user losses have related instead to phishing and wallet‑level exploits, not to protocol- or chain‑level breaches.</t>
  </si>
  <si>
    <t>https://en.wikipedia.org/wiki/World_Liberty_Financial; https://etherscan.io/token/0xdA5e1988097297dCdc1f90D4dFE7909e847CBeF6; https://www.reddit.com/r/u_ksalab/comments/1n6kezs</t>
  </si>
  <si>
    <t>2025-11-24; 2025-09-02</t>
  </si>
  <si>
    <t>Available sources describe WLFI’s launches, tokenomics, and networks (Ethereum/Solana), but do not report any consensus failures or chain-level exploits specific to WLFI. Some wallet-drain incidents appear phishing-related, not protocol compromises. Given reliance on major L1s and absence of contrary evidence, we infer no historical WLFI-specific chain-level breaches, but classify confidence as Medium due to the project’s recency and evolving attack surface.</t>
  </si>
  <si>
    <t>E. Protocol-Level Resilience &amp; Infrastructure Security</t>
  </si>
  <si>
    <t>How diversified are the RPC endpoints the protocol relies on? Choose: Highly diversified (multiple providers), Moderately diversified, Single provider dependency, Unknown.</t>
  </si>
  <si>
    <t>Publicly available documentation and reporting on World Liberty Financial and the WLFI token focus on governance, token sales, trading and stablecoin USD1, but do not describe what RPC or node providers are used by the protocol, or how infrastructure is diversified across providers. In the absence of explicit technical information, the level of RPC endpoint diversification cannot be determined with confidence.</t>
  </si>
  <si>
    <t>Based on credible public sources, how reliable have RPC endpoints been historically? Choose: High reliability, Moderate reliability, Repeated outages/instability, Unknown.</t>
  </si>
  <si>
    <t>Moderate reliability</t>
  </si>
  <si>
    <t>https://consensys.net/blog/news/infura-incident-november-11-2020; https://status.infura.io; https://status.solana.com</t>
  </si>
  <si>
    <t>2020-11-20</t>
  </si>
  <si>
    <t>Public blockchain RPC and node infrastructure have generally been reliable but with notable historical outages and performance degradation. Major providers like Infura and Alchemy report high normal uptime, yet there have been well‑documented incidents where Infura outages disrupted Ethereum applications and exchanges, and Solana RPC/node instability has affected transaction submission. This mixed record supports a characterization of moderate, not consistently high, reliability.</t>
  </si>
  <si>
    <t>Is the protocol’s infrastructure decentralised (community nodes/public endpoints) or centralised (project-hosted)? Choose: Decentralised, Partially decentralised, Centralised infra, Unknown.</t>
  </si>
  <si>
    <t>https://support.poloniex.com/hc/en-us/articles/34393177913495-New-Listing-World-Liberty-Financial-WLFI; https://worldlibertyfinancial.com/unlock</t>
  </si>
  <si>
    <t>2025-08-23</t>
  </si>
  <si>
    <t>Escalate where infrastructure is centralised with at least medium confidence.</t>
  </si>
  <si>
    <t>WLFI is an ERC‑20 token on Ethereum with web-based unlock and governance processes, but there is no clear public documentation describing the protocol’s own infrastructure (e.g., whether RPC endpoints, indexers, or backend services are run centrally by the team or via community nodes). Given the lack of explicit technical architecture details, the decentralisation of the protocol’s infra cannot be determined confidently.</t>
  </si>
  <si>
    <t>≤120-word narrative summary for E.1 (RPC provider diversity, reliability and infra decentralisation).</t>
  </si>
  <si>
    <t>WLFI is an ERC‑20 token on Ethereum, inheriting Ethereum’s relatively decentralized validator set and broad node/RPC ecosystem. Users can access the token via any standard Ethereum RPC (self‑run nodes, institutional providers like Infura/Alchemy, or public gateways), so there’s no clear protocol‑level lock‑in to a single RPC vendor. However, WLFI distribution and governance currently depend heavily on centralized web front‑ends (claim/unlock and governance sites), which introduce infra centralization and availability risk if these domains, back‑end services, or their chosen RPC providers fail or censor. No detailed public documentation describes WLFI operating dedicated decentralized RPC infrastructure beyond what Ethereum already offers.</t>
  </si>
  <si>
    <t>https://www.criptonoticias.com/mercados/trump-lanzar-criptomoneda-mercado/; https://etherscan.io/address/0xdA5e1988097297dCdc1f90D4dFE7909e847CBeF6; https://worldlibertyfinancial.com</t>
  </si>
  <si>
    <t>2025-09-02</t>
  </si>
  <si>
    <t>Etherscan and independent reporting confirm WLFI is an ERC‑20 on Ethereum at the specified contract, implying reliance on Ethereum’s generalized, multi‑provider RPC landscape, while project sites show centralized web front‑ends with no evidence of bespoke decentralized infra. Public details on specific RPC vendors are limited, so assessment is partly inferential.</t>
  </si>
  <si>
    <t>How diversified is the node client ecosystem? Choose: High diversity (multiple clients), Moderate diversity, Single dominant client (&gt;90%), Unknown.</t>
  </si>
  <si>
    <t>Moderate diversity</t>
  </si>
  <si>
    <t>https://etherscan.io/token/0xda5e1988097297dcdc1f90d4dfe7909e847cbef6; https://clientdiversity.org</t>
  </si>
  <si>
    <t>WLFI is an ERC‑20 token on Ethereum, so node client diversity is that of Ethereum mainnet. Ethereum’s execution layer is dominated by Geth but also uses Nethermind, Erigon and Besu; consensus clients include Prysm, Lighthouse, Teku and Nimbus. This multi‑client ecosystem avoids a &gt;90% single‑client monopoly but still shows notable concentration, so overall diversification is best characterized as moderate rather than highly balanced.</t>
  </si>
  <si>
    <t>How actively maintained are the main node clients? Choose: Actively maintained, Moderately maintained, Poorly maintained/infrequent updates, Unknown.</t>
  </si>
  <si>
    <t>Actively maintained</t>
  </si>
  <si>
    <t>https://etherscan.io/token/0xda5e1988097297dcdc1f90d4dfe7909e847cbef6; https://github.com/ethereum/go-ethereum; https://github.com/NethermindEth/nethermind</t>
  </si>
  <si>
    <t>WLFI appears to be an ERC‑20-style token on Ethereum (contract address format and context). Its node operation therefore relies on Ethereum’s main clients (e.g., Geth, Nethermind, Besu, Erigon), which are under continuous active development with frequent commits and releases. There is no evidence of a separate bespoke consensus client for WLFI, so its security and maintenance track those actively maintained Ethereum clients.</t>
  </si>
  <si>
    <t>Have audits or technical reviews identified major runtime-level vulnerabilities in node clients? Choose: No significant issues, Some minor issues, Major or recurring client bugs, Unknown.</t>
  </si>
  <si>
    <t>https://en.wikipedia.org/wiki/World_Liberty_Financial; https://coinmarketcap.com/currencies/world-liberty-financial-wlfi/</t>
  </si>
  <si>
    <t>2025-11-15</t>
  </si>
  <si>
    <t>Escalate where major or recurring client bugs are documented with at least medium confidence.</t>
  </si>
  <si>
    <t>Publicly available information on WLFI focuses on the token, its role as governance for the World Liberty Financial protocol, and its association with the USD1 stablecoin across Ethereum, BNB Smart Chain, and Solana. I could not locate any formal client software documentation, node implementations, or audit reports that specifically assess runtime-level vulnerabilities in WLFI-related node clients. In the absence of clear evidence, the status of such vulnerabilities must be treated as unknown.</t>
  </si>
  <si>
    <t>≤120-word narrative summary for E.2 (client diversity, maintenance and node software risk).</t>
  </si>
  <si>
    <t>WLFI is primarily an ERC‑20 governance token on Ethereum, with bridged representations across other networks alongside the USD1 stablecoin (e.g., BNB Chain, Solana, Tron). The protocol relies on the standard node and client stacks of these underlying L1s (e.g., mainstream Ethereum and Solana validator clients) rather than bespoke node software, limiting project‑specific implementation risk but inheriting upstream client vulnerabilities and consensus incidents. Client diversity is therefore only as strong as that of the host chains, and cross‑chain bridges add operational and monitoring dependencies for WLFI liquidity and governance flows.</t>
  </si>
  <si>
    <t>https://en.wikipedia.org/wiki/World_Liberty_Financial; https://coinmarketcap.com/currencies/world-liberty-financial-wlfi/; https://coincodex.com/article/72469/63-billion-valuation-world-liberty-finances-wlfi-token-now-trading-on-major-crypto-exchanges/</t>
  </si>
  <si>
    <t>Summary is inferred from documented multi‑chain deployments and use of standard Ethereum/Solana environments; exact client breakdown is not disclosed, so I treat client diversity as dependent on underlying L1 ecosystems and bridges rather than WLFI‑specific software.</t>
  </si>
  <si>
    <t>Are there credible sources describing DDoS resilience of the protocol/network? Choose: Strong resilience, Moderate resilience, Weak or unprotected, Unknown.</t>
  </si>
  <si>
    <t>https://coinmarketcap.com/currencies/world-liberty-financial-wlfi/; https://worldlibertyfinancial.com/</t>
  </si>
  <si>
    <t>WLFI runs primarily as an ERC‑20 token on Ethereum and other major chains, but available public materials focus on token economics, governance and recent wallet compromise responses, not on network- or protocol-level DDoS resilience. No credible documentation or audits were found that specifically analyze WLFI’s own DDoS resistance, beyond whatever generic protections the underlying L1 networks provide, so DDoS resilience must be treated as Unknown.</t>
  </si>
  <si>
    <t>Does the project or chain operate any public monitoring, anomaly detection or incident alerting? Choose: Comprehensive monitoring, Partial monitoring, Limited or no monitoring, Unknown.</t>
  </si>
  <si>
    <t>Partial monitoring</t>
  </si>
  <si>
    <t>https://officialwlfi.org/; https://worldlibertyfinancial.com/usd1; https://www.bitgo.com/usd1/attestations</t>
  </si>
  <si>
    <t>2025-12-17; 2025-12-16; 2025-12-21</t>
  </si>
  <si>
    <t>World Liberty Financial does not appear to operate a public incident/status dashboard or real-time alerting service. However, its WLFI unlock portal notes that wallet address monitoring runs in the background as a security measure, and USD1 reserves are subject to ongoing third‑party attestation with monthly reports published for transparency. These indicate some monitoring and reporting, but not comprehensive, public-facing anomaly or incident alerting.</t>
  </si>
  <si>
    <t>Is critical off-chain infrastructure hardened or dependent on a single cloud provider? Choose: Hardened/multi-cloud, Partially hardened, Single-cloud or poorly hardened, Unknown.</t>
  </si>
  <si>
    <t>https://en.wikipedia.org/wiki/World_Liberty_Financial; https://worldlibertyfinancial.com/about; https://cointelegraph.com/news/trump-world-liberty-financial-taps-chainlink-oracle-provider</t>
  </si>
  <si>
    <t>2025-12-18; 2024-11-14</t>
  </si>
  <si>
    <t>Escalate where critical infrastructure is single-cloud or poorly hardened with at least medium confidence.</t>
  </si>
  <si>
    <t>Public materials on WLFI (whitepaper/overview, Chainlink integration announcements, press and partner releases) describe tokenomics, governance, oracles and partnerships but provide no concrete detail on hosting choices, cloud providers, or redundancy for APIs, web front ends, or other off-chain services. In the absence of explicit documentation on cloud architecture or hardening, the dependency profile of critical off-chain infrastructure cannot be determined.</t>
  </si>
  <si>
    <t>≤120-word narrative summary for E.3 (DDoS resilience, monitoring and infra hardening).</t>
  </si>
  <si>
    <t>WLFI’s core token and USD1 stablecoin rely on underlying L1 networks (primarily Ethereum and Solana), whose consensus and networking layers provide baseline resilience against classic volumetric DDoS attacks; on-chain token state should remain intact even if WLFI web frontends are disrupted. However, WLFI has not published detailed information on its own infrastructure hardening, DDoS protection, or security monitoring for APIs, bridges, or governance sites. Recent incidents around compromised wallets and centralized freezing / reallocation of funds highlight operational security and governance issues, but not clear mitigations for availability attacks. Overall DDoS posture and monitoring coverage remain opaque and should be considered an unmitigated risk pending fuller technical disclosure or audits.</t>
  </si>
  <si>
    <t>https://en.wikipedia.org/wiki/World_Liberty_Financial; https://worldlibertyfinancial.com/wlfi/risk-disclosures; https://crypto-economy.com/wlfi-freezes-wallets-amid-security-concerns-raising-governance-questions/</t>
  </si>
  <si>
    <t>2025-11-06; 2025-09-01; 2025-11-20</t>
  </si>
  <si>
    <t>No public documentation describes WLFI’s DDoS controls or monitoring. Available materials focus on token economics, governance, wallet compromises and centralized controls, not infra hardening. I infer only baseline L1 resilience; WLFI-specific availability posture is largely unknown, so I flag this as an unmitigated risk with low confidence.</t>
  </si>
  <si>
    <t>Have there been major or repeated RPC outages affecting the protocol? Choose: No major outages, Minor/isolated outage, Major or repeated outages, Unknown.</t>
  </si>
  <si>
    <t>I found no credible documentation, incident reports, or community discussions specifically addressing RPC reliability or outage history for World Liberty Financial or the WLFI contract. Given the very limited public technical footprint and absence of monitoring dashboards or postmortems, I cannot reliably determine whether there have been major or repeated RPC outages, so the status must be treated as Unknown.</t>
  </si>
  <si>
    <t>Have there been any credible infrastructure-level breaches (DNS hijack, cloud compromise, API capture)? Choose: No incidents, Minor issue fully resolved, Significant breach, Unknown.</t>
  </si>
  <si>
    <t>No incidents</t>
  </si>
  <si>
    <t>https://en.wikipedia.org/wiki/World_Liberty_Financial; https://www.barrons.com/articles/trump-wlfi-crypto-trading-today-a430bc92; https://www.reuters.com/business/wlf-launch-real-world-asset-products-january-co-founder-says-2025-12-03/</t>
  </si>
  <si>
    <t>2025-12-18; 2025-09-01; 2025-12-03</t>
  </si>
  <si>
    <t>Current public reporting on World Liberty Financial and WLFI focuses on token economics, governance, and market performance, as well as user‑level phishing and scam activity, but there is no credible evidence of DNS hijacks, cloud infrastructure compromises, or API capture affecting the project itself. Given active media scrutiny, a major infra‑level breach would likely be reported. However, absence of evidence is not proof, so confidence is medium rather than high.</t>
  </si>
  <si>
    <t>Combined escalation for infrastructure risk: Escalate where both (a) major/repeated RPC outages and (b) a significant infrastructure-level breach are documented with medium/high confidence.</t>
  </si>
  <si>
    <t>https://www.thecoinrepublic.com/2025/11/20/users-clash-over-world-liberty-financial-decision-to-freeze-funds/; https://www.mexc.co/news/177879</t>
  </si>
  <si>
    <t>2025-11-20; 2025-11-19</t>
  </si>
  <si>
    <t>Escalate only where major/repeated RPC outages and a significant infra breach are both documented with at least medium confidence.</t>
  </si>
  <si>
    <t>Available reporting on WLFI describes a pre-launch phishing-related wallet compromise that led to 272 addresses being frozen and 166.667M WLFI burned and reallocated, but explicitly attributes this to user wallet/seed phrase exposure rather than a protocol or infrastructure failure. There is no clear evidence of major or repeated RPC outages, nor of a confirmed breach of core network infrastructure (nodes, RPC providers, or validators). Therefore the combined escalation criterion is not met.</t>
  </si>
  <si>
    <t>≤120-word narrative summary for E.4 (historical RPC outages and infra compromises).</t>
  </si>
  <si>
    <t>No public evidence of historical RPC outages or infrastructure compromises specific to WLFI’s on-chain contracts was identified. The token’s Ethereum contract appears standard and functions normally on mainnet via common explorers, with no incident reports of chain-specific disruptions tied to this asset. However, like all Ethereum-based tokens, WLFI inherits systemic exposure to any future Ethereum network, RPC provider, or infrastructure outages, even if these have not yet materially impacted this particular token.</t>
  </si>
  <si>
    <t>I found no direct incident reports for WLFI; assessment is inferred from normal contract behavior on Ethereum and general infra risk, so confidence is limited.</t>
  </si>
  <si>
    <t>A. Liquidity Depth &amp; Execution Quality</t>
  </si>
  <si>
    <t>How deep is the order-book on primary venues relative to typical trade sizes? Choose: Deep (low market impact), Moderate, Thin (high market impact), Unknown.</t>
  </si>
  <si>
    <t>Deep (low market impact)</t>
  </si>
  <si>
    <t>https://www.reuters.com/business/trumps-world-liberty-financial-tokens-begin-trading-2025-09-01/; https://www.theguardian.com/technology/2025/sep/02/trump-world-liberty-financial-cryptocurrency; https://www.coingecko.com/en/coins/world-liberty-financial/usd</t>
  </si>
  <si>
    <t>WLFI is listed on multiple major centralized exchanges (e.g., Binance, OKX, KuCoin and others) and ranks as a large-cap asset, with market cap in the multi‑billion USD range and very high trading volumes, especially around launch. These factors generally correspond to thick order books and relatively low price impact for typical retail and mid‑sized trades, so depth is assessed as Deep despite not having precise Level‑2 snapshots.</t>
  </si>
  <si>
    <t>What is the estimated price slippage on a standard benchmark trade size on primary venues? Choose: Low slippage (≤0.5%), Moderate slippage (0.5–2%), High slippage (&gt;2%), Unknown.</t>
  </si>
  <si>
    <t>Low slippage (≤0.5%)</t>
  </si>
  <si>
    <t>https://www.coingecko.com/en/coins/world-liberty-financial/usd; https://www.coingecko.com/en/coins/world-liberty-financial; https://coinmarketcap.com/currencies/world-liberty-financial-wlfi/</t>
  </si>
  <si>
    <t>2025-12-15; 2025-12-21; 2025-12-21</t>
  </si>
  <si>
    <t>Escalate where high slippage (&gt;2% on benchmark size) is observed with at least medium confidence, indicating difficulty in exiting positions.</t>
  </si>
  <si>
    <t>WLFI has multibillion‑dollar market cap and very high reported liquidity: CoinGecko and CoinMarketCap both show ~$55–100M in 24h volume with listings across major centralized exchanges (e.g., Coinbase, Binance, Gate) and many markets. For a standard benchmark trade size (e.g., ~$100k notional) on these primary venues, such depth typically implies sub‑0.5% price impact, so estimated slippage is Low, though exact figures depend on venue order books at execution time.</t>
  </si>
  <si>
    <t>What is the typical bid-ask spread on main trading pairs during normal market conditions? Choose: Tight (≤0.10%), Moderate (0.10–0.50%), Wide (&gt;0.50%), Unknown.</t>
  </si>
  <si>
    <t>Tight (≤0.10%)</t>
  </si>
  <si>
    <t>https://www.coingecko.com/en/coins/world-liberty-financial; https://www.coingecko.com/en/coins/world-liberty-financial/usd</t>
  </si>
  <si>
    <t>2025-12-21; 2025-12-16</t>
  </si>
  <si>
    <t>CoinGecko’s markets table for WLFI shows main CEX spot pairs such as WLFI/USD on Coinbase and WLFI/USDT on Binance, BitMart, Gate, Bybit, and OKX with quoted spreads around 0.01–0.07%, and some smaller venues near 0.22%. With high daily volume and most core pairs consistently below 0.10% under normal conditions, WLFI’s typical bid-ask spread fits the Tight (≤0.10%) category.</t>
  </si>
  <si>
    <t>≤120-word narrative summary for A.1 (order-book depth, slippage and spreads).</t>
  </si>
  <si>
    <t>WLFI benefits from listings on major centralized exchanges like Binance and KuCoin, where launch-day spot volume reportedly reached several billion dollars, placing it among the top traded assets and indicating initially deep order books on core pairs (e.g., WLFI/USDT, WLFI/USD1). However, Binance’s “Seed Tag” and the relatively small circulating float versus a large fully diluted supply mean books can thin out quickly during volatile periods, so large market orders may still encounter meaningful slippage. Depth and spreads are likely materially weaker on smaller venues and DEX pairs.</t>
  </si>
  <si>
    <t>https://www.businesswire.com/news/home/20250904739095/en/ALT5-Sigma-Corporation-Announces-%24WLFI-Holdings-Rise-to-Approximately-7.28-Billion-Tokens; https://www.coindesk.com/markets/2025/09/01/binance-becomes-first-exchange-to-list-trump-linked-wlfi-token; https://www.kucoin.com/announcement/de-world-liberty-financial-wlfi-gets-listed-on-kucoin-world-premiere</t>
  </si>
  <si>
    <t>2025-09-04; 2025-09-01; 2025-08-29</t>
  </si>
  <si>
    <t>Sources confirm WLFI listings on large CEXs and very high early trading volume, suggesting strong initial depth, but there is no granular public data on sustained order-book depth or spreads. I infer likely good liquidity on main pairs around launch, paired with elevated slippage risk due to small free float, volatility, and seed-status risk disclosures.</t>
  </si>
  <si>
    <t>How does liquidity behave during market stress events according to public data? Choose: Resilient (remains tradeable with moderate impact), Some deterioration but tradeable, Liquidity collapses/frequently disappears, Unknown.</t>
  </si>
  <si>
    <t>https://www.theguardian.com/technology/2025/sep/02/trump-world-liberty-financial-cryptocurrency; https://www.barrons.com/articles/trump-wlfi-crypto-trading-today-a430bc92; https://nypost.com/2025/09/02/business/trump-backed-wlfi-token-whipsaws-as-speculators-drive-billions-in-trades/</t>
  </si>
  <si>
    <t>2025-09-02; 2025-09-01; 2025-09-02</t>
  </si>
  <si>
    <t>Escalate where liquidity repeatedly collapses under stress, with at least medium confidence, indicating difficulty in exiting positions when needed.</t>
  </si>
  <si>
    <t>WLFI only began trading in September 2025 and available public data mostly cover its launch period, when volumes were high and price volatility was extreme. While reports mention billions in early trading and listings on major exchanges, they don’t analyze depth, spreads, or behavior during broader crypto market selloffs or clear stress scenarios. With no robust, event-based liquidity data yet, liquidity performance under market stress must be treated as unknown.</t>
  </si>
  <si>
    <t>Based on public data, how feasible is it to execute institutional-scale trades without extreme market impact? Choose: Feasible with manageable impact, Feasible but with significant care, Very difficult without extreme impact, Unknown.</t>
  </si>
  <si>
    <t>Feasible but with significant care</t>
  </si>
  <si>
    <t>https://coinmarketcap.com/currencies/world-liberty-financial-wlfi/; https://www.coingecko.com/en/coins/world-liberty-financial/usd; https://www.bitget.com/academy/what-is-world-liberty-financial-wlfi-listing-september-1-2025-how-to-buy</t>
  </si>
  <si>
    <t>2025-12-20; 2025-12-16; 2025-09-01</t>
  </si>
  <si>
    <t>WLFI now trades on multiple major centralized exchanges (e.g., Bitget, Binance.US, Gate, Coinbase Exchange) with broad venue coverage, which supports larger orders. Public data shows daily spot volume around $50–60M and multibillion‑dollar market cap, indicating non‑trivial liquidity but still far below top‑tier large‑cap assets. Institutional‑scale blocks in the low‑ to mid‑seven figures should be executable, but larger tickets would require slicing, algorithmic execution, and venue routing to avoid noticeable slippage and market impact.</t>
  </si>
  <si>
    <t>How fragmented is meaningful liquidity across venues and trading pairs? Choose: Concentrated in a few deep venues/pairs, Moderately fragmented, Highly fragmented across illiquid venues/pairs, Unknown.</t>
  </si>
  <si>
    <t>Concentrated in a few deep venues/pairs</t>
  </si>
  <si>
    <t>https://coincodex.com/crypto/world-liberty-fi/exchanges/; https://web3.bitget.com/en/academy/world-liberty-financial-wlfi-listing-exchanges-full-guide-2025; https://www.xt.com/en/blog/post/wlfi-token-officially-launches-on-binance-and-other-major-exchanges-following-token-unlock-event</t>
  </si>
  <si>
    <t>2025-12-20; 2025-09-05; 2025-09-01</t>
  </si>
  <si>
    <t>WLFI is listed on many CEXs, but meaningful volume is concentrated on a small set of core pairs. Exchange data shows Binance as the dominant venue, with materially higher WLFI volume than peers like KuCoin, Kraken, OKX and Bybit, and trading largely focused on WLFI/USDT (and to a lesser extent WLFI/USDC and select fiat pairs). This indicates liquidity depth is concentrated in a few major venues/pairs rather than broadly fragmented.</t>
  </si>
  <si>
    <t>≤120-word narrative summary for A.2 (liquidity under stress, exit feasibility and fragmentation).</t>
  </si>
  <si>
    <t>WLFI currently shows substantial on‑chain liquidity and exchange depth, with multibillion‑dollar circulating market cap and &gt;$50m 24h volume, so small–medium holders likely can exit under normal conditions with moderate slippage. However, liquidity is concentrated on a few major CEX/DEX venues and across several chains/bridges, which may fragment order books and complicate routing in stress events. Large insider and treasury allocations plus staged unlocks could exacerbate sell‑side pressure and widen spreads during market shocks. Exit feasibility is therefore highly venue‑ and timing‑dependent, with elevated slippage and temporary loss of liquidity likely in a disorderly market scenario.</t>
  </si>
  <si>
    <t>https://etherscan.io/token/0xda5e1988097297dcdc1f90d4dfe7909e847cbef6; https://bravenewcoin.com/insights/trump-backed-wlfi-token-launches-with-7-billion-market-cap; https://worldlibertyfinancial.com</t>
  </si>
  <si>
    <t>Etherscan and linked CMC/CG data show WLFI’s large circulating supply, multi‑billion market cap and significant 24h trading volume, implying good liquidity but concentrated on a limited set of venues. Third‑party analysis highlights sizable allocations to insiders, treasury, and a specific liquidity/marketing bucket, indicating potential supply overhang and order‑book stress if large tranches sell into downturns. Cross‑chain availability and bridging further suggest fragmented liquidity rather than one unified deep pool, increasing execution and exit risk in a stressed market.</t>
  </si>
  <si>
    <t>B. Volume Quality &amp; Wash Trading Risk</t>
  </si>
  <si>
    <t>How does reported daily spot volume compare to the token’s market cap and peers? Choose: Low to moderate turnover, Elevated but plausible, Suspiciously high vs peers, Unknown.</t>
  </si>
  <si>
    <t>Low to moderate turnover</t>
  </si>
  <si>
    <t>https://coinmarketcap.com/currencies/world-liberty-financial-wlfi/; https://www.valuethemarkets.com/cryptocurrency/news/world-liberty-financial-launches-wlfi-token-with-30-billion-valuation</t>
  </si>
  <si>
    <t>2025-12-21; 2025-09-04</t>
  </si>
  <si>
    <t>CoinMarketCap reports WLFI 24h spot volume around $55M vs a market cap of ~$3.5B, implying daily turnover of roughly 1.5%. For large‑cap DeFi/governance tokens this sits at the low-to-moderate end of typical volume/market-cap ratios, and is not unusually high or suggestive of wash trading versus peers of similar size.</t>
  </si>
  <si>
    <t>How consistent is trading volume over time on primary venues? Choose: Consistent/organic pattern, Some spikes but broadly organic, Highly spiky or unnatural pattern, Unknown.</t>
  </si>
  <si>
    <t>Highly spiky or unnatural pattern</t>
  </si>
  <si>
    <t>https://www.thecoinrepublic.com/2025/09/01/wlfi-token-surpasses-7-5-billion-derivatives-volume-in-secondary-market-debut/; https://www.coingecko.com/en/coins/world-liberty-financial/usd; https://coincodex.com/article/72469/63-billion-valuation-world-liberty-finances-wlfi-token-now-trading-on-major-crypto-exchanges/</t>
  </si>
  <si>
    <t>2025-09-01; 2025-12-16; 2025-12-20</t>
  </si>
  <si>
    <t>Available data show WLFI’s trading volume is extremely front‑loaded and volatile: at launch it saw multi‑billion dollar derivatives and spot activity within hours, then settled to far lower daily spot volumes in the tens or low hundreds of millions across major exchanges. This sharp launch spike relative to subsequent activity indicates a highly spiky, non‑steady volume pattern on primary venues.</t>
  </si>
  <si>
    <t>What is the balance between spot and derivatives volume according to public data? Choose: Spot-dominant volume, Balanced spot/derivatives, Derivatives-dominant volume, Unknown.</t>
  </si>
  <si>
    <t>Derivatives-dominant volume</t>
  </si>
  <si>
    <t>https://www.thecoinrepublic.com/2025/09/01/wlfi-token-surpasses-7-5-billion-derivatives-volume-in-secondary-market-debut/; https://www.ccn.com/education/crypto/where-to-trade-wlfi-full-list-of-exchanges-and-what-to-avoid/</t>
  </si>
  <si>
    <t>Public data show WLFI trading driven primarily by derivatives. For its secondary market debut, WLFI perpetuals generated about $7.5B in derivatives volume within an hour, vs. roughly $117M in aggregated DEX spot volume, with derivatives ranking among the top perpetuals by volume. Major venues like Binance, Bybit, Pionex, Bitunix and others list WLFI chiefly via perpetual futures, while spot listings are fewer and smaller, indicating a derivatives-dominant volume profile.</t>
  </si>
  <si>
    <t>≤120-word narrative summary for B.1 (turnover vs market cap, volume stability and spot/derivatives mix).</t>
  </si>
  <si>
    <t>WLFI launched with extremely high turnover relative to market cap, with reports of around $1 billion in volume in the first hour against a market cap in the mid‑single‑digit billions. Trading remains concentrated on major centralized exchanges (e.g., Binance, OKX, Bybit), plus some DEX activity, and appears heavily driven by speculative flows rather than organic use. Early trading has been very volatile, with intraday price swings of 40–50% reported during the first days, implying unstable liquidity conditions and likely reliance on market makers. Public information focuses on spot markets; there is little clear evidence yet of deep, liquid derivatives markets compared with spot trading.</t>
  </si>
  <si>
    <t>https://www.theguardian.com/technology/2025/sep/02/trump-world-liberty-financial-cryptocurrency; https://www.reuters.com/business/trumps-world-liberty-financial-tokens-begin-trading-2025-09-01/; https://nypost.com/2025/09/02/business/trump-backed-wlfi-token-whipsaws-as-speculators-drive-billions-in-trades/</t>
  </si>
  <si>
    <t>Answer is based on press coverage describing WLFI’s launch-day volume, market cap and exchange listings. These sources highlight very high early turnover, billion‑dollar spot volumes, and large intraday price swings but do not yet document substantial derivatives depth. Some uncertainty remains because full order book and perp/futures data are not publicly consolidated.</t>
  </si>
  <si>
    <t>How do external analytics providers or credible sources characterise wash-trading/fake volume risk? Choose: No significant wash-trading flags, Some wash-trading flags, Strong wash-trading/fake volume flags, Unknown.</t>
  </si>
  <si>
    <t>No significant wash-trading flags</t>
  </si>
  <si>
    <t>https://www.coingecko.com/en/coins/world-liberty-financial; https://coinmarketcap.com/currencies/world-liberty-financial-wlfi/; https://www.theguardian.com/technology/2025/sep/02/trump-world-liberty-financial-cryptocurrency</t>
  </si>
  <si>
    <t>2025-12-15; 2025-12-21; 2025-09-02</t>
  </si>
  <si>
    <t>Escalate where strong wash-trading or fake-volume flags are reported by credible sources with at least medium confidence.</t>
  </si>
  <si>
    <t>CoinGecko and CoinMarketCap show WLFI trading across many major centralized exchanges (Coinbase, Binance, Bybit, Gate, OKX, etc.) with substantial reported liquidity and CoinGecko trust scores listed for markets, but no explicit warnings about suspicious or inflated volume. Reputable news sources also describe high trading volumes on these venues without characterizing it as wash trading. No external analytics provider is currently flagging WLFI for fake volume, though concentrated ownership and speculation remain broader risks.</t>
  </si>
  <si>
    <t>How is trading volume distributed across reputable vs lower-quality or suspicious exchanges? Choose: Volume mainly on reputable exchanges, Mixed (reputable and lower-quality), Heavily concentrated on lower-quality/suspicious exchanges, Unknown.</t>
  </si>
  <si>
    <t>Volume mainly on reputable exchanges</t>
  </si>
  <si>
    <t>https://coincodex.com/article/72469/63-billion-valuation-world-liberty-finances-wlfi-token-now-trading-on-major-crypto-exchanges/; https://www.blockchain-council.org/cryptocurrency/trump-family-liberty-stake-5b/; https://www.valuethemarkets.com/cryptocurrency/news/world-liberty-financial-launches-wlfi-token-with-30-billion-valuation</t>
  </si>
  <si>
    <t>2025-09-02; 2025-09-05; 2025-09-04</t>
  </si>
  <si>
    <t>Available data show WLFI spot/derivatives volume concentrated on major centralized exchanges. Binance was the first major listing, with OKX and Bybit also offering WLFI from launch day and driving roughly $1B of first‑hour volume. These large, established venues are repeatedly cited as the primary trading hubs; there is no evidence that small or dubious exchanges account for a dominant share of volume.</t>
  </si>
  <si>
    <t>Combined escalation: Escalate where both (a) credible sources report wash-trading concerns and (b) trading volume is heavily concentrated on lower-quality or suspicious exchanges, with at least medium confidence.</t>
  </si>
  <si>
    <t>https://coincodex.com/article/72469/63-billion-valuation-world-liberty-finances-wlfi-token-now-trading-on-major-crypto-exchanges/; https://www.coinlive.com/news/price-manipulation-allegations-lead-wlfi-to-freeze-272-wallets-stirring; https://www.thecoinrepublic.com/2025/09/01/wlfi-token-surpasses-7-5-billion-derivatives-volume-in-secondary-market-debut/</t>
  </si>
  <si>
    <t>2025-09-02; 2025-09-06; 2025-09-01</t>
  </si>
  <si>
    <t>Escalate only where both wash-trading is flagged by credible sources and volume is heavily concentrated on lower-quality/suspicious exchanges, with at least medium confidence.</t>
  </si>
  <si>
    <t>Available reporting shows WLFI spot and derivatives trading is distributed across major, relatively higher-quality venues (Binance, OKX, Bybit, KuCoin and others), not heavily concentrated on obscure or clearly suspicious exchanges. While there are allegations of “price manipulation” leading WLFI to blacklist certain wallets, I did not find credible sources alleging exchange wash-trading schemes in WLFI markets. As a result, the combined escalation trigger defined in the question is not met.</t>
  </si>
  <si>
    <t>≤120-word narrative summary for B.2 (wash-trading indicators, venue quality and combined escalation assessment).</t>
  </si>
  <si>
    <t>WLFI trades on multiple large centralized exchanges (e.g., Binance, OKX, KuCoin, HTX, MEXC), which generally operate KYC and market‑surveillance controls, supporting baseline venue quality. However, launch-day spot and derivatives volumes were exceptionally high (billions in turnover and top‑10 volume rankings) amid a highly concentrated holder base and intense speculative hype, which are consistent with elevated wash‑trading and manipulation risk, even though no specific enforcement actions or confirmed wash‑trading cases have surfaced. Parallel scam/“unlock” and imitator sites increase execution and routing risk for less‑sophisticated users. Overall, combined wash‑trading and venue‑integrity risk warrants at least a moderate escalation level and continued monitoring.</t>
  </si>
  <si>
    <t>https://cryptonewsland.com/wlfi-token-officially-launches-on-binance-and-other-major-exchanges-following-token-unlock-event/; https://www.businesswire.com/news/home/20250904739095/en/ALT5-Sigma-Corporation-Announces-%24WLFI-Holdings-Rise-to-Approximately-7.28-Billion-Tokens; https://www.theguardian.com/technology/2025/sep/02/trump-world-liberty-financial-cryptocurrency</t>
  </si>
  <si>
    <t>2025-09-01; 2025-09-04; 2025-09-02</t>
  </si>
  <si>
    <t>Answer relies on independent reporting of WLFI’s exchange listings and volumes rather than direct surveillance data; no explicit wash-trade findings, but volumes, hype and holder concentration justify a cautious, medium-confidence, risk-flagged assessment.</t>
  </si>
  <si>
    <t>C. Venue Concentration &amp; Market Fragmentation</t>
  </si>
  <si>
    <t>How concentrated is trading volume on the single largest exchange venue? Choose: Top venue &lt;40% of volume, Top venue 40–70%, Top venue &gt;70%, Unknown.</t>
  </si>
  <si>
    <t>Top venue &lt;40% of volume</t>
  </si>
  <si>
    <t>https://www.coingecko.com/en/coins/world-liberty-financial; https://coinmarketcap.com/currencies/world-liberty-financial-wlfi/</t>
  </si>
  <si>
    <t>Escalate where &gt;70% of volume is on a single venue with at least medium confidence, indicating structural exit risk if that venue withdraws support.</t>
  </si>
  <si>
    <t>CoinGecko’s markets table for WLFI shows the largest single trading venue (BitMart WLFI/USDT) accounts for about 9.19% of 24h volume, with other major exchanges (Binance, Hotcoin, WhiteBIT, Coinbase, etc.) each below 10%. This indicates that no single venue exceeds even 20%, so the largest venue is clearly under 40% of total trading volume.</t>
  </si>
  <si>
    <t>How many independent spot exchanges provide meaningful liquidity? Choose: 3 or more significant venues, 2 significant venues, Single significant venue, Unknown.</t>
  </si>
  <si>
    <t>3 or more significant venues</t>
  </si>
  <si>
    <t>https://www.coingecko.com/en/coins/world-liberty-financial/usd; https://nypost.com/business/how-to-buy-wlfi-token/</t>
  </si>
  <si>
    <t>2025-12-16; 2025-09-19</t>
  </si>
  <si>
    <t>CoinGecko reports that WLFI is tradable across a large number of exchanges (100+), with leading liquidity on major centralized venues such as Gate and Coinbase. Separately, mainstream press coverage notes active WLFI spot markets on several top-tier CEXs including Binance, OKX, HTX and other large platforms. This clearly indicates three or more independent spot exchanges with meaningful liquidity.</t>
  </si>
  <si>
    <t>How diversified are main trading venues in terms of jurisdiction and regulatory regime? Choose: Diversified across major regulated jurisdictions, Mixed (regulated and offshore), Mostly offshore or lightly regulated venues, Unknown.</t>
  </si>
  <si>
    <t>Mixed (regulated and offshore)</t>
  </si>
  <si>
    <t>https://nypost.com/business/how-to-buy-wlfi-token/; https://www.lcx.com/info/faq/about-lcx/is-lcx-regulated-what-is-the-legal-setup-of-lcx/; https://www.coinmetro.com/home</t>
  </si>
  <si>
    <t>2025-09-19</t>
  </si>
  <si>
    <t>WLFI trades on large global centralized exchanges such as Binance and other major platforms, many of which operate from offshore or lightly regulated jurisdictions for spot crypto. It is also listed on LCX, a Liechtenstein exchange that is explicitly regulated under the TVTG framework, and on Coinmetro, which holds virtual asset service licensing in Estonia and registrations in multiple jurisdictions. This combination indicates a mix of offshore venues and regulated European exchanges.</t>
  </si>
  <si>
    <t>≤120-word narrative summary for C.1 (exchange concentration, venue count and jurisdictional spread).</t>
  </si>
  <si>
    <t>WLFI trades on a large number of venues (CoinGecko reports ~100+ exchanges), with spot liquidity led by major centralized exchanges such as Binance and other global CEXs, plus secondary depth on DEXs like Uniswap and PancakeSwap. This breadth reduces single‑venue outage risk but still leaves liquidity relatively concentrated on a handful of tier‑1 platforms. Jurisdictional exposure is global and spans U.S.-regulated venues alongside offshore/EM hubs, implying cross‑border regulatory and enforcement complexity. In addition, leveraged WLFI/USDT perpetuals on derivatives venues such as Pionex increase liquidity but also raise volatility and potential for cascading liquidations during stress events.</t>
  </si>
  <si>
    <t>https://www.coingecko.com/en/coins/world-liberty-financial; https://www.reuters.com/business/trumps-world-liberty-financial-tokens-begin-trading-2025-09-01/; https://support.pionex.com/hc/en-us/articles/50053599400729-Pionex-has-Launched-the-WLFIUSDT-1-50x-Leverage-Margined-Perpetual-Futures</t>
  </si>
  <si>
    <t>2025-12-21; 2025-09-01; 2025-08-23</t>
  </si>
  <si>
    <t>Answer draws on CoinGecko data for venue count and leading exchanges, Reuters coverage of initial listings on major CEXs, and Pionex documentation for leveraged WLFI derivatives. Together these show a broad but still concentrated venue set, spanning multiple jurisdictions and including high‑risk leveraged markets.</t>
  </si>
  <si>
    <t>How is trading volume split between CEX and DEX/AMM venues? Choose: Balanced CEX/DEX mix, Mostly CEX volume, Mostly single DEX/AMM venue, Unknown.</t>
  </si>
  <si>
    <t>Mostly CEX volume</t>
  </si>
  <si>
    <t>https://coinmarketcap.com/currencies/world-liberty-financial-wlfi/; https://www.reuters.com/business/trumps-world-liberty-financial-tokens-begin-trading-2025-09-01/; https://finance.yahoo.com/news/binance-upbit-race-list-world-093936639.html</t>
  </si>
  <si>
    <t>2025-09-01; 2025-08-26</t>
  </si>
  <si>
    <t>WLFI is listed and actively traded on multiple major centralized exchanges (e.g., Binance, OKX, Bybit, Bithumb, others), and project materials emphasize these CEX venues as primary liquidity providers. While some DEX access (e.g., Uniswap/PancakeSwap) is mentioned in media, available public data and coverage focus on large CEX spot and derivatives markets, indicating that most observable trading volume is CEX-driven. Precise venue-by-venue volume splits are not disclosed.</t>
  </si>
  <si>
    <t>How reliant is trading activity on a small number of trading pairs? Choose: Diverse across multiple base pairs, Moderately concentrated (2–3 key pairs), Highly reliant on a single pair, Unknown.</t>
  </si>
  <si>
    <t>Could not parse structured output. Preview: {"id": "resp_0e2ae4e388ecef20006948233d0024819d9cb1281b52823a03", "object": "response", "created_at": 1766335293, "status": "incomplete", "background": false, "billing": {"payer": "developer"}, "completed_at": null, "error": null, "incomple</t>
  </si>
  <si>
    <t>What is the quality of main trading pairs (stablecoin vs volatile base assets)? Choose: Mix includes deep stablecoin pairs, Mostly volatile asset pairs but still deep, Liquidity mainly in thin/volatile or exotic pairs, Unknown.</t>
  </si>
  <si>
    <t>Mix includes deep stablecoin pairs</t>
  </si>
  <si>
    <t>https://www.ccn.com/education/crypto/where-to-trade-wlfi-full-list-of-exchanges-and-what-to-avoid/; https://nypost.com/business/how-to-buy-wlfi-token/</t>
  </si>
  <si>
    <t>2025-09-01; 2025-09-19</t>
  </si>
  <si>
    <t>Major WLFI spot markets on centralized exchanges are quoted primarily against stablecoins: WLFI/USDT on LBank, Gate.io, OKX TR and others, plus WLFI/USDT, WLFI/USDC and WLFI/USD1 on MEXC. Binance and Bybit list WLFIUSDT perpetual futures. This indicates that the dominant and deepest liquidity is in stablecoin-quoted pairs rather than volatile assets like BTC or ETH.</t>
  </si>
  <si>
    <t>≤120-word narrative summary for C.2 (CEX/DEX mix, pair concentration and pair quality).</t>
  </si>
  <si>
    <t>WLFI liquidity is heavily CEX‑centric, with listings across major venues including Binance, OKX, KuCoin, Kraken, Bybit, Gate, MEXC, Bitget, BingX, HTX and others. Trading is dominated by USDT and USDC quote pairs on Binance and other top exchanges, with some fiat pairs (USD, EUR, KRW, TRY) on select platforms. Current turnover is relatively high versus market cap, but volume is concentrated in a handful of large WLFI/USDT and WLFI/USDC markets, implying venue and pair concentration risk. DEX liquidity and more experimental pairs (e.g., WLFI/USD1) appear secondary and immaterial compared with centralized spot markets at this stage.</t>
  </si>
  <si>
    <t>https://coinmarketcap.com/currencies/world-liberty-financial-wlfi/; https://web3.bitget.com/en/academy/world-liberty-financial-wlfi-listing-exchanges-full-guide-2025; https://www.ethnews.com/world-liberty-financials-wlfi-token-goes-live-across-top-exchanges/</t>
  </si>
  <si>
    <t>2025-12-21; 2025-09-01; 2025-08-31</t>
  </si>
  <si>
    <t>Multiple independent sources show WLFI listed across many tier‑1 CEXs with core WLFI/USDT and WLFI/USDC spot pairs, plus some fiat pairs. CoinMarketCap data indicate high volume concentrated in a few top CEX markets, while listing overviews from Bitget/OKX highlight CEX focus; no evidence suggests comparable DEX depth.</t>
  </si>
  <si>
    <t>D. Price Behaviour, Volatility &amp; Tail Risk</t>
  </si>
  <si>
    <t>How does the token’s historical price volatility compare to major benchmarks (e.g., BTC, ETH)? Choose: Lower or similar to majors, Moderately higher, Significantly higher/very high volatility, Unknown.</t>
  </si>
  <si>
    <t>Significantly higher/very high volatility</t>
  </si>
  <si>
    <t>https://coinmarketcap.com/currencies/world-liberty-financial-wlfi/; https://nypost.com/business/how-to-buy-wlfi-token/; https://www.flitpay.com/blog/world-liberty-financial-wlfi-price-prediction</t>
  </si>
  <si>
    <t>2025-12-20; 2025-09-19; 2025-12-16</t>
  </si>
  <si>
    <t>WLFI only became tradable in September 2025 and has already seen sharp swings: reports note a peak near $0.46 followed by a decline to the low $0.20s and current levels around $0.13–$0.21, implying &gt;70% drawdowns over a few months. BTC and ETH have not shown comparable percentage volatility over the same period, so WLFI’s historical price behavior is best characterized as significantly higher/very high volatility versus major benchmarks.</t>
  </si>
  <si>
    <t>Is price behaviour described as unusually unstable or prone to volatility clustering in public sources? Choose: No unusual instability, Some heightened instability, Highly unstable with frequent extreme moves, Unknown.</t>
  </si>
  <si>
    <t>Some heightened instability</t>
  </si>
  <si>
    <t>https://www.valuethemarkets.com/cryptocurrency/news/world-liberty-financial-launches-wlfi-token-with-30-billion-valuation; https://www.reuters.com/business/finance/trump-crypto-backer-justin-sun-says-his-world-liberty-tokens-frozen-2025-09-05/; https://coincentral.com/world-liberty-financial-wlfi-price-token-climbs-28-following-2-8-million-whale-purchase/</t>
  </si>
  <si>
    <t>2025-09-04; 2025-09-05; 2025-09-08</t>
  </si>
  <si>
    <t>Public coverage highlights notable short‑term swings in WLFI’s price, including a first‑day move from above $0.30 to around $0.20 and intraday gains then losses near 20%, plus later 20–30% moves linked to whale activity and derivatives flows. This indicates above‑average volatility versus large‑cap assets, but sources do not characterize it as persistently or exceptionally extreme, so it fits “some heightened instability” rather than “highly unstable.”</t>
  </si>
  <si>
    <t>≤120-word narrative summary for D.1 (volatility vs benchmarks and instability).</t>
  </si>
  <si>
    <t>WLFI has exhibited high volatility and some structural instability since launch. The token fell over 70% from its ~$0.46 all‑time high on 1 Sep 2025 to a ~$0.09 low on 10 Oct 2025, before rebounding ~45% to the ~$0.13 area, implying large amplitude swings over a short period, well above typical Tier‑1 benchmarks like BTC/ETH. 24h volume around $55m on a ~$3.5bn market cap (vol/mcap ~1.5%) suggests active but not exceptionally deep liquidity. A recent ~$10m buyback that moved price ~10% further indicates order books where modest treasury activity can materially move the market, reinforcing elevated volatility risk.</t>
  </si>
  <si>
    <t>https://coinmarketcap.com/currencies/world-liberty-financial-wlfi/; https://www.valuethemarkets.com/cryptocurrency/news/world-liberty-financial-increases-wlfi-token-holdings-with-10-million-buyback</t>
  </si>
  <si>
    <t>2025-12-21; 2025-11-26</t>
  </si>
  <si>
    <t>CMC and market news give concrete data on WLFI’s ATH, ATL, current price, market cap, and volume, plus price impact from a $10m buyback, supporting a high‑conviction assessment of above‑benchmark volatility and sensitivity to order flow.</t>
  </si>
  <si>
    <t>What is the token’s historical maximum drawdown from peak, based on public price data? Choose: Modest/typical for crypto (&lt;70%), Severe (70–90%), Extreme (&gt;90%), Unknown.</t>
  </si>
  <si>
    <t>Severe (70–90%)</t>
  </si>
  <si>
    <t>https://coinmarketcap.com/currencies/world-liberty-financial-wlfi/; https://www.coingecko.com/en/coins/world-liberty-financial/usd; https://nypost.com/2025/09/02/business/trump-backed-wlfi-token-whipsaws-as-speculators-drive-billions-in-trades/</t>
  </si>
  <si>
    <t>2025-12-21; 2025-12-21; 2025-09-02</t>
  </si>
  <si>
    <t>Public price data show WLFI peaked around $0.46 shortly after trading began and has since traded as low as about $0.09, implying a drawdown of roughly 75–80% from peak. Even using more conservative ATH figures (≈$0.33) with the same trough still yields a &gt;70% loss. This clearly places historical maximum drawdown in the 70–90% “Severe” band rather than &gt;90%.</t>
  </si>
  <si>
    <t>Have there been credible reports of flash-crash, depeg or similar extreme price dislocations specific to this token? Choose: No such incidents, Minor/isolated technical event fully resolved, Significant or repeated flash-crash/depeg events, Unknown.</t>
  </si>
  <si>
    <t>Escalate where significant or repeated flash-crash/depeg events are documented with at least medium confidence.</t>
  </si>
  <si>
    <t>I could not locate reliable historical pricing data, major exchange listings, or third‑party analyses for WLFI that would reveal any flash‑crash, depeg, or similar extreme dislocation events. The token appears to have limited market footprint and coverage, so absence of evidence is not strong evidence of absence. Given sparse data and low visibility, the most defensible assessment is to classify the status of such incidents as Unknown rather than asserting that none have occurred.</t>
  </si>
  <si>
    <t>Following severe drawdowns or dislocation events, how has the token historically recovered? Choose: Recovers to prior ranges, Partial recovery but remains impaired, Fails to recover (persistent impairment), Unknown.</t>
  </si>
  <si>
    <t>Partial recovery but remains impaired</t>
  </si>
  <si>
    <t>https://coinmarketcap.com/currencies/world-liberty-financial-wlfi/; https://www.coingecko.com/en/coins/world-liberty-financial; https://www.theguardian.com/technology/2025/sep/02/trump-world-liberty-financial-cryptocurrency</t>
  </si>
  <si>
    <t>2025-12-18; 2025-12-18; 2025-09-02</t>
  </si>
  <si>
    <t>WLFI began trading around September 1, 2025, reaching an all‑time high near $0.46 but later falling sharply; current prices around $0.13 leave it more than 70% below the peak, though above its October all‑time low. This pattern indicates some recovery from local bottoms but not a return to prior high ranges. The short trading history limits certainty, but available data point to partial recovery with persistent impairment so far.</t>
  </si>
  <si>
    <t>≤120-word narrative summary for D.2 (drawdown, flash-crash/depeg history and recovery).</t>
  </si>
  <si>
    <t>WLFI has exhibited extreme downside volatility since launch. After its September 1, 2025 listing around $0.30, the token briefly spiked to an all‑time high near $0.46 before rapidly crashing ~50% to the $0.21–0.23 range within a day. Subsequent selling, fueled by unlocks and large holders exiting, pushed WLFI to lows near $0.18 and later around $0.09, leaving it down over 70% from peak. Project responses have included a 47M‑token burn and a ~$10M buyback that produced only short‑term bounces; the price has not re‑established prior highs and remains structurally below ATH, indicating incomplete recovery from early drawdowns.</t>
  </si>
  <si>
    <t>https://coinmarketcap.com/currencies/world-liberty-financial-wlfi/; https://coingape.com/trending/trump-backed-wlfi-token-hits-all-time-low-sinks-under-0-18-what-to-know/; https://cointelegraph.com/news/wlfi-token-burn-price-drop-world-liberty-financial</t>
  </si>
  <si>
    <t>2025-12-21; 2025-09-02; 2025-09-03</t>
  </si>
  <si>
    <t>Public price data and contemporaneous reporting show a sharp post‑launch spike followed by rapid 50%+ drawdowns, further declines to new lows, and only partial recoveries despite burns and buybacks. No depeg applies as WLFI is not a stablecoin.</t>
  </si>
  <si>
    <t>E. Market Integrity Actions &amp; Listing Profile</t>
  </si>
  <si>
    <t>How would you characterise the quality of main exchange listings? Choose: Listed on multiple top-tier exchanges, Listed on a mix of mid-tier and some major exchanges, Listed only on small or lower-quality exchanges, Unknown.</t>
  </si>
  <si>
    <t>Listed on multiple top-tier exchanges</t>
  </si>
  <si>
    <t>https://finance.yahoo.com/news/binance-upbit-race-list-world-093936639.html; https://www.kucoin.com/announcement/de-world-liberty-financial-wlfi-gets-listed-on-kucoin-world-premiere; https://www.coincarp.com/events/world-liberty-financial-space-new-listing-on-htx/</t>
  </si>
  <si>
    <t>2025-08-20; 2025-08-29; 2025-08-25</t>
  </si>
  <si>
    <t>WLFI is reported as listed on several major centralized exchanges: Binance with WLFI/USDT and WLFI/USDC spot pairs, plus listings on large Asian exchanges like Bithumb and Upbit via the same launch window. It is also listed on KuCoin and HTX according to official or tracking announcements. This distribution across multiple globally recognized top-tier venues supports classifying its main listings as on multiple top-tier exchanges.</t>
  </si>
  <si>
    <t>Is the token included in any recognised indices, ETPs or benchmark products? Choose: Included in major indices/ETPs, Included only in niche indices, Not included in any indices/ETPs, Unknown.</t>
  </si>
  <si>
    <t>Not included in any indices/ETPs</t>
  </si>
  <si>
    <t>https://www.coingecko.com/en/coins/world-liberty-financial; https://cryptodnes.bg/en/wlfi-enters-coinmarketcaps-top-25-list-but-the-price-is-dropping/</t>
  </si>
  <si>
    <t>2025-12-16; 2025-09-01</t>
  </si>
  <si>
    <t>Searches across major data aggregators and news coverage show WLFI trading on multiple centralized exchanges but do not reference inclusion in any recognized crypto indices, ETPs, or benchmark products. Given its relatively recent launch and high standalone trading focus, it appears to be spot-listed only, though the possibility of a small, unpublicized niche index cannot be fully excluded.</t>
  </si>
  <si>
    <t>≤120-word narrative summary for E.1 (listing quality and market recognition).</t>
  </si>
  <si>
    <t>WLFI is a relatively new, highly publicized token with political backing and an eye‑catching launch valuation, but its listing quality is mixed. It is tradable on several major centralized exchanges and key DEXs, providing substantial liquidity and retail access. However, its market presence is still emerging, with wallet and pricing integration issues on some platforms and a history of confusion around spoofed or scam look‑alike tokens. Overall, WLFI has strong name recognition but only moderate, uneven market infrastructure maturity for a token of its size.</t>
  </si>
  <si>
    <t>https://www.valuethemarkets.com/cryptocurrency/news/world-liberty-financial-launches-wlfi-token-with-30-billion-valuation; https://nypost.com/business/how-to-buy-wlfi-token/; https://www.investopedia.com/trump-backed-crypto-token-wlfi-has-a-treasury-company-here-s-what-that-means-11790255</t>
  </si>
  <si>
    <t>2025-09-04; 2025-09-19; 2025-08-20</t>
  </si>
  <si>
    <t>Sources show WLFI listed on major CEXs/DEXs with multi‑billion valuation and significant media coverage, yet also report platform integration issues and spoofed tokens. This supports a view of strong brand recognition but uneven listing quality and market infrastructure. Data is evolving for a 2025‑launch token, so I assign medium confidence.</t>
  </si>
  <si>
    <t>Have exchanges imposed trading halts or suspensions on the token for market-integrity reasons (excluding purely technical halts)? Choose: No market-integrity halts reported, Single/isolated halt resolved, Multiple or sustained market-integrity halts, Unknown.</t>
  </si>
  <si>
    <t>No market-integrity halts reported</t>
  </si>
  <si>
    <t>https://www.mexc.com/news/mexc-will-list-world-liberty-financial-wlfi-in-innovation-zone-with-convert-feature/80669; https://www.benzinga.com/crypto/cryptocurrency/25/09/47440951/trump-family-backed-world-liberty-financial-token-crashes-after-initial-rise-on-first-trading-day/; https://www.theguardian.com/technology/2025/sep/02/trump-world-liberty-financial-cryptocurrency</t>
  </si>
  <si>
    <t>2025-09-01; 2025-09-01; 2025-09-02</t>
  </si>
  <si>
    <t>Escalate where multiple or sustained trading halts for market-integrity reasons are documented with at least medium confidence.</t>
  </si>
  <si>
    <t>Public records and major exchange announcements describe WLFI’s listings and subsequent volatile trading on platforms like Binance, KuCoin, MEXC, and others, but none report exchange-imposed trading halts or suspensions for market‑integrity reasons. Coverage of price crashes, wallet freezes, and controversy likewise does not mention formal exchange trading halts specific to WLFI, so the best assessment is that no such halts have been reported to date.</t>
  </si>
  <si>
    <t>Have any major exchanges delisted or removed the token for market-integrity, investor-protection or conduct reasons (excluding pure regulatory/AML reasons)? Choose: No such delistings reported, Single delisting with clear resolution, One or more delistings for integrity/protection reasons, Unknown.</t>
  </si>
  <si>
    <t>No such delistings reported</t>
  </si>
  <si>
    <t>https://www.coindesk.com/markets/2025/09/01/binance-becomes-first-exchange-to-list-trump-linked-wlfi-token; https://www.ainvest.com/news/whale-invests-32-21m-wlfi-binance-2509/; https://nypost.com/business/how-to-buy-wlfi-token/</t>
  </si>
  <si>
    <t>Escalate where one or more delistings are reported for market-integrity or investor-protection reasons with at least medium confidence.</t>
  </si>
  <si>
    <t>WLFI is actively listed for trading on multiple major exchanges including Binance and others, with no public announcements from these venues about delisting or trading removal for market‑integrity, investor‑protection, or conduct reasons. Available coverage focuses on the initial listings, trading volatility, and governance/wallet-freeze controversies, but not on exchange‑initiated delistings or suspensions.</t>
  </si>
  <si>
    <t>Have any regulators or major exchanges issued explicit warnings or risk notices specifically about this token’s trading behaviour or market integrity? Choose: No specific warnings found, Generic/high-level risk warnings only, Specific warnings about this token, Unknown.</t>
  </si>
  <si>
    <t>Generic/high-level risk warnings only</t>
  </si>
  <si>
    <t>https://www.chaincatcher.com/en/article/2202246; https://dapp.expert/news/en_wlfi-token-listing-on-binance-details-and-risks-1756713761-423062</t>
  </si>
  <si>
    <t>2025-09-01; 2025-10-15</t>
  </si>
  <si>
    <t>Escalate where regulators or major exchanges have issued specific warnings about this token’s market integrity with at least medium confidence.</t>
  </si>
  <si>
    <t>I found no evidence of formal enforcement-style warnings or bulletins from financial regulators specifically targeting WLFI’s market integrity or trading behavior. However, Binance assigns WLFI a high‑risk ‘Seed’ label, requiring periodic quizzes and displaying risk-warning banners, which is a generic high‑risk classification rather than an allegation of misconduct. Other coverage similarly provides broad risk caveats rather than specific integrity warnings.</t>
  </si>
  <si>
    <t>≤120-word narrative summary for E.2 (trading halts, delistings and explicit warnings).</t>
  </si>
  <si>
    <t>As of December 2025, there is no clear evidence of formal trading halts or exchange delistings for WLFI, though listing venues like Binance gate access behind risk quizzes due to extreme volatility and governance risks. Official WLFI channels have issued multiple explicit scam and security warnings, highlighting phishing, fake WLFI sites, and fake tradable tokens. Independent analysis also flags elevated regulatory and security risk, including emergency token interventions and ongoing scrutiny over whether WLFI may constitute a regulated investment product. These factors increase the probability of future trading restrictions if compliance or market integrity concerns escalate.</t>
  </si>
  <si>
    <t>https://www.coindesk.com/markets/2025/09/01/binance-becomes-first-exchange-to-list-trump-linked-wlfi-token; https://governance.worldlibertyfinancial.com/t/protect-yourself-from-wlfi-scams/30146; https://www.ainvest.com/news/world-liberty-financial-wlfi-navigating-regulatory-security-risks-high-volatility-market-2511/</t>
  </si>
  <si>
    <t>2025-09-01; 2025-07-07; 2025-11-25</t>
  </si>
  <si>
    <t>No concrete records of WLFI trading halts/delistings were found on major exchanges, but formal risk warnings and security notices from WLFI and listing venues, alongside reports of emergency token actions and regulatory scrutiny, suggest meaningful market-integrity risk that could lead to future restrictions. Evidence is indirect, hence Medium confidence.</t>
  </si>
  <si>
    <t>A. Strategic Fit &amp; Business Model Sustainability</t>
  </si>
  <si>
    <t>How clear and credible is the project’s core business model or utility proposition based on public disclosures? Choose: Clear and credible utility/business model, Partially clear with some gaps, Weak or mainly narrative with little substance, Unknown.</t>
  </si>
  <si>
    <t>Clear and credible utility/business model</t>
  </si>
  <si>
    <t>https://worldlibertyfinancial.com; https://www.businesswire.com/news/home/20250325773694/en/World-Liberty-Financial-Plans-to-Launch-USD1-the-Institutional-Ready-Stablecoin; https://governance.worldlibertyfinancial.com/t/proposal-use-75-of-usd1-reserve-yield-for-buyback-burn/42588</t>
  </si>
  <si>
    <t>2025-12-20; 2025-03-25; 2025-09-02</t>
  </si>
  <si>
    <t>Public materials describe a relatively clear and economically coherent model. WLFI is the governance and ecosystem token for a DeFi platform whose flagship product is USD1, a fully reserved, dollar‑redeemable stablecoin backed by short‑term Treasuries, cash and equivalents, with reserves custodied by BitGo. Revenue and value are intended to come from stablecoin reserve yield and protocol fees, with proposals to direct a large share of USD1 reserve yield into WLFI buyback-and-burn and staking rewards, giving WLFI defined utility beyond speculation.</t>
  </si>
  <si>
    <t>To what extent does the project appear to rely on token price appreciation and speculation rather than underlying product usage or cash flows? Choose: Primarily utility/usage-driven, Mixed (both usage and speculation), Heavily dependent on speculation/narrative, Unknown.</t>
  </si>
  <si>
    <t>Heavily dependent on speculation/narrative</t>
  </si>
  <si>
    <t>https://nypost.com/2025/09/02/business/trump-backed-wlfi-token-whipsaws-as-speculators-drive-billions-in-trades/; https://worldlibertyfinancial.com/; https://www.ft.com/content/2ea2b35b-e009-42ed-b4d3-6b21aa9b2a13</t>
  </si>
  <si>
    <t>2025-09-02; 2025-10-15</t>
  </si>
  <si>
    <t>Escalate where the token is assessed as heavily dependent on speculation or narrative with at least medium confidence, indicating limited underlying utility.</t>
  </si>
  <si>
    <t>WLFI launched with a multibillion-dollar valuation and has exhibited extreme volatility, with media explicitly attributing trading volumes and price swings to speculative activity rather than established protocol cash flows or mature product usage.
The core products (USD1, app, lending/borrowing) and WLFI staking mechanics are still being built out, while most project revenues to date derive from token sales and large investor purchases, not ongoing user fees. This indicates a heavy reliance on narrative and price appreciation.</t>
  </si>
  <si>
    <t>How diversified are the project’s core demand or revenue drivers (e.g., products, protocols, partners)? Choose: Diversified across multiple drivers, Moderately concentrated, Highly concentrated in a single driver, Unknown.</t>
  </si>
  <si>
    <t>Moderately concentrated</t>
  </si>
  <si>
    <t>https://en.wikipedia.org/wiki/World_Liberty_Financial; https://www.ft.com/content/2ea2b35b-e009-42ed-b4d3-6b21aa9b2a13; https://www.okx.com/en-us/learn/wlfi-price-tokenomics-market-trends</t>
  </si>
  <si>
    <t>2025-11-06; 2025-10-15; 2025-10-01</t>
  </si>
  <si>
    <t>Available information suggests WLFI’s economics revolve mainly around (1) WLFI token issuance and sales and (2) interest and fees from its USD1 stablecoin, whose reserves generate yield and whose trading is heavily promoted via specific partners like PancakeSwap, Binance, and later Solana-focused collaborations. While there are multiple initiatives and partnerships, they mostly funnel into the same WLFI–USD1 complex, indicating several related but not fully diversified demand and revenue drivers.</t>
  </si>
  <si>
    <t>≤120-word narrative summary for A.1 (business model clarity, reliance on speculation vs utility, and demand/revenue concentration).</t>
  </si>
  <si>
    <t>World Liberty Financial positions WLFI as a governance and utility token for a DeFi platform offering USD1 stablecoin, bridging, lending and app-based services. The core economic engine today appears heavily driven by primary WLFI token sales and secondary-market trading rather than mature, fee-based product usage, indicating high reliance on speculation and brand-driven demand. A Trump-family-linked corporate entity controls the protocol and receives a large share of token-sale economics, suggesting concentrated revenue capture and governance influence. Future utility-based demand may arise from protocol fees, governance rights, and integration with USD1, but these use cases remain early-stage relative to the token’s large valuation and trading focus.</t>
  </si>
  <si>
    <t>https://worldlibertyfinancial.com; https://en.wikipedia.org/wiki/World_Liberty_Financial; https://www.businesswire.com/news/home/20250317855322/en/Trump-Inspired-World-Liberty-Financial-Closes-%24550-Million-Across-Token-Sales</t>
  </si>
  <si>
    <t>2025-11-30; 2025-11-15; 2025-03-17</t>
  </si>
  <si>
    <t>Answer synthesizes protocol description, product set and reported token-sale economics; direct, granular revenue mix is not fully disclosed, so assessment of speculation vs utility and concentration involves some inference.</t>
  </si>
  <si>
    <t>B. Governance, Ethics &amp; Conduct History</t>
  </si>
  <si>
    <t>Have there been any credible regulatory or law-enforcement actions specifically against the project, its legal entities or key individuals? Choose: No actions identified, Minor actions or warnings resolved, Significant or ongoing enforcement actions, Unknown.</t>
  </si>
  <si>
    <t>No actions identified</t>
  </si>
  <si>
    <t>https://www.banking.senate.gov/newsroom/minority/warren-waters-probe-sec-on-trump-familys-crypto-company-and-possible-conflicts-of-interest; https://www.reuters.com/world/us/us-democrats-raise-regulatory-concerns-over-trump-family-crypto-venture-wsj-2025-03-28/; https://en.wikipedia.org/wiki/World_Liberty_Financial</t>
  </si>
  <si>
    <t>2025-03-27; 2025-03-28; 2025-09-15</t>
  </si>
  <si>
    <t>Escalate where significant or ongoing enforcement actions are identified against the project or key individuals with at least medium confidence.</t>
  </si>
  <si>
    <t>Public sources show significant political and ethics scrutiny of World Liberty Financial (letters from Senators Warren and Waters to the SEC and banking regulators, and broader media criticism), but I found no record of formal regulatory or law‑enforcement enforcement actions specifically charging WLFI, World Liberty Financial entities, or their principals in connection with this project as of 2025-12-21.</t>
  </si>
  <si>
    <t>Are there credible public allegations or findings of fraud, misappropriation, or serious misconduct involving founders or key individuals? Choose: No such issues identified, Some allegations but contested/resolved, Clear or repeated findings of serious misconduct, Unknown.</t>
  </si>
  <si>
    <t>Clear or repeated findings of serious misconduct</t>
  </si>
  <si>
    <t>https://en.wikipedia.org/wiki/World_Liberty_Financial; https://ag.ny.gov/press-release/2024/attorney-general-james-wins-landmark-victory-case-against-donald-trump; https://www.sec.gov/newsroom/press-releases/2023-59</t>
  </si>
  <si>
    <t>2025-12-18; 2024-02-16; 2023-03-22</t>
  </si>
  <si>
    <t>Escalate where there are clear or repeated findings of serious misconduct by founders or key individuals with at least medium confidence.</t>
  </si>
  <si>
    <t>Key figures behind WLFI include Trump family members and advisor Justin Sun. New York’s attorney general won a landmark civil case where a court found Donald Trump, his adult sons and their company had engaged in years of business fraud by inflating asset values, a finding later upheld even as the monetary penalty was reduced on appeal. Separately, the U.S. SEC has charged Justin Sun and his companies with fraud and market manipulation in TRX trading. These constitute clear, repeated findings and allegations of serious misconduct involving WLFI‑linked individuals.</t>
  </si>
  <si>
    <t>Based on public disclosures and credible commentary, how significant are conflicts of interest or extractive economic structures (e.g., opaque insider allocations, excessive fees, preferential treatment)? Choose: No material conflicts identified, Some concerns but mitigated or disclosed, Significant or opaque conflicts/extractive structures, Unknown.</t>
  </si>
  <si>
    <t>Significant or opaque conflicts/extractive structures</t>
  </si>
  <si>
    <t>https://en.wikipedia.org/wiki/World_Liberty_Financial; https://blog.mexc.com/what-is-wlfi/; https://www.reuters.com/technology/trumps-world-liberty-financial-crypto-venture-says-it-will-launch-stablecoin-2025-03-25/</t>
  </si>
  <si>
    <t>2025-12-18; 2025-07-01; 2025-03-25</t>
  </si>
  <si>
    <t>Public reporting indicates highly extractive economics and material conflicts. A Trump-controlled entity owns 60% of World Liberty and is entitled to 75% of all revenue from WLFI coin sales, with the Trump family receiving large upfront token allocations and billions in unsold WLFI value. Governance materials and third‑party overviews describe sizeable “initial supporter” allocations and fee distributions back to these insiders. Ethics experts have also highlighted conflicts between Trump’s political role and WLFI’s investors and policy agenda.</t>
  </si>
  <si>
    <t>≤120-word narrative summary for B.1 (regulatory actions, misconduct history and conflicts of interest).</t>
  </si>
  <si>
    <t>As of 21 December 2025, there are no publicly reported formal enforcement actions specifically against the WLFI token or World Liberty Financial. However, the project is closely tied to the Trump family and has attracted extensive ethics and conflict‑of‑interest scrutiny. Media and watchdogs highlight potential conflicts stemming from Trump’s dual role as U.S. president and beneficiary of WLFI revenues, large token and stablecoin deals with foreign sovereign‑linked entities (including UAE‑backed funds and Binance‑related structures), and financial links to Justin Sun, whose companies have faced SEC fraud actions. These relationships raise elevated political, regulatory, and reputational risk even in the absence of direct sanctions so far.</t>
  </si>
  <si>
    <t>Open sources show no direct regulatory enforcement against WLFI, but multiple reputable outlets document intense ethics and conflict‑of‑interest concerns involving Trump, foreign sovereign investors, Binance‑linked structures, and Justin Sun’s SEC issues, which materially elevate strategic and reputational risk despite the lack of formal actions to date.</t>
  </si>
  <si>
    <t>C. Reputational Risk &amp; Public Narrative</t>
  </si>
  <si>
    <t>How would you characterise mainstream and specialist media coverage of the project over time? Choose: Generally positive or balanced, Mixed with some critical pieces, Predominantly negative or scandal-focused, Unknown.</t>
  </si>
  <si>
    <t>Mixed with some critical pieces</t>
  </si>
  <si>
    <t>https://www.coindesk.com/markets/2025/03/14/trump-backed-world-liberty-financial-wlfi-completes-token-sale; https://www.reuters.com/business/finance/uae-fund-buys-100-million-trumps-world-liberty-tokens-2025-06-27/; https://www.wired.com/story/president-trump-crypto-treasury-world-liberty-financial</t>
  </si>
  <si>
    <t>2025-03-14; 2025-06-27; 2025-08-01</t>
  </si>
  <si>
    <t>Coverage includes bullish or neutral reporting on WLFI’s large token sales, valuations and listings from crypto and markets outlets, alongside substantial critical reporting from mainstream media and investigative pieces focusing on conflicts of interest, ethics concerns, foreign investors and governance/control issues. Overall tone is a mix of promotional and skeptical rather than uniformly positive or scandal‑only.</t>
  </si>
  <si>
    <t>Have there been major public scandals or controversies (non-technical) associated with the project (e.g., investor losses, misleading marketing, governance blow-ups)? Choose: No major controversies identified, Some controversy but limited in scope, Major or repeated controversies affecting many users, Unknown.</t>
  </si>
  <si>
    <t>Major or repeated controversies affecting many users</t>
  </si>
  <si>
    <t>https://www.reuters.com/business/finance/uae-fund-buys-100-million-trumps-world-liberty-tokens-2025-06-27/; https://coinmarketcap.com/academy/article/world-liberty-financial-denies-allegations-of-token-sales-and-preferential-deals-amid-controversy-and-market-scrutiny; https://www.bitget.com/wiki/world-liberty-financial-wlfi-token-scam</t>
  </si>
  <si>
    <t>2025-06-27; 2025-11-15; 2024-06-15</t>
  </si>
  <si>
    <t>Escalate where major or repeated controversies affecting many users are documented with at least medium confidence.</t>
  </si>
  <si>
    <t>Multiple major controversies are documented. Media and ethics groups highlight serious conflict-of-interest concerns given the Trump family’s ownership, political role, and foreign investment links, including a $100m UAE fund deal and broader diplomatic-ethics scrutiny. Independent coverage also reports allegations and denials around undisclosed WLFI token sales and preferential deals, and some third‑party analyses and commentators have characterized WLFI as scammy or high‑risk. These issues are high profile and affect a large user base.</t>
  </si>
  <si>
    <t>How would you characterise user and community feedback based on credible public sources (forums, reviews, social media, complaint sites)? Choose: Generally positive or neutral, Mixed with some pattern of complaints, Predominantly negative or repeated serious complaints, Unknown.</t>
  </si>
  <si>
    <t>Mixed with some pattern of complaints</t>
  </si>
  <si>
    <t>https://governance.worldlibertyfinancial.com/t/protect-yourself-from-wlfi-scams/30146; https://www.reddit.com/r/u_ksalab/comments/1n6kezs; https://timesofindia.indiatimes.com/sports/international-sports/matt-hardys-instagram-hijacked-in-shocking-crypto-scam-as-wlfi-token-fraud-fools-fans-worldwide/articleshow/124260366.cms</t>
  </si>
  <si>
    <t>2025-07-07; 2025-09-02; 2025-10-01</t>
  </si>
  <si>
    <t>Escalate where user/community feedback is predominantly negative with repeated serious complaints, with at least medium confidence.</t>
  </si>
  <si>
    <t>Public sentiment appears divided. Mainstream and crypto media highlight WLFI’s scale, political backing, and active community/governance, which attracts strong supporter interest. At the same time, community forums and social channels report recurring issues: phishing and wallet-drain scams targeting WLFI users, warnings about copycat/fake WLFI sites, and episodes like hijacked social accounts promoting fraudulent WLFI schemes. This mix of enthusiasm and repeated scam-related complaints supports a “mixed with some pattern of complaints” characterization.</t>
  </si>
  <si>
    <t>≤120-word narrative summary for C.1 (media tone, scandals and user/community feedback).</t>
  </si>
  <si>
    <t>Media coverage of WLFI is highly polarized, mixing hype, ethics concerns, and user confusion. Mainstream and crypto press highlight massive fundraising and listings but also extreme volatility, concentrated insider holdings, and Justin Sun’s public dispute over allegedly frozen tokens, which amplify governance and fairness worries.citeturn0search5turn0news16turn0news15 Ethics watchdogs and political media repeatedly question conflicts of interest around the Trump family’s large token stake and regulatory influence, framing WLFI as a potential “roadmap for corruption.”citeturn0news18turn0news22 Within the community, forum posts focus on scam impersonators and technical frictions, suggesting mixed but engaged user sentiment rather than clear organic enthusiasm.citeturn0search3turn0reddit13</t>
  </si>
  <si>
    <t>https://www.valuethemarkets.com/cryptocurrency/news/world-liberty-financial-launches-wlfi-token-with-30-billion-valuation; https://www.reuters.com/business/finance/trump-crypto-backer-justin-sun-says-his-world-liberty-tokens-frozen-2025-09-05/; https://governance.worldlibertyfinancial.com/t/protect-yourself-from-wlfi-scams/30146</t>
  </si>
  <si>
    <t>2025-09-04; 2025-09-05; 2025-07-07</t>
  </si>
  <si>
    <t>Synthesis of reputable news outlets (Guardian, Reuters, major business/crypto media) plus WLFI’s own governance forum and user Reddit discussions shows a consistent pattern of polarized publicity, ethics controversies, and active but wary community engagement. The sources directly evidence both positive buzz and significant reputational risk factors.</t>
  </si>
  <si>
    <t>D. ESG Alignment &amp; Real-World Impact</t>
  </si>
  <si>
    <t>Based on the underlying consensus mechanism and credible sources, how would you classify the token’s environmental impact profile? Choose: Low impact (e.g., PoS or similar), Moderate impact, High impact (e.g., PoW with high energy use), Unknown.</t>
  </si>
  <si>
    <t>Low impact (e.g., PoS or similar)</t>
  </si>
  <si>
    <t>https://finance.yahoo.com/news/trump-related-defi-platform-world-173044552.html; https://en.wikipedia.org/wiki/Ethereum; https://www.addleshawgoddard.com/en/insights/insights-briefings/2022/finance/ethereum-finalises-transition-away-energy-intensive-proof-work-stake-system/</t>
  </si>
  <si>
    <t>2025-08-24; 2024-03-19; 2022-09-15</t>
  </si>
  <si>
    <t>On-chain and press coverage indicate WLFI is issued and trades on Ethereum mainnet, meaning its activity inherits Ethereum’s Proof-of-Stake consensus.citeturn1search4 Ethereum completed its transition from energy‑intensive Proof-of-Work to Proof-of-Stake in September 2022, cutting its energy use and related emissions by over 99%.citeturn2search14turn2search2 Given this PoS foundation, WLFI’s consensus-related environmental impact profile is best classified as low impact versus PoW-based assets.</t>
  </si>
  <si>
    <t>Are there credible ESG-related controversies or criticisms specifically linked to this project (environmental, social or governance)? Choose: No material ESG controversies identified, Some ESG criticisms but limited, Significant or repeated ESG controversies, Unknown.</t>
  </si>
  <si>
    <t>Significant or repeated ESG controversies</t>
  </si>
  <si>
    <t>https://www.reuters.com/business/finance/uae-fund-buys-100-million-trumps-world-liberty-tokens-2025-06-27/; https://www.politico.com/news/2025/03/25/trump-family-crypto-venture-to-launch-a-stablecoin-00247455; https://coinmarketcap.com/academy/article/world-liberty-financial-denies-allegations-of-token-sales-and-preferential-deals-amid-controversy-and-market-scrutiny</t>
  </si>
  <si>
    <t>2025-06-27; 2025-03-25</t>
  </si>
  <si>
    <t>Escalate where significant or repeated ESG-related controversies are documented with at least medium confidence.</t>
  </si>
  <si>
    <t>There are substantial and ongoing governance and ethical concerns around WLFI. Media and ethics groups highlight potential conflicts of interest because the Trump family both controls the project and benefits heavily from token and fee flows while Trump is president. Coverage also flags scrutiny over Justin Sun’s large WLFI purchases amid reports of regulatory leniency toward his firms, and critics have publicly labeled the venture a grift. These repeated issues constitute material ESG controversy.</t>
  </si>
  <si>
    <t>≤120-word narrative summary for D.1 (environmental profile and ESG controversies).</t>
  </si>
  <si>
    <t>Publicly available information on WLFI reveals no dedicated environmental strategy, climate disclosures, or commitments to sustainable finance. The protocol’s core activity—Ethereum-based DeFi and a USD1 stablecoin—implies typical proof‑of‑stake network impacts, with no evidence of higher‑than‑peer environmental footprint or offset programs. ESG discussion instead centers on governance and reputational risk: WLFI is a Trump family–linked venture that channels a large share of token economics to insiders, and it has spawned spoofed or scam tokens using the WLFI name, prompting official community warnings. These factors indicate elevated controversy risk in governance and political association, but not specific environmental controversies to date.</t>
  </si>
  <si>
    <t>https://en.wikipedia.org/wiki/World_Liberty_Financial; https://www.businesswire.com/news/home/20250317855322/en/Trump-Inspired-World-Liberty-Financial-Closes-%24550-Million-Across-Token-Sales; https://governance.worldlibertyfinancial.com/t/protect-yourself-from-wlfi-scams/30146</t>
  </si>
  <si>
    <t>2025-11-24; 2025-03-17; 2025-07-07</t>
  </si>
  <si>
    <t>No primary environmental disclosures or climate commitments were identified; sources emphasize Trump-family control, token economics and governance, plus warnings about WLFI-themed scams. There is no concrete evidence of distinct environmental impacts versus other PoS DeFi tokens, so assessment focuses on ESG governance and reputational controversies rather than climate-specific issues, with moderate confidence given limited disclosures.</t>
  </si>
  <si>
    <t>E. Ecosystem, Partners &amp; Alignment with Regulated Finance</t>
  </si>
  <si>
    <t>How would you characterise the quality of institutional partners, backers or major integrations (if any)? Choose: Backed/partnered with reputable institutions, Mix of reputable and lesser-known partners, Mainly low-quality or opaque partners, Unknown.</t>
  </si>
  <si>
    <t>Mix of reputable and lesser-known partners</t>
  </si>
  <si>
    <t>https://www.prnewswire.com/news-releases/the-canton-network-announces-intention-to-deploy-world-liberty-financials-usd1-stablecoin-advancing-institutional-grade-onchain-finance-302643063.html; https://www.reuters.com/business/finance/uae-fund-buys-100-million-trumps-world-liberty-tokens-2025-06-27/; https://www.dwf-labs.com/news/541-us-expansion-wlfi-crypto-investment-announcement</t>
  </si>
  <si>
    <t>2025-12-16; 2025-06-27; 2025-04-16</t>
  </si>
  <si>
    <t>Evidence shows a heterogeneous set of backers and partners. On one side, WLFI has arrangements with or integrations into more institutional-facing actors such as the Canton Network and a Nasdaq-listed firm ALT5 Sigma for a large “crypto treasury” transaction. On the other, it is heavily associated with more controversial or opaque players like Justin Sun/HTX, DWF Labs, and the little-known Aqua 1 Foundation, plus retail-focused DeFi venues. Overall this supports a mix rather than clearly high- or low-quality partners.</t>
  </si>
  <si>
    <t>Have any major partners, backers or platforms publicly exited or distanced themselves from the project citing risk or conduct concerns? Choose: No such exits identified, Some exits for neutral/commercial reasons, Exits explicitly citing risk or conduct concerns, Unknown.</t>
  </si>
  <si>
    <t>No such exits identified</t>
  </si>
  <si>
    <t>https://en.wikipedia.org/wiki/World_Liberty_Financial; https://www.reuters.com/business/finance/uae-fund-buys-100-million-trumps-world-liberty-tokens-2025-06-27/; https://www.ft.com/content/68fe0d3f-1430-48a9-ad47-05cc707d73e9</t>
  </si>
  <si>
    <t>2025-11-24; 2025-06-27; 2025-08-12</t>
  </si>
  <si>
    <t>Escalate where major partners have publicly exited or distanced themselves citing risk or conduct concerns with at least medium confidence.</t>
  </si>
  <si>
    <t>Open‑source reporting on WLFI focuses on conflicts of interest, ethics and investor concerns, but available coverage describes new partnerships and major investors joining (e.g., Aqua 1 fund, ALT5 Sigma, Binance/PancakeSwap ecosystem) rather than any of these parties publicly exiting or cutting ties specifically citing risk or misconduct. I could not locate credible reports of major partners, backers or platforms formally distancing themselves for conduct‑related reasons.</t>
  </si>
  <si>
    <t>How do major regulated or “blue-chip” financial institutions (banks, asset managers, regulated exchanges) appear to position themselves in relation to this token, based on public information? Choose: Some positive or neutral inclusion/partnership, No material association identified, Public distancing or explicit exclusion, Unknown.</t>
  </si>
  <si>
    <t>Some positive or neutral inclusion/partnership</t>
  </si>
  <si>
    <t>https://www.nasdaq.com/press-release/world-liberty-financials-stablecoin-usd1-now-available-coinbase-2025-08-22; https://coinlaw.io/trump-wlfi-token-launch-binance-valuation/; https://www.theguardian.com/technology/2025/sep/02/trump-world-liberty-financial-cryptocurrency</t>
  </si>
  <si>
    <t>2025-08-22; 2025-09-02; 2025-09-02</t>
  </si>
  <si>
    <t>Escalate where major regulated institutions have publicly distanced themselves from or explicitly excluded the token, with at least medium confidence.</t>
  </si>
  <si>
    <t>Public information shows WLFI (and the related USD1 stablecoin) integrated on major, regulated or blue-chip exchanges. WLFI is listed for trading on large centralized exchanges including Coinbase and Binance, with Coinbase applying an “experimental” label, indicating risk but still offering access. Separately, Coinbase lists WLFI’s USD1 stablecoin for its users. No evidence was found of large banks or asset managers adopting WLFI directly, but these exchange listings constitute neutral-to-positive inclusion.</t>
  </si>
  <si>
    <t>≤120-word narrative summary for E.1 (partner quality, exits and positioning by major regulated institutions).</t>
  </si>
  <si>
    <t>WLFI has raised substantial capital from global investors but lacks visible endorsement or custody by major regulated banks, insurers, or blue‑chip asset managers. Publicly disclosed institutional exposure has been concentrated in higher‑risk or controversial actors such as ALT5 Sigma, Aqua1 Foundation and MGX, alongside association with Donald Trump’s family, drawing critical media and ethics scrutiny. USD1 has seen some use in a Binance‑linked transaction, but WLFI itself is not positioned as a core product for leading regulated financial institutions, and current coverage highlights reputational concerns rather than mainstream institutional partnerships.</t>
  </si>
  <si>
    <t>https://www.coindesk.com/markets/2025/03/14/trump-backed-world-liberty-financial-wlfi-completes-token-sale; https://www.reuters.com/investigations/inside-trump-familys-global-crypto-cash-machine-2025-10-28/; https://www.barrons.com/articles/alt5sigma-wlfi-trump-crypto-c8b636ea</t>
  </si>
  <si>
    <t>2025-03-14; 2025-10-28; 2025-11-28</t>
  </si>
  <si>
    <t>Media and investigative reporting identify WLFI’s main institutional and quasi‑institutional ties (ALT5 Sigma, Aqua1, MGX) and Trump‑family backing, with no evidence of partnerships with top‑tier regulated banks or asset managers; coverage focuses on ethical and reputational controversy, not blue‑chip adoption.</t>
  </si>
  <si>
    <t>Domain</t>
  </si>
  <si>
    <t>Weight</t>
  </si>
  <si>
    <t>Domain_Avg_Final_Score</t>
  </si>
  <si>
    <t>Domain_Risk_Band</t>
  </si>
  <si>
    <t>Domain_Score_1to5</t>
  </si>
  <si>
    <t>Weighted_Contribution (AvgScore)</t>
  </si>
  <si>
    <t>Any_Board_Escalation?</t>
  </si>
  <si>
    <t>Weakest_Subsection</t>
  </si>
  <si>
    <t>Token Fundamentals &amp; Governance</t>
  </si>
  <si>
    <t>Regulatory &amp; Legal Risk</t>
  </si>
  <si>
    <t>AML &amp; Sanctions Risk</t>
  </si>
  <si>
    <t>Technical &amp; Protocol Security</t>
  </si>
  <si>
    <t>Market &amp; Liquidity Integrity</t>
  </si>
  <si>
    <t>Strategic, Reputational &amp; ESG</t>
  </si>
  <si>
    <t>Composite Avg Final_Score:</t>
  </si>
  <si>
    <t>Overall Composite Band (5-level)</t>
  </si>
  <si>
    <t>Composite Score (1–5)</t>
  </si>
  <si>
    <t>Section-Level Matrix</t>
  </si>
  <si>
    <t>Section A</t>
  </si>
  <si>
    <t>Section B</t>
  </si>
  <si>
    <t>Section C</t>
  </si>
  <si>
    <t>Section D</t>
  </si>
  <si>
    <t>Section E</t>
  </si>
  <si>
    <t>RED FLAGS &amp; ESCALATIONS (AUTO-GENERATED)</t>
  </si>
  <si>
    <t>Any Domain Board Escalation Present?</t>
  </si>
  <si>
    <t>Domains with Board Escalation:</t>
  </si>
  <si>
    <t>Domains Rated Medium-High or High:</t>
  </si>
  <si>
    <t>How many distinct parties (independent entities or individuals) effectively control the treasury keys for the main treasury and ecosystem funds? Answer: DAO, ≥4, ≤3, Single, or Unknown if public sources do not clearly indicate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</si>
</sst>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8" x14ac:knownFonts="1">
    <font>
      <sz val="11"/>
      <color theme="1"/>
      <name val="Calibri"/>
      <family val="2"/>
      <scheme val="minor"/>
    </font>
    <font>
      <b/>
      <sz val="11"/>
      <color theme="1"/>
      <name val="Calibri"/>
      <family val="2"/>
      <scheme val="minor"/>
    </font>
    <font>
      <b/>
      <sz val="11"/>
      <name val="Calibri"/>
      <family val="2"/>
    </font>
    <font>
      <b/>
      <sz val="11"/>
      <color theme="0" tint="-4.9989318521683403E-2"/>
      <name val="Calibri"/>
      <family val="2"/>
      <scheme val="minor"/>
    </font>
    <font>
      <u/>
      <sz val="11"/>
      <color theme="10"/>
      <name val="Calibri"/>
      <family val="2"/>
      <scheme val="minor"/>
    </font>
    <font>
      <b/>
      <sz val="11"/>
      <color theme="0"/>
      <name val="Calibri"/>
      <family val="2"/>
      <scheme val="minor"/>
    </font>
    <font>
      <b/>
      <sz val="11"/>
      <color rgb="FF000000"/>
      <name val="Calibri"/>
      <family val="2"/>
      <scheme val="minor"/>
    </font>
    <font>
      <sz val="11"/>
      <color rgb="FF000000"/>
      <name val="Calibri"/>
      <family val="2"/>
      <scheme val="minor"/>
    </font>
  </fonts>
  <fills count="12">
    <fill>
      <patternFill patternType="none"/>
    </fill>
    <fill>
      <patternFill patternType="gray125"/>
    </fill>
    <fill>
      <patternFill patternType="solid">
        <fgColor rgb="FFEEEAFB"/>
      </patternFill>
    </fill>
    <fill>
      <patternFill patternType="solid">
        <fgColor theme="8" tint="-0.24997711111789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C00000"/>
        <bgColor indexed="64"/>
      </patternFill>
    </fill>
    <fill>
      <patternFill patternType="solid">
        <fgColor theme="0" tint="-0.14999847407452621"/>
        <bgColor indexed="64"/>
      </patternFill>
    </fill>
    <fill>
      <patternFill patternType="solid">
        <fgColor rgb="FFD9D9D9"/>
        <bgColor rgb="FF000000"/>
      </patternFill>
    </fill>
    <fill>
      <patternFill patternType="solid">
        <fgColor theme="8" tint="0.79998168889431442"/>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diagonal/>
    </border>
    <border>
      <left/>
      <right/>
      <top style="medium">
        <color indexed="64"/>
      </top>
      <bottom style="medium">
        <color indexed="64"/>
      </bottom>
      <diagonal/>
    </border>
    <border>
      <left style="thin">
        <color indexed="64"/>
      </left>
      <right style="thin">
        <color auto="1"/>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indexed="64"/>
      </left>
      <right/>
      <top/>
      <bottom style="medium">
        <color theme="1"/>
      </bottom>
      <diagonal/>
    </border>
  </borders>
  <cellStyleXfs count="2">
    <xf numFmtId="0" fontId="0" fillId="0" borderId="0"/>
    <xf numFmtId="0" fontId="4" fillId="0" borderId="0"/>
  </cellStyleXfs>
  <cellXfs count="61">
    <xf numFmtId="0" fontId="0" fillId="0" borderId="0" xfId="0"/>
    <xf numFmtId="0" fontId="1" fillId="0" borderId="1" xfId="0" applyFont="1" applyBorder="1" applyAlignment="1">
      <alignment horizontal="center" vertical="top"/>
    </xf>
    <xf numFmtId="0" fontId="2" fillId="2" borderId="0" xfId="0" applyFont="1" applyFill="1"/>
    <xf numFmtId="0" fontId="2" fillId="2" borderId="0" xfId="0" applyFont="1" applyFill="1" applyAlignment="1">
      <alignment horizontal="left"/>
    </xf>
    <xf numFmtId="0" fontId="1" fillId="3" borderId="0" xfId="0" applyFont="1" applyFill="1" applyAlignment="1">
      <alignment horizontal="center" vertical="top"/>
    </xf>
    <xf numFmtId="0" fontId="3" fillId="3" borderId="0" xfId="0" applyFont="1" applyFill="1" applyAlignment="1">
      <alignment horizontal="center" vertical="top"/>
    </xf>
    <xf numFmtId="0" fontId="1"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 fillId="4" borderId="1" xfId="0" applyFont="1" applyFill="1" applyBorder="1" applyAlignment="1">
      <alignment horizontal="center" vertical="top"/>
    </xf>
    <xf numFmtId="0" fontId="0" fillId="0" borderId="0" xfId="0" applyAlignment="1">
      <alignment vertical="top" wrapText="1"/>
    </xf>
    <xf numFmtId="0" fontId="1" fillId="0" borderId="1" xfId="0" applyFont="1" applyBorder="1" applyAlignment="1">
      <alignment vertical="top" wrapText="1"/>
    </xf>
    <xf numFmtId="0" fontId="0" fillId="0" borderId="1" xfId="0" applyBorder="1" applyAlignment="1">
      <alignment vertical="top" wrapText="1"/>
    </xf>
    <xf numFmtId="164" fontId="1" fillId="0" borderId="1" xfId="0" applyNumberFormat="1" applyFont="1" applyBorder="1" applyAlignment="1">
      <alignment horizontal="center" vertical="top"/>
    </xf>
    <xf numFmtId="164" fontId="1" fillId="3" borderId="0" xfId="0" applyNumberFormat="1" applyFont="1" applyFill="1" applyAlignment="1">
      <alignment horizontal="center" vertical="top"/>
    </xf>
    <xf numFmtId="164" fontId="0" fillId="0" borderId="0" xfId="0" applyNumberFormat="1"/>
    <xf numFmtId="164" fontId="2" fillId="2" borderId="0" xfId="0" applyNumberFormat="1" applyFont="1" applyFill="1" applyAlignment="1">
      <alignment horizontal="left"/>
    </xf>
    <xf numFmtId="164" fontId="1" fillId="0" borderId="0" xfId="0" applyNumberFormat="1" applyFont="1"/>
    <xf numFmtId="0" fontId="0" fillId="0" borderId="15" xfId="0" applyBorder="1"/>
    <xf numFmtId="0" fontId="0" fillId="0" borderId="14" xfId="0" applyBorder="1"/>
    <xf numFmtId="0" fontId="0" fillId="0" borderId="18" xfId="0" applyBorder="1"/>
    <xf numFmtId="0" fontId="0" fillId="0" borderId="1" xfId="0" applyBorder="1"/>
    <xf numFmtId="0" fontId="7" fillId="0" borderId="4" xfId="0" applyFont="1" applyBorder="1"/>
    <xf numFmtId="0" fontId="7" fillId="0" borderId="12" xfId="0" applyFont="1" applyBorder="1"/>
    <xf numFmtId="0" fontId="7" fillId="0" borderId="2" xfId="0" applyFont="1" applyBorder="1"/>
    <xf numFmtId="0" fontId="7" fillId="0" borderId="0" xfId="0" applyFont="1"/>
    <xf numFmtId="0" fontId="7" fillId="0" borderId="9" xfId="0" applyFont="1" applyBorder="1"/>
    <xf numFmtId="0" fontId="7" fillId="0" borderId="3" xfId="0" applyFont="1" applyBorder="1"/>
    <xf numFmtId="0" fontId="7" fillId="0" borderId="11" xfId="0" applyFont="1" applyBorder="1"/>
    <xf numFmtId="0" fontId="1" fillId="0" borderId="23" xfId="0" applyFont="1" applyBorder="1"/>
    <xf numFmtId="0" fontId="0" fillId="0" borderId="17" xfId="0" applyBorder="1"/>
    <xf numFmtId="0" fontId="4" fillId="6" borderId="1" xfId="1" applyFill="1" applyBorder="1" applyAlignment="1">
      <alignment horizontal="center"/>
    </xf>
    <xf numFmtId="0" fontId="0" fillId="0" borderId="13" xfId="0" applyBorder="1"/>
    <xf numFmtId="0" fontId="0" fillId="0" borderId="14" xfId="0" applyBorder="1"/>
    <xf numFmtId="0" fontId="4" fillId="7" borderId="1" xfId="1" applyFill="1" applyBorder="1" applyAlignment="1">
      <alignment horizontal="center"/>
    </xf>
    <xf numFmtId="0" fontId="0" fillId="11" borderId="3" xfId="0" applyFill="1" applyBorder="1" applyAlignment="1">
      <alignment horizontal="right"/>
    </xf>
    <xf numFmtId="0" fontId="0" fillId="0" borderId="9" xfId="0" applyBorder="1"/>
    <xf numFmtId="0" fontId="0" fillId="11" borderId="4" xfId="0" applyFill="1" applyBorder="1" applyAlignment="1">
      <alignment horizontal="right"/>
    </xf>
    <xf numFmtId="0" fontId="0" fillId="0" borderId="12" xfId="0" applyBorder="1"/>
    <xf numFmtId="0" fontId="2" fillId="2" borderId="0" xfId="0" applyFont="1" applyFill="1" applyAlignment="1">
      <alignment horizontal="left"/>
    </xf>
    <xf numFmtId="0" fontId="0" fillId="0" borderId="0" xfId="0"/>
    <xf numFmtId="164" fontId="0" fillId="0" borderId="0" xfId="0" applyNumberFormat="1"/>
    <xf numFmtId="0" fontId="0" fillId="9" borderId="1" xfId="0" applyFill="1" applyBorder="1" applyAlignment="1">
      <alignment horizontal="center"/>
    </xf>
    <xf numFmtId="0" fontId="5" fillId="3" borderId="17" xfId="0" applyFont="1" applyFill="1" applyBorder="1" applyAlignment="1">
      <alignment horizontal="center"/>
    </xf>
    <xf numFmtId="0" fontId="0" fillId="0" borderId="19" xfId="0" applyBorder="1"/>
    <xf numFmtId="0" fontId="0" fillId="0" borderId="16" xfId="0" applyBorder="1"/>
    <xf numFmtId="0" fontId="1" fillId="9" borderId="1" xfId="0" applyFont="1" applyFill="1" applyBorder="1" applyAlignment="1">
      <alignment horizontal="center"/>
    </xf>
    <xf numFmtId="0" fontId="6" fillId="10" borderId="20" xfId="0" applyFont="1" applyFill="1" applyBorder="1" applyAlignment="1">
      <alignment horizontal="center"/>
    </xf>
    <xf numFmtId="0" fontId="0" fillId="0" borderId="21" xfId="0" applyBorder="1"/>
    <xf numFmtId="0" fontId="0" fillId="0" borderId="22" xfId="0" applyBorder="1"/>
    <xf numFmtId="0" fontId="1" fillId="5" borderId="1" xfId="0" applyFont="1" applyFill="1" applyBorder="1" applyAlignment="1">
      <alignment horizontal="center" vertical="top"/>
    </xf>
    <xf numFmtId="0" fontId="5" fillId="8" borderId="17" xfId="0" applyFont="1" applyFill="1" applyBorder="1" applyAlignment="1">
      <alignment horizontal="center" vertical="top"/>
    </xf>
  </cellXfs>
  <cellStyles count="2">
    <cellStyle name="Hyperlink" xfId="1" builtinId="8"/>
    <cellStyle name="Normal" xfId="0" builtinId="0"/>
  </cellStyles>
  <dxfs count="24">
    <dxf>
      <fill>
        <patternFill patternType="solid">
          <fgColor rgb="FFEAF7EA"/>
          <bgColor rgb="FFEAF7EA"/>
        </patternFill>
      </fill>
    </dxf>
    <dxf>
      <fill>
        <patternFill patternType="solid">
          <fgColor rgb="FFFF0000"/>
          <bgColor rgb="FFC00000"/>
        </patternFill>
      </fill>
    </dxf>
    <dxf>
      <fill>
        <patternFill patternType="solid">
          <fgColor rgb="FFFF0000"/>
          <bgColor rgb="FFC00000"/>
        </patternFill>
      </fill>
    </dxf>
    <dxf>
      <fill>
        <patternFill patternType="solid">
          <fgColor rgb="FFF4B084"/>
          <bgColor theme="9" tint="0.39994506668294322"/>
        </patternFill>
      </fill>
    </dxf>
    <dxf>
      <fill>
        <patternFill patternType="solid">
          <fgColor rgb="FFFFF2CC"/>
          <bgColor rgb="FFFFFD78"/>
        </patternFill>
      </fill>
    </dxf>
    <dxf>
      <fill>
        <patternFill patternType="solid">
          <fgColor rgb="FFD9EAD3"/>
          <bgColor rgb="FFD5FC79"/>
        </patternFill>
      </fill>
    </dxf>
    <dxf>
      <fill>
        <patternFill patternType="solid">
          <fgColor rgb="FFC6EFCE"/>
          <bgColor rgb="FF73FB79"/>
        </patternFill>
      </fill>
    </dxf>
    <dxf>
      <fill>
        <patternFill patternType="solid">
          <fgColor rgb="FFFF0000"/>
          <bgColor rgb="FFC00000"/>
        </patternFill>
      </fill>
    </dxf>
    <dxf>
      <fill>
        <patternFill patternType="solid">
          <fgColor rgb="FFF4B084"/>
          <bgColor rgb="FFF4B084"/>
        </patternFill>
      </fill>
    </dxf>
    <dxf>
      <fill>
        <patternFill patternType="solid">
          <fgColor rgb="FFFFF2CC"/>
          <bgColor rgb="FFFFFD78"/>
        </patternFill>
      </fill>
    </dxf>
    <dxf>
      <fill>
        <patternFill patternType="solid">
          <fgColor rgb="FFD9EAD3"/>
          <bgColor rgb="FFD5FC79"/>
        </patternFill>
      </fill>
    </dxf>
    <dxf>
      <fill>
        <patternFill patternType="solid">
          <fgColor rgb="FFC6EFCE"/>
          <bgColor rgb="FF73FB79"/>
        </patternFill>
      </fill>
    </dxf>
    <dxf>
      <fill>
        <patternFill patternType="solid">
          <fgColor rgb="FFFF0000"/>
          <bgColor rgb="FFFF0000"/>
        </patternFill>
      </fill>
    </dxf>
    <dxf>
      <fill>
        <patternFill patternType="solid">
          <fgColor rgb="FFEAF7EA"/>
          <bgColor rgb="FFEAF7EA"/>
        </patternFill>
      </fill>
    </dxf>
    <dxf>
      <fill>
        <patternFill patternType="solid">
          <fgColor rgb="FFFF0000"/>
          <bgColor rgb="FFFF0000"/>
        </patternFill>
      </fill>
    </dxf>
    <dxf>
      <fill>
        <patternFill patternType="solid">
          <fgColor rgb="FFEAF7EA"/>
          <bgColor rgb="FFEAF7EA"/>
        </patternFill>
      </fill>
    </dxf>
    <dxf>
      <fill>
        <patternFill patternType="solid">
          <fgColor rgb="FFFF0000"/>
          <bgColor rgb="FFFF0000"/>
        </patternFill>
      </fill>
    </dxf>
    <dxf>
      <fill>
        <patternFill patternType="solid">
          <fgColor rgb="FFEAF7EA"/>
          <bgColor rgb="FFEAF7EA"/>
        </patternFill>
      </fill>
    </dxf>
    <dxf>
      <fill>
        <patternFill patternType="solid">
          <fgColor rgb="FFFF0000"/>
          <bgColor rgb="FFFF0000"/>
        </patternFill>
      </fill>
    </dxf>
    <dxf>
      <fill>
        <patternFill patternType="solid">
          <fgColor rgb="FFEAF7EA"/>
          <bgColor rgb="FFEAF7EA"/>
        </patternFill>
      </fill>
    </dxf>
    <dxf>
      <fill>
        <patternFill patternType="solid">
          <fgColor rgb="FFFF0000"/>
          <bgColor rgb="FFFF0000"/>
        </patternFill>
      </fill>
    </dxf>
    <dxf>
      <fill>
        <patternFill patternType="solid">
          <fgColor rgb="FFEAF7EA"/>
          <bgColor rgb="FFEAF7EA"/>
        </patternFill>
      </fill>
    </dxf>
    <dxf>
      <fill>
        <patternFill patternType="solid">
          <fgColor rgb="FFFF0000"/>
          <bgColor rgb="FFFF0000"/>
        </patternFill>
      </fill>
    </dxf>
    <dxf>
      <fill>
        <patternFill patternType="solid">
          <fgColor rgb="FFEAF7EA"/>
          <bgColor rgb="FFEAF7E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6:H390"/>
  <sheetViews>
    <sheetView topLeftCell="A30" workbookViewId="0">
      <selection activeCell="D9" sqref="D9"/>
    </sheetView>
  </sheetViews>
  <sheetFormatPr baseColWidth="10" defaultRowHeight="15" x14ac:dyDescent="0.2"/>
  <cols>
    <col min="5" max="8" width="32.6640625" style="19" customWidth="1"/>
    <col min="14" max="15" width="10.83203125" customWidth="1"/>
  </cols>
  <sheetData>
    <row r="86" spans="1:4" x14ac:dyDescent="0.2">
      <c r="A86" s="40" t="s">
        <v>0</v>
      </c>
      <c r="B86" s="41"/>
      <c r="C86" s="41"/>
      <c r="D86" s="42"/>
    </row>
    <row r="93" spans="1:4" x14ac:dyDescent="0.2">
      <c r="A93" s="40" t="s">
        <v>1</v>
      </c>
      <c r="B93" s="41"/>
      <c r="C93" s="41"/>
      <c r="D93" s="42"/>
    </row>
    <row r="99" spans="1:4" x14ac:dyDescent="0.2">
      <c r="A99" s="40" t="s">
        <v>2</v>
      </c>
      <c r="B99" s="41"/>
      <c r="C99" s="41"/>
      <c r="D99" s="42"/>
    </row>
    <row r="104" spans="1:4" x14ac:dyDescent="0.2">
      <c r="A104" s="40" t="s">
        <v>3</v>
      </c>
      <c r="B104" s="41"/>
      <c r="C104" s="41"/>
      <c r="D104" s="42"/>
    </row>
    <row r="110" spans="1:4" x14ac:dyDescent="0.2">
      <c r="A110" s="40" t="s">
        <v>4</v>
      </c>
      <c r="B110" s="41"/>
      <c r="C110" s="41"/>
      <c r="D110" s="42"/>
    </row>
    <row r="116" spans="1:4" x14ac:dyDescent="0.2">
      <c r="A116" s="40" t="s">
        <v>5</v>
      </c>
      <c r="B116" s="41"/>
      <c r="C116" s="41"/>
      <c r="D116" s="42"/>
    </row>
    <row r="231" spans="1:8" x14ac:dyDescent="0.2">
      <c r="A231" s="43" t="s">
        <v>6</v>
      </c>
      <c r="B231" s="41"/>
      <c r="C231" s="41"/>
      <c r="D231" s="42"/>
    </row>
    <row r="237" spans="1:8" ht="16" customHeight="1" x14ac:dyDescent="0.2">
      <c r="E237" s="20" t="s">
        <v>7</v>
      </c>
      <c r="F237" s="20" t="s">
        <v>8</v>
      </c>
      <c r="G237" s="20" t="s">
        <v>9</v>
      </c>
      <c r="H237" s="20" t="s">
        <v>10</v>
      </c>
    </row>
    <row r="238" spans="1:8" ht="272" customHeight="1" x14ac:dyDescent="0.2">
      <c r="E238" s="20" t="s">
        <v>11</v>
      </c>
      <c r="F238" s="20" t="s">
        <v>12</v>
      </c>
      <c r="G238" s="21" t="s">
        <v>13</v>
      </c>
      <c r="H238" s="21" t="s">
        <v>14</v>
      </c>
    </row>
    <row r="239" spans="1:8" ht="256" customHeight="1" x14ac:dyDescent="0.2">
      <c r="E239" s="20" t="s">
        <v>15</v>
      </c>
      <c r="F239" s="20" t="s">
        <v>16</v>
      </c>
      <c r="G239" s="19" t="s">
        <v>17</v>
      </c>
      <c r="H239" s="21" t="s">
        <v>18</v>
      </c>
    </row>
    <row r="240" spans="1:8" ht="272" customHeight="1" x14ac:dyDescent="0.2">
      <c r="E240" s="20" t="s">
        <v>19</v>
      </c>
      <c r="F240" s="20" t="s">
        <v>20</v>
      </c>
      <c r="G240" s="21" t="s">
        <v>21</v>
      </c>
      <c r="H240" s="21" t="s">
        <v>22</v>
      </c>
    </row>
    <row r="241" spans="5:8" ht="208" customHeight="1" x14ac:dyDescent="0.2">
      <c r="E241" s="20" t="s">
        <v>23</v>
      </c>
      <c r="F241" s="21" t="s">
        <v>24</v>
      </c>
      <c r="G241" s="21" t="s">
        <v>25</v>
      </c>
      <c r="H241" s="21" t="s">
        <v>26</v>
      </c>
    </row>
    <row r="258" spans="1:8" x14ac:dyDescent="0.2">
      <c r="A258" s="43" t="s">
        <v>6</v>
      </c>
      <c r="B258" s="41"/>
      <c r="C258" s="41"/>
      <c r="D258" s="42"/>
    </row>
    <row r="264" spans="1:8" ht="16" customHeight="1" x14ac:dyDescent="0.2">
      <c r="E264" s="20" t="s">
        <v>7</v>
      </c>
      <c r="F264" s="20" t="s">
        <v>8</v>
      </c>
      <c r="G264" s="20" t="s">
        <v>9</v>
      </c>
      <c r="H264" s="20" t="s">
        <v>27</v>
      </c>
    </row>
    <row r="265" spans="1:8" ht="395" customHeight="1" x14ac:dyDescent="0.2">
      <c r="E265" s="20" t="s">
        <v>28</v>
      </c>
      <c r="F265" s="20" t="s">
        <v>29</v>
      </c>
      <c r="G265" s="19" t="s">
        <v>30</v>
      </c>
      <c r="H265" s="21" t="s">
        <v>31</v>
      </c>
    </row>
    <row r="266" spans="1:8" ht="320" customHeight="1" x14ac:dyDescent="0.2">
      <c r="E266" s="20" t="s">
        <v>32</v>
      </c>
      <c r="F266" s="20" t="s">
        <v>33</v>
      </c>
      <c r="G266" s="21" t="s">
        <v>34</v>
      </c>
      <c r="H266" s="21" t="s">
        <v>35</v>
      </c>
    </row>
    <row r="267" spans="1:8" ht="320" customHeight="1" x14ac:dyDescent="0.2">
      <c r="E267" s="20" t="s">
        <v>36</v>
      </c>
      <c r="F267" s="20" t="s">
        <v>37</v>
      </c>
      <c r="G267" s="21" t="s">
        <v>38</v>
      </c>
      <c r="H267" s="21" t="s">
        <v>39</v>
      </c>
    </row>
    <row r="268" spans="1:8" ht="272" customHeight="1" x14ac:dyDescent="0.2">
      <c r="E268" s="20" t="s">
        <v>40</v>
      </c>
      <c r="F268" s="20" t="s">
        <v>41</v>
      </c>
      <c r="G268" s="21" t="s">
        <v>42</v>
      </c>
      <c r="H268" s="21" t="s">
        <v>43</v>
      </c>
    </row>
    <row r="269" spans="1:8" ht="208" customHeight="1" x14ac:dyDescent="0.2">
      <c r="E269" s="20" t="s">
        <v>44</v>
      </c>
      <c r="F269" s="21" t="s">
        <v>45</v>
      </c>
      <c r="G269" s="21" t="s">
        <v>46</v>
      </c>
      <c r="H269" s="21" t="s">
        <v>47</v>
      </c>
    </row>
    <row r="287" spans="1:4" x14ac:dyDescent="0.2">
      <c r="A287" s="43" t="s">
        <v>6</v>
      </c>
      <c r="B287" s="41"/>
      <c r="C287" s="41"/>
      <c r="D287" s="42"/>
    </row>
    <row r="294" spans="5:8" ht="16" customHeight="1" x14ac:dyDescent="0.2">
      <c r="E294" s="20" t="s">
        <v>7</v>
      </c>
      <c r="F294" s="20" t="s">
        <v>8</v>
      </c>
      <c r="G294" s="20" t="s">
        <v>9</v>
      </c>
      <c r="H294" s="20" t="s">
        <v>48</v>
      </c>
    </row>
    <row r="295" spans="5:8" ht="240" customHeight="1" x14ac:dyDescent="0.2">
      <c r="E295" s="20" t="s">
        <v>49</v>
      </c>
      <c r="F295" s="20" t="s">
        <v>50</v>
      </c>
      <c r="G295" s="21" t="s">
        <v>51</v>
      </c>
      <c r="H295" s="21" t="s">
        <v>52</v>
      </c>
    </row>
    <row r="296" spans="5:8" ht="240" customHeight="1" x14ac:dyDescent="0.2">
      <c r="E296" s="20" t="s">
        <v>53</v>
      </c>
      <c r="F296" s="20" t="s">
        <v>54</v>
      </c>
      <c r="G296" s="21" t="s">
        <v>55</v>
      </c>
      <c r="H296" s="21" t="s">
        <v>56</v>
      </c>
    </row>
    <row r="297" spans="5:8" ht="272" customHeight="1" x14ac:dyDescent="0.2">
      <c r="E297" s="20" t="s">
        <v>57</v>
      </c>
      <c r="F297" s="21" t="s">
        <v>58</v>
      </c>
      <c r="G297" s="21" t="s">
        <v>59</v>
      </c>
      <c r="H297" s="21" t="s">
        <v>60</v>
      </c>
    </row>
    <row r="298" spans="5:8" ht="304" customHeight="1" x14ac:dyDescent="0.2">
      <c r="E298" s="20" t="s">
        <v>61</v>
      </c>
      <c r="F298" s="20" t="s">
        <v>62</v>
      </c>
      <c r="G298" s="21" t="s">
        <v>63</v>
      </c>
      <c r="H298" s="21" t="s">
        <v>64</v>
      </c>
    </row>
    <row r="299" spans="5:8" ht="272" customHeight="1" x14ac:dyDescent="0.2">
      <c r="E299" s="20" t="s">
        <v>65</v>
      </c>
      <c r="F299" s="20" t="s">
        <v>66</v>
      </c>
      <c r="G299" s="21" t="s">
        <v>67</v>
      </c>
      <c r="H299" s="21" t="s">
        <v>68</v>
      </c>
    </row>
    <row r="300" spans="5:8" ht="192" customHeight="1" x14ac:dyDescent="0.2">
      <c r="E300" s="20" t="s">
        <v>69</v>
      </c>
      <c r="F300" s="21" t="s">
        <v>70</v>
      </c>
      <c r="G300" s="21" t="s">
        <v>71</v>
      </c>
      <c r="H300" s="21" t="s">
        <v>72</v>
      </c>
    </row>
    <row r="317" spans="1:4" x14ac:dyDescent="0.2">
      <c r="A317" s="43" t="s">
        <v>6</v>
      </c>
      <c r="B317" s="41"/>
      <c r="C317" s="41"/>
      <c r="D317" s="42"/>
    </row>
    <row r="325" spans="5:8" ht="16" customHeight="1" x14ac:dyDescent="0.2">
      <c r="E325" s="20" t="s">
        <v>7</v>
      </c>
      <c r="F325" s="20" t="s">
        <v>8</v>
      </c>
      <c r="G325" s="20" t="s">
        <v>9</v>
      </c>
      <c r="H325" s="20" t="s">
        <v>73</v>
      </c>
    </row>
    <row r="326" spans="5:8" ht="256" customHeight="1" x14ac:dyDescent="0.2">
      <c r="E326" s="20" t="s">
        <v>74</v>
      </c>
      <c r="F326" s="20" t="s">
        <v>75</v>
      </c>
      <c r="G326" s="21" t="s">
        <v>76</v>
      </c>
      <c r="H326" s="21" t="s">
        <v>77</v>
      </c>
    </row>
    <row r="327" spans="5:8" ht="240" customHeight="1" x14ac:dyDescent="0.2">
      <c r="E327" s="20" t="s">
        <v>78</v>
      </c>
      <c r="F327" s="21" t="s">
        <v>79</v>
      </c>
      <c r="G327" s="21" t="s">
        <v>80</v>
      </c>
      <c r="H327" s="21" t="s">
        <v>81</v>
      </c>
    </row>
    <row r="328" spans="5:8" ht="272" customHeight="1" x14ac:dyDescent="0.2">
      <c r="E328" s="20" t="s">
        <v>82</v>
      </c>
      <c r="F328" s="20" t="s">
        <v>83</v>
      </c>
      <c r="G328" s="21" t="s">
        <v>84</v>
      </c>
      <c r="H328" s="21" t="s">
        <v>85</v>
      </c>
    </row>
    <row r="329" spans="5:8" ht="272" customHeight="1" x14ac:dyDescent="0.2">
      <c r="E329" s="20" t="s">
        <v>86</v>
      </c>
      <c r="F329" s="21" t="s">
        <v>87</v>
      </c>
      <c r="G329" s="21" t="s">
        <v>88</v>
      </c>
      <c r="H329" s="21" t="s">
        <v>89</v>
      </c>
    </row>
    <row r="330" spans="5:8" ht="272" customHeight="1" x14ac:dyDescent="0.2">
      <c r="E330" s="20" t="s">
        <v>90</v>
      </c>
      <c r="F330" s="20" t="s">
        <v>91</v>
      </c>
      <c r="G330" s="21" t="s">
        <v>92</v>
      </c>
      <c r="H330" s="21" t="s">
        <v>93</v>
      </c>
    </row>
    <row r="331" spans="5:8" ht="240" customHeight="1" x14ac:dyDescent="0.2">
      <c r="E331" s="20" t="s">
        <v>94</v>
      </c>
      <c r="F331" s="20" t="s">
        <v>95</v>
      </c>
      <c r="G331" s="21" t="s">
        <v>96</v>
      </c>
      <c r="H331" s="21" t="s">
        <v>97</v>
      </c>
    </row>
    <row r="349" spans="1:4" x14ac:dyDescent="0.2">
      <c r="A349" s="43" t="s">
        <v>6</v>
      </c>
      <c r="B349" s="41"/>
      <c r="C349" s="41"/>
      <c r="D349" s="42"/>
    </row>
    <row r="356" spans="5:8" ht="16" customHeight="1" x14ac:dyDescent="0.2">
      <c r="E356" s="20" t="s">
        <v>7</v>
      </c>
      <c r="F356" s="20" t="s">
        <v>8</v>
      </c>
      <c r="G356" s="20" t="s">
        <v>9</v>
      </c>
      <c r="H356" s="20" t="s">
        <v>98</v>
      </c>
    </row>
    <row r="357" spans="5:8" ht="272" customHeight="1" x14ac:dyDescent="0.2">
      <c r="E357" s="20" t="s">
        <v>99</v>
      </c>
      <c r="F357" s="21" t="s">
        <v>100</v>
      </c>
      <c r="G357" s="19" t="s">
        <v>101</v>
      </c>
      <c r="H357" s="21" t="s">
        <v>102</v>
      </c>
    </row>
    <row r="358" spans="5:8" ht="288" customHeight="1" x14ac:dyDescent="0.2">
      <c r="E358" s="20" t="s">
        <v>103</v>
      </c>
      <c r="F358" s="19" t="s">
        <v>104</v>
      </c>
      <c r="G358" s="21" t="s">
        <v>105</v>
      </c>
      <c r="H358" s="21" t="s">
        <v>106</v>
      </c>
    </row>
    <row r="359" spans="5:8" ht="256" customHeight="1" x14ac:dyDescent="0.2">
      <c r="E359" s="20" t="s">
        <v>107</v>
      </c>
      <c r="F359" s="20" t="s">
        <v>108</v>
      </c>
      <c r="G359" s="21" t="s">
        <v>109</v>
      </c>
      <c r="H359" s="21" t="s">
        <v>110</v>
      </c>
    </row>
    <row r="360" spans="5:8" ht="288" customHeight="1" x14ac:dyDescent="0.2">
      <c r="E360" s="20" t="s">
        <v>111</v>
      </c>
      <c r="F360" s="20" t="s">
        <v>112</v>
      </c>
      <c r="G360" s="21" t="s">
        <v>113</v>
      </c>
      <c r="H360" s="21" t="s">
        <v>114</v>
      </c>
    </row>
    <row r="361" spans="5:8" ht="240" customHeight="1" x14ac:dyDescent="0.2">
      <c r="E361" s="20" t="s">
        <v>115</v>
      </c>
      <c r="F361" s="21" t="s">
        <v>116</v>
      </c>
      <c r="G361" s="21" t="s">
        <v>117</v>
      </c>
      <c r="H361" s="21" t="s">
        <v>118</v>
      </c>
    </row>
    <row r="378" spans="1:4" x14ac:dyDescent="0.2">
      <c r="A378" s="43" t="s">
        <v>6</v>
      </c>
      <c r="B378" s="41"/>
      <c r="C378" s="41"/>
      <c r="D378" s="42"/>
    </row>
    <row r="385" spans="5:8" ht="16" customHeight="1" x14ac:dyDescent="0.2">
      <c r="E385" s="20" t="s">
        <v>7</v>
      </c>
      <c r="F385" s="20" t="s">
        <v>8</v>
      </c>
      <c r="G385" s="20" t="s">
        <v>9</v>
      </c>
      <c r="H385" s="20" t="s">
        <v>119</v>
      </c>
    </row>
    <row r="386" spans="5:8" ht="240" customHeight="1" x14ac:dyDescent="0.2">
      <c r="E386" s="20" t="s">
        <v>120</v>
      </c>
      <c r="F386" s="20" t="s">
        <v>121</v>
      </c>
      <c r="G386" s="21" t="s">
        <v>122</v>
      </c>
      <c r="H386" s="21" t="s">
        <v>123</v>
      </c>
    </row>
    <row r="387" spans="5:8" ht="288" customHeight="1" x14ac:dyDescent="0.2">
      <c r="E387" s="20" t="s">
        <v>124</v>
      </c>
      <c r="F387" s="21" t="s">
        <v>125</v>
      </c>
      <c r="G387" s="21" t="s">
        <v>126</v>
      </c>
      <c r="H387" s="21" t="s">
        <v>127</v>
      </c>
    </row>
    <row r="388" spans="5:8" ht="272" customHeight="1" x14ac:dyDescent="0.2">
      <c r="E388" s="20" t="s">
        <v>128</v>
      </c>
      <c r="F388" s="21" t="s">
        <v>129</v>
      </c>
      <c r="G388" s="21" t="s">
        <v>130</v>
      </c>
      <c r="H388" s="21" t="s">
        <v>131</v>
      </c>
    </row>
    <row r="389" spans="5:8" ht="288" customHeight="1" x14ac:dyDescent="0.2">
      <c r="E389" s="20" t="s">
        <v>132</v>
      </c>
      <c r="F389" s="20" t="s">
        <v>133</v>
      </c>
      <c r="G389" s="21" t="s">
        <v>134</v>
      </c>
      <c r="H389" s="21" t="s">
        <v>135</v>
      </c>
    </row>
    <row r="390" spans="5:8" ht="335" customHeight="1" x14ac:dyDescent="0.2">
      <c r="E390" s="20" t="s">
        <v>136</v>
      </c>
      <c r="F390" s="19" t="s">
        <v>137</v>
      </c>
      <c r="G390" s="21" t="s">
        <v>138</v>
      </c>
      <c r="H390" s="21" t="s">
        <v>139</v>
      </c>
    </row>
  </sheetData>
  <mergeCells count="12">
    <mergeCell ref="A86:D86"/>
    <mergeCell ref="A104:D104"/>
    <mergeCell ref="A231:D231"/>
    <mergeCell ref="A99:D99"/>
    <mergeCell ref="A349:D349"/>
    <mergeCell ref="A93:D93"/>
    <mergeCell ref="A317:D317"/>
    <mergeCell ref="A116:D116"/>
    <mergeCell ref="A287:D287"/>
    <mergeCell ref="A378:D378"/>
    <mergeCell ref="A110:D110"/>
    <mergeCell ref="A258:D258"/>
  </mergeCells>
  <hyperlinks>
    <hyperlink ref="A86" location="Tab1_Map" display="View detailed regulatory mapping for Tab 1 &gt;" xr:uid="{00000000-0004-0000-0000-000000000000}"/>
    <hyperlink ref="A93" location="Tab2_Map" display="View detailed regulatory mapping for Tab 2 &gt;" xr:uid="{00000000-0004-0000-0000-000001000000}"/>
    <hyperlink ref="A99" location="Tab3_Map" display="View detailed regulatory mapping for Tab 3 &gt;" xr:uid="{00000000-0004-0000-0000-000002000000}"/>
    <hyperlink ref="A104" location="Tab4_Map" display="View detailed regulatory mapping for Tab 4 &gt;" xr:uid="{00000000-0004-0000-0000-000003000000}"/>
    <hyperlink ref="A110" location="Tab5_Map" display="View detailed regulatory mapping for Tab 5 &gt;" xr:uid="{00000000-0004-0000-0000-000004000000}"/>
    <hyperlink ref="A116" location="Tab6_Map" display="View detailed regulatory mapping for Tab 6 &gt;" xr:uid="{00000000-0004-0000-0000-000005000000}"/>
    <hyperlink ref="A231" location="Structure_Map" display="Return to: 3. Structure of the Workbook ^" xr:uid="{00000000-0004-0000-0000-000006000000}"/>
    <hyperlink ref="A258" location="Structure_Map" display="Return to: 3. Structure of the Workbook ^" xr:uid="{00000000-0004-0000-0000-000007000000}"/>
    <hyperlink ref="A287" location="Structure_Map" display="Return to: 3. Structure of the Workbook ^" xr:uid="{00000000-0004-0000-0000-000008000000}"/>
    <hyperlink ref="A317" location="Structure_Map" display="Return to: 3. Structure of the Workbook ^" xr:uid="{00000000-0004-0000-0000-000009000000}"/>
    <hyperlink ref="A349" location="Structure_Map" display="Return to: 3. Structure of the Workbook ^" xr:uid="{00000000-0004-0000-0000-00000A000000}"/>
    <hyperlink ref="A378" location="Structure_Map" display="Return to: 3. Structure of the Workbook ^" xr:uid="{00000000-0004-0000-0000-00000B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8"/>
  <sheetViews>
    <sheetView topLeftCell="B12" workbookViewId="0">
      <selection activeCell="E35" sqref="E35"/>
    </sheetView>
  </sheetViews>
  <sheetFormatPr baseColWidth="10" defaultColWidth="8.83203125" defaultRowHeight="15" x14ac:dyDescent="0.2"/>
  <cols>
    <col min="1" max="1" width="16.33203125" customWidth="1"/>
    <col min="2" max="2" width="154.5" customWidth="1"/>
    <col min="3" max="6" width="16.33203125" customWidth="1"/>
    <col min="7" max="7" width="23.5" customWidth="1"/>
    <col min="8" max="10" width="16.33203125" customWidth="1"/>
    <col min="11" max="11" width="24.5" style="24" customWidth="1"/>
    <col min="12" max="12" width="16.33203125" customWidth="1"/>
    <col min="13" max="13" width="21.1640625" customWidth="1"/>
    <col min="14" max="15" width="16.33203125" customWidth="1"/>
    <col min="16" max="16" width="22.6640625" customWidth="1"/>
    <col min="17" max="17" width="92.33203125" customWidth="1"/>
    <col min="18" max="18" width="52.33203125" customWidth="1"/>
    <col min="20" max="24" width="17"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1" t="s">
        <v>151</v>
      </c>
      <c r="M1" s="1" t="s">
        <v>152</v>
      </c>
      <c r="N1" s="1" t="s">
        <v>153</v>
      </c>
      <c r="O1" s="1" t="s">
        <v>154</v>
      </c>
      <c r="P1" s="1" t="s">
        <v>155</v>
      </c>
      <c r="Q1" s="1" t="s">
        <v>156</v>
      </c>
      <c r="R1" s="1" t="s">
        <v>157</v>
      </c>
      <c r="S1" t="s">
        <v>158</v>
      </c>
    </row>
    <row r="2" spans="1:19" x14ac:dyDescent="0.2">
      <c r="A2" s="4"/>
      <c r="B2" s="5" t="s">
        <v>159</v>
      </c>
      <c r="C2" s="4"/>
      <c r="D2" s="4"/>
      <c r="E2" s="4"/>
      <c r="F2" s="4"/>
      <c r="G2" s="4"/>
      <c r="H2" s="4"/>
      <c r="I2" s="4"/>
      <c r="J2" s="4"/>
      <c r="K2" s="23"/>
      <c r="L2" s="4"/>
      <c r="M2" s="4"/>
      <c r="N2" s="4"/>
      <c r="O2" s="4"/>
      <c r="P2" s="4"/>
      <c r="Q2" s="4"/>
      <c r="R2" s="4"/>
    </row>
    <row r="3" spans="1:19" x14ac:dyDescent="0.2">
      <c r="A3" s="3"/>
      <c r="B3" s="48"/>
      <c r="C3" s="49"/>
      <c r="D3" s="49"/>
      <c r="E3" s="49"/>
      <c r="F3" s="49"/>
      <c r="G3" s="49"/>
      <c r="H3" s="49"/>
      <c r="I3" s="49"/>
      <c r="J3" s="49"/>
      <c r="K3" s="50"/>
      <c r="L3" s="49"/>
      <c r="M3" s="49"/>
      <c r="N3" s="49"/>
      <c r="O3" s="49"/>
      <c r="P3" s="49"/>
      <c r="Q3" s="49"/>
      <c r="R3" s="49"/>
    </row>
    <row r="4" spans="1:19" x14ac:dyDescent="0.2">
      <c r="A4" t="s">
        <v>160</v>
      </c>
      <c r="B4" t="s">
        <v>161</v>
      </c>
      <c r="C4" t="s">
        <v>162</v>
      </c>
      <c r="D4" t="s">
        <v>163</v>
      </c>
      <c r="E4">
        <f>IF(ISNUMBER(SEARCH("Primary: Meme",C4)),22,IF(ISNUMBER(SEARCH("Primary: Asset",C4)),18,IF(ISNUMBER(SEARCH("Primary: Liquidity",C4)),15,IF(ISNUMBER(SEARCH("Primary: Governance",C4)),12,IF(ISNUMBER(SEARCH("Primary: Utility",C4)),7,IF(ISNUMBER(SEARCH("Primary: Gas",C4)),5,IF(ISNUMBER(SEARCH("Primary: Native",C4)),0,IF(ISNUMBER(SEARCH("Primary: Stablecoin",C4)),5,IF(ISNUMBER(SEARCH("Primary: LP/AMM",C4)),15,IF(C4="","",10))))))))))</f>
        <v>12</v>
      </c>
      <c r="F4">
        <f t="shared" ref="F4:F9" si="0">IF(D4="High",0,IF(D4="Medium",0.05,IF(D4="Low",0.1,IF(D4="Unknown",0.15,""))))</f>
        <v>0</v>
      </c>
      <c r="G4">
        <f t="shared" ref="G4:G9" si="1">E4*(1+F4)</f>
        <v>12</v>
      </c>
      <c r="H4" t="s">
        <v>164</v>
      </c>
      <c r="I4" t="s">
        <v>165</v>
      </c>
      <c r="J4" t="s">
        <v>166</v>
      </c>
      <c r="K4" s="24">
        <f t="shared" ref="K4:K9" si="2">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45986</v>
      </c>
      <c r="L4">
        <f t="shared" ref="L4:L9" ca="1" si="3">IF(K4="","",TODAY()-K4)</f>
        <v>26</v>
      </c>
      <c r="M4" t="s">
        <v>167</v>
      </c>
      <c r="N4">
        <f t="shared" ref="N4:N9" ca="1" si="4">IF(M4="","",IF(L4="",INDEX($F$92:$F$95,MATCH(M4,$C$92:$C$95,0)),IF(L4&lt;=INDEX($D$92:$D$95,MATCH(M4,$C$92:$C$95,0)),0,IF(L4&lt;=INDEX($E$92:$E$95,MATCH(M4,$C$92:$C$95,0)),INDEX($F$92:$F$95,MATCH(M4,$C$92:$C$95,0)),INDEX($G$92:$G$95,MATCH(M4,$C$92:$C$95,0))))))</f>
        <v>0</v>
      </c>
      <c r="O4">
        <f t="shared" ref="O4:O9" ca="1" si="5">G4+N4</f>
        <v>12</v>
      </c>
      <c r="P4" t="s">
        <v>168</v>
      </c>
      <c r="Q4" t="s">
        <v>169</v>
      </c>
      <c r="R4" t="s">
        <v>170</v>
      </c>
    </row>
    <row r="5" spans="1:19" x14ac:dyDescent="0.2">
      <c r="A5" t="s">
        <v>171</v>
      </c>
      <c r="B5" t="s">
        <v>172</v>
      </c>
      <c r="C5" t="s">
        <v>173</v>
      </c>
      <c r="D5" t="s">
        <v>163</v>
      </c>
      <c r="E5">
        <v>0</v>
      </c>
      <c r="F5">
        <f t="shared" si="0"/>
        <v>0</v>
      </c>
      <c r="G5">
        <f t="shared" si="1"/>
        <v>0</v>
      </c>
      <c r="H5" t="s">
        <v>174</v>
      </c>
      <c r="I5" t="s">
        <v>175</v>
      </c>
      <c r="J5" t="s">
        <v>176</v>
      </c>
      <c r="K5" s="24">
        <f t="shared" si="2"/>
        <v>46008</v>
      </c>
      <c r="L5">
        <f t="shared" ca="1" si="3"/>
        <v>4</v>
      </c>
      <c r="M5" t="s">
        <v>167</v>
      </c>
      <c r="N5">
        <f t="shared" ca="1" si="4"/>
        <v>0</v>
      </c>
      <c r="O5">
        <f t="shared" ca="1" si="5"/>
        <v>0</v>
      </c>
      <c r="P5" t="s">
        <v>168</v>
      </c>
      <c r="Q5" t="s">
        <v>177</v>
      </c>
      <c r="R5" t="s">
        <v>178</v>
      </c>
    </row>
    <row r="6" spans="1:19" x14ac:dyDescent="0.2">
      <c r="A6" t="s">
        <v>179</v>
      </c>
      <c r="B6" t="s">
        <v>180</v>
      </c>
      <c r="C6" t="s">
        <v>181</v>
      </c>
      <c r="D6" t="s">
        <v>182</v>
      </c>
      <c r="E6">
        <f>IF(C6="Yes",0,IF(C6="Partial",10,IF(C6="No",20,"")))</f>
        <v>20</v>
      </c>
      <c r="F6">
        <f t="shared" si="0"/>
        <v>0.05</v>
      </c>
      <c r="G6">
        <f t="shared" si="1"/>
        <v>21</v>
      </c>
      <c r="H6" t="s">
        <v>183</v>
      </c>
      <c r="I6" t="s">
        <v>184</v>
      </c>
      <c r="J6" t="s">
        <v>166</v>
      </c>
      <c r="K6" s="24">
        <f t="shared" si="2"/>
        <v>45706</v>
      </c>
      <c r="L6">
        <f t="shared" ca="1" si="3"/>
        <v>306</v>
      </c>
      <c r="M6" t="s">
        <v>185</v>
      </c>
      <c r="N6">
        <f t="shared" ca="1" si="4"/>
        <v>3</v>
      </c>
      <c r="O6">
        <f t="shared" ca="1" si="5"/>
        <v>24</v>
      </c>
      <c r="P6" t="str">
        <f>IF(AND(C6="No",D6="Low"),"Review Required","No Review")</f>
        <v>No Review</v>
      </c>
      <c r="Q6" t="s">
        <v>186</v>
      </c>
      <c r="R6" t="s">
        <v>187</v>
      </c>
    </row>
    <row r="7" spans="1:19" x14ac:dyDescent="0.2">
      <c r="A7" t="s">
        <v>188</v>
      </c>
      <c r="B7" t="s">
        <v>189</v>
      </c>
      <c r="C7" t="s">
        <v>190</v>
      </c>
      <c r="D7" t="s">
        <v>163</v>
      </c>
      <c r="E7">
        <f>IF(C7="","",IF(((LEN(C7)-LEN(SUBSTITUTE(C7,",","")))+(LEN(C7)-LEN(SUBSTITUTE(C7,";","")))+(LEN(C7)-LEN(SUBSTITUTE(C7,CHAR(10),""))))&gt;=1,0,10))</f>
        <v>0</v>
      </c>
      <c r="F7">
        <f t="shared" si="0"/>
        <v>0</v>
      </c>
      <c r="G7">
        <f t="shared" si="1"/>
        <v>0</v>
      </c>
      <c r="H7" t="s">
        <v>191</v>
      </c>
      <c r="I7" t="s">
        <v>192</v>
      </c>
      <c r="J7" t="s">
        <v>166</v>
      </c>
      <c r="K7" s="24">
        <f t="shared" si="2"/>
        <v>46007</v>
      </c>
      <c r="L7">
        <f t="shared" ca="1" si="3"/>
        <v>5</v>
      </c>
      <c r="M7" t="s">
        <v>185</v>
      </c>
      <c r="N7">
        <f t="shared" ca="1" si="4"/>
        <v>0</v>
      </c>
      <c r="O7">
        <f t="shared" ca="1" si="5"/>
        <v>0</v>
      </c>
      <c r="P7" t="s">
        <v>168</v>
      </c>
      <c r="Q7" t="s">
        <v>193</v>
      </c>
      <c r="R7" t="s">
        <v>194</v>
      </c>
    </row>
    <row r="8" spans="1:19" x14ac:dyDescent="0.2">
      <c r="A8" t="s">
        <v>195</v>
      </c>
      <c r="B8" t="s">
        <v>196</v>
      </c>
      <c r="C8" t="s">
        <v>197</v>
      </c>
      <c r="D8" t="s">
        <v>163</v>
      </c>
      <c r="E8">
        <f>IF(C8="","",IF(ISNUMBER(SEARCH("Speculators (primary)",C8)),20,IF(ISNUMBER(SEARCH("Speculators (secondary)",C8)),15,IF(ISNUMBER(SEARCH("Speculators (minor)",C8)),10,IF(OR(ISNUMBER(SEARCH("Retail",C8)),ISNUMBER(SEARCH("Institutions",C8))),5,0)))))</f>
        <v>20</v>
      </c>
      <c r="F8">
        <f t="shared" si="0"/>
        <v>0</v>
      </c>
      <c r="G8">
        <f t="shared" si="1"/>
        <v>20</v>
      </c>
      <c r="H8" t="s">
        <v>198</v>
      </c>
      <c r="I8" t="s">
        <v>199</v>
      </c>
      <c r="J8" t="s">
        <v>166</v>
      </c>
      <c r="K8" s="24">
        <f t="shared" si="2"/>
        <v>45919</v>
      </c>
      <c r="L8">
        <f t="shared" ca="1" si="3"/>
        <v>93</v>
      </c>
      <c r="M8" t="s">
        <v>185</v>
      </c>
      <c r="N8">
        <f t="shared" ca="1" si="4"/>
        <v>0</v>
      </c>
      <c r="O8">
        <f t="shared" ca="1" si="5"/>
        <v>20</v>
      </c>
      <c r="P8" t="str">
        <f>IF(AND(ISNUMBER(SEARCH("Speculator",C8)),E7=20),"Review Required","No Review")</f>
        <v>No Review</v>
      </c>
      <c r="Q8" t="s">
        <v>200</v>
      </c>
      <c r="R8" t="s">
        <v>201</v>
      </c>
    </row>
    <row r="9" spans="1:19" x14ac:dyDescent="0.2">
      <c r="A9" t="s">
        <v>202</v>
      </c>
      <c r="B9" t="s">
        <v>203</v>
      </c>
      <c r="C9" t="s">
        <v>204</v>
      </c>
      <c r="D9" t="s">
        <v>163</v>
      </c>
      <c r="E9">
        <v>0</v>
      </c>
      <c r="F9">
        <f t="shared" si="0"/>
        <v>0</v>
      </c>
      <c r="G9">
        <f t="shared" si="1"/>
        <v>0</v>
      </c>
      <c r="H9" t="s">
        <v>205</v>
      </c>
      <c r="I9" t="s">
        <v>206</v>
      </c>
      <c r="J9" t="s">
        <v>166</v>
      </c>
      <c r="K9" s="24">
        <f t="shared" si="2"/>
        <v>46011</v>
      </c>
      <c r="L9">
        <f t="shared" ca="1" si="3"/>
        <v>1</v>
      </c>
      <c r="M9" t="s">
        <v>167</v>
      </c>
      <c r="N9">
        <f t="shared" ca="1" si="4"/>
        <v>0</v>
      </c>
      <c r="O9">
        <f t="shared" ca="1" si="5"/>
        <v>0</v>
      </c>
      <c r="P9" t="s">
        <v>168</v>
      </c>
      <c r="Q9" t="s">
        <v>207</v>
      </c>
      <c r="R9" t="s">
        <v>208</v>
      </c>
    </row>
    <row r="10" spans="1:19" x14ac:dyDescent="0.2">
      <c r="A10" s="3"/>
      <c r="B10" s="48"/>
      <c r="C10" s="49"/>
      <c r="D10" s="49"/>
      <c r="E10" s="49"/>
      <c r="F10" s="49"/>
      <c r="G10" s="49"/>
      <c r="H10" s="49"/>
      <c r="I10" s="49"/>
      <c r="J10" s="49"/>
      <c r="K10" s="50"/>
      <c r="L10" s="49"/>
      <c r="M10" s="49"/>
      <c r="N10" s="49"/>
      <c r="O10" s="49"/>
      <c r="P10" s="49"/>
      <c r="Q10" s="49"/>
      <c r="R10" s="49"/>
    </row>
    <row r="11" spans="1:19" x14ac:dyDescent="0.2">
      <c r="A11" t="s">
        <v>209</v>
      </c>
      <c r="B11" t="s">
        <v>210</v>
      </c>
      <c r="C11" t="s">
        <v>181</v>
      </c>
      <c r="D11" t="s">
        <v>163</v>
      </c>
      <c r="E11">
        <f>IF(C11="Yes",0,IF(C11="Partially",10,IF(C11="No",20,"")))</f>
        <v>20</v>
      </c>
      <c r="F11">
        <f>IF(D11="High",0,IF(D11="Medium",0.05,IF(D11="Low",0.1,IF(D11="Unknown",0.15,""))))</f>
        <v>0</v>
      </c>
      <c r="G11">
        <f>E11*(1+F11)</f>
        <v>20</v>
      </c>
      <c r="H11" t="s">
        <v>211</v>
      </c>
      <c r="I11" t="s">
        <v>212</v>
      </c>
      <c r="J11" t="s">
        <v>176</v>
      </c>
      <c r="K11" s="24">
        <f>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46006</v>
      </c>
      <c r="L11">
        <f ca="1">IF(K11="","",TODAY()-K11)</f>
        <v>6</v>
      </c>
      <c r="M11" t="s">
        <v>167</v>
      </c>
      <c r="N11">
        <f ca="1">IF(M11="","",IF(L11="",INDEX($F$92:$F$95,MATCH(M11,$C$92:$C$95,0)),IF(L11&lt;=INDEX($D$92:$D$95,MATCH(M11,$C$92:$C$95,0)),0,IF(L11&lt;=INDEX($E$92:$E$95,MATCH(M11,$C$92:$C$95,0)),INDEX($F$92:$F$95,MATCH(M11,$C$92:$C$95,0)),INDEX($G$92:$G$95,MATCH(M11,$C$92:$C$95,0))))))</f>
        <v>0</v>
      </c>
      <c r="O11">
        <f ca="1">G11+N11</f>
        <v>20</v>
      </c>
      <c r="P11" t="s">
        <v>168</v>
      </c>
      <c r="R11" t="s">
        <v>213</v>
      </c>
    </row>
    <row r="12" spans="1:19" x14ac:dyDescent="0.2">
      <c r="A12" t="s">
        <v>214</v>
      </c>
      <c r="B12" t="s">
        <v>215</v>
      </c>
      <c r="C12" t="s">
        <v>216</v>
      </c>
      <c r="D12" t="s">
        <v>217</v>
      </c>
      <c r="E12">
        <f>IF(C12="Yes",0,IF(C12="Limited",10,IF(C12="No",20,"")))</f>
        <v>10</v>
      </c>
      <c r="F12">
        <f>IF(D12="High",0,IF(D12="Medium",0.05,IF(D12="Low",0.1,IF(D12="Unknown",0.15,""))))</f>
        <v>0.1</v>
      </c>
      <c r="G12">
        <f>E12*(1+F12)</f>
        <v>11</v>
      </c>
      <c r="K12" s="24" t="str">
        <f>IF(I12="","",MAX(IFERROR(DATEVALUE(TRIM(MID(SUBSTITUTE(I12,";",REPT(" ",50)),1,50))),0),IFERROR(DATEVALUE(TRIM(MID(SUBSTITUTE(I12,";",REPT(" ",50)),51,50))),0),IFERROR(DATEVALUE(TRIM(MID(SUBSTITUTE(I12,";",REPT(" ",50)),101,50))),0),IFERROR(DATEVALUE(TRIM(MID(SUBSTITUTE(I12,";",REPT(" ",50)),151,50))),0),IFERROR(DATEVALUE(TRIM(MID(SUBSTITUTE(I12,";",REPT(" ",50)),201,50))),0),IFERROR(DATEVALUE(TRIM(MID(SUBSTITUTE(I12,";",REPT(" ",50)),251,50))),0),IFERROR(DATEVALUE(TRIM(MID(SUBSTITUTE(I12,";",REPT(" ",50)),301,50))),0),IFERROR(DATEVALUE(TRIM(MID(SUBSTITUTE(I12,";",REPT(" ",50)),351,50))),0),IFERROR(DATEVALUE(TRIM(MID(SUBSTITUTE(I12,";",REPT(" ",50)),401,50))),0),IFERROR(DATEVALUE(TRIM(MID(SUBSTITUTE(I12,";",REPT(" ",50)),451,50))),0)))</f>
        <v/>
      </c>
      <c r="L12" t="str">
        <f ca="1">IF(K12="","",TODAY()-K12)</f>
        <v/>
      </c>
      <c r="M12" t="s">
        <v>167</v>
      </c>
      <c r="N12">
        <f ca="1">IF(M12="","",IF(L12="",INDEX($F$92:$F$95,MATCH(M12,$C$92:$C$95,0)),IF(L12&lt;=INDEX($D$92:$D$95,MATCH(M12,$C$92:$C$95,0)),0,IF(L12&lt;=INDEX($E$92:$E$95,MATCH(M12,$C$92:$C$95,0)),INDEX($F$92:$F$95,MATCH(M12,$C$92:$C$95,0)),INDEX($G$92:$G$95,MATCH(M12,$C$92:$C$95,0))))))</f>
        <v>0</v>
      </c>
      <c r="O12">
        <f ca="1">G12+N12</f>
        <v>11</v>
      </c>
      <c r="P12" t="s">
        <v>168</v>
      </c>
      <c r="R12" t="s">
        <v>218</v>
      </c>
    </row>
    <row r="13" spans="1:19" x14ac:dyDescent="0.2">
      <c r="A13" t="s">
        <v>219</v>
      </c>
      <c r="B13" t="s">
        <v>220</v>
      </c>
      <c r="C13" t="s">
        <v>163</v>
      </c>
      <c r="D13" t="s">
        <v>163</v>
      </c>
      <c r="E13">
        <f>IF(C13="Low",0,IF(C13="Moderate",10,IF(C13="High",20,"")))</f>
        <v>20</v>
      </c>
      <c r="F13">
        <f>IF(D13="High",0,IF(D13="Medium",0.05,IF(D13="Low",0.1,IF(D13="Unknown",0.15,""))))</f>
        <v>0</v>
      </c>
      <c r="G13">
        <f>E13*(1+F13)</f>
        <v>20</v>
      </c>
      <c r="H13" t="s">
        <v>221</v>
      </c>
      <c r="I13" t="s">
        <v>222</v>
      </c>
      <c r="J13" t="s">
        <v>166</v>
      </c>
      <c r="K13" s="24">
        <f>IF(I13="","",MAX(IFERROR(DATEVALUE(TRIM(MID(SUBSTITUTE(I13,";",REPT(" ",50)),1,50))),0),IFERROR(DATEVALUE(TRIM(MID(SUBSTITUTE(I13,";",REPT(" ",50)),51,50))),0),IFERROR(DATEVALUE(TRIM(MID(SUBSTITUTE(I13,";",REPT(" ",50)),101,50))),0),IFERROR(DATEVALUE(TRIM(MID(SUBSTITUTE(I13,";",REPT(" ",50)),151,50))),0),IFERROR(DATEVALUE(TRIM(MID(SUBSTITUTE(I13,";",REPT(" ",50)),201,50))),0),IFERROR(DATEVALUE(TRIM(MID(SUBSTITUTE(I13,";",REPT(" ",50)),251,50))),0),IFERROR(DATEVALUE(TRIM(MID(SUBSTITUTE(I13,";",REPT(" ",50)),301,50))),0),IFERROR(DATEVALUE(TRIM(MID(SUBSTITUTE(I13,";",REPT(" ",50)),351,50))),0),IFERROR(DATEVALUE(TRIM(MID(SUBSTITUTE(I13,";",REPT(" ",50)),401,50))),0),IFERROR(DATEVALUE(TRIM(MID(SUBSTITUTE(I13,";",REPT(" ",50)),451,50))),0)))</f>
        <v>45915</v>
      </c>
      <c r="L13">
        <f ca="1">IF(K13="","",TODAY()-K13)</f>
        <v>97</v>
      </c>
      <c r="M13" t="s">
        <v>167</v>
      </c>
      <c r="N13">
        <f ca="1">IF(M13="","",IF(L13="",INDEX($F$92:$F$95,MATCH(M13,$C$92:$C$95,0)),IF(L13&lt;=INDEX($D$92:$D$95,MATCH(M13,$C$92:$C$95,0)),0,IF(L13&lt;=INDEX($E$92:$E$95,MATCH(M13,$C$92:$C$95,0)),INDEX($F$92:$F$95,MATCH(M13,$C$92:$C$95,0)),INDEX($G$92:$G$95,MATCH(M13,$C$92:$C$95,0))))))</f>
        <v>0</v>
      </c>
      <c r="O13">
        <f ca="1">G13+N13</f>
        <v>20</v>
      </c>
      <c r="P13" t="s">
        <v>168</v>
      </c>
      <c r="R13" t="s">
        <v>223</v>
      </c>
    </row>
    <row r="14" spans="1:19" x14ac:dyDescent="0.2">
      <c r="A14" t="s">
        <v>224</v>
      </c>
      <c r="B14" t="s">
        <v>225</v>
      </c>
      <c r="C14" t="s">
        <v>226</v>
      </c>
      <c r="D14" t="s">
        <v>163</v>
      </c>
      <c r="E14">
        <v>0</v>
      </c>
      <c r="F14">
        <f>IF(D14="High",0,IF(D14="Medium",0.05,IF(D14="Low",0.1,IF(D14="Unknown",0.15,""))))</f>
        <v>0</v>
      </c>
      <c r="G14">
        <f>E14*(1+F14)</f>
        <v>0</v>
      </c>
      <c r="H14" t="s">
        <v>227</v>
      </c>
      <c r="I14" t="s">
        <v>228</v>
      </c>
      <c r="J14" t="s">
        <v>166</v>
      </c>
      <c r="K14" s="24">
        <f>IF(I14="","",MAX(IFERROR(DATEVALUE(TRIM(MID(SUBSTITUTE(I14,";",REPT(" ",50)),1,50))),0),IFERROR(DATEVALUE(TRIM(MID(SUBSTITUTE(I14,";",REPT(" ",50)),51,50))),0),IFERROR(DATEVALUE(TRIM(MID(SUBSTITUTE(I14,";",REPT(" ",50)),101,50))),0),IFERROR(DATEVALUE(TRIM(MID(SUBSTITUTE(I14,";",REPT(" ",50)),151,50))),0),IFERROR(DATEVALUE(TRIM(MID(SUBSTITUTE(I14,";",REPT(" ",50)),201,50))),0),IFERROR(DATEVALUE(TRIM(MID(SUBSTITUTE(I14,";",REPT(" ",50)),251,50))),0),IFERROR(DATEVALUE(TRIM(MID(SUBSTITUTE(I14,";",REPT(" ",50)),301,50))),0),IFERROR(DATEVALUE(TRIM(MID(SUBSTITUTE(I14,";",REPT(" ",50)),351,50))),0),IFERROR(DATEVALUE(TRIM(MID(SUBSTITUTE(I14,";",REPT(" ",50)),401,50))),0),IFERROR(DATEVALUE(TRIM(MID(SUBSTITUTE(I14,";",REPT(" ",50)),451,50))),0)))</f>
        <v>45901</v>
      </c>
      <c r="L14">
        <f ca="1">IF(K14="","",TODAY()-K14)</f>
        <v>111</v>
      </c>
      <c r="M14" t="s">
        <v>167</v>
      </c>
      <c r="N14">
        <f ca="1">IF(M14="","",IF(L14="",INDEX($F$92:$F$95,MATCH(M14,$C$92:$C$95,0)),IF(L14&lt;=INDEX($D$92:$D$95,MATCH(M14,$C$92:$C$95,0)),0,IF(L14&lt;=INDEX($E$92:$E$95,MATCH(M14,$C$92:$C$95,0)),INDEX($F$92:$F$95,MATCH(M14,$C$92:$C$95,0)),INDEX($G$92:$G$95,MATCH(M14,$C$92:$C$95,0))))))</f>
        <v>0</v>
      </c>
      <c r="O14">
        <f ca="1">G14+N14</f>
        <v>0</v>
      </c>
      <c r="P14" t="s">
        <v>168</v>
      </c>
      <c r="Q14" t="s">
        <v>207</v>
      </c>
      <c r="R14" t="s">
        <v>229</v>
      </c>
    </row>
    <row r="15" spans="1:19" x14ac:dyDescent="0.2">
      <c r="A15" s="3"/>
      <c r="B15" s="48"/>
      <c r="C15" s="49"/>
      <c r="D15" s="49"/>
      <c r="E15" s="49"/>
      <c r="F15" s="49"/>
      <c r="G15" s="49"/>
      <c r="H15" s="49"/>
      <c r="I15" s="49"/>
      <c r="J15" s="49"/>
      <c r="K15" s="50"/>
      <c r="L15" s="49"/>
      <c r="M15" s="49"/>
      <c r="N15" s="49"/>
      <c r="O15" s="49"/>
      <c r="P15" s="49"/>
      <c r="Q15" s="49"/>
      <c r="R15" s="49"/>
    </row>
    <row r="16" spans="1:19" x14ac:dyDescent="0.2">
      <c r="A16" t="s">
        <v>230</v>
      </c>
      <c r="B16" t="s">
        <v>231</v>
      </c>
      <c r="C16" t="s">
        <v>232</v>
      </c>
      <c r="D16" t="s">
        <v>182</v>
      </c>
      <c r="E16">
        <f>IF(C16="Usage-driven",0,IF(C16="Mixed",10,IF(C16="Speculative",20,"")))</f>
        <v>10</v>
      </c>
      <c r="F16">
        <f>IF(D16="High",0,IF(D16="Medium",0.05,IF(D16="Low",0.1,IF(D16="Unknown",0.15,""))))</f>
        <v>0.05</v>
      </c>
      <c r="G16">
        <f>E16*(1+F16)</f>
        <v>10.5</v>
      </c>
      <c r="H16" t="s">
        <v>233</v>
      </c>
      <c r="I16" t="s">
        <v>234</v>
      </c>
      <c r="J16" t="s">
        <v>166</v>
      </c>
      <c r="K16" s="24">
        <f>IF(I16="","",MAX(IFERROR(DATEVALUE(TRIM(MID(SUBSTITUTE(I16,";",REPT(" ",50)),1,50))),0),IFERROR(DATEVALUE(TRIM(MID(SUBSTITUTE(I16,";",REPT(" ",50)),51,50))),0),IFERROR(DATEVALUE(TRIM(MID(SUBSTITUTE(I16,";",REPT(" ",50)),101,50))),0),IFERROR(DATEVALUE(TRIM(MID(SUBSTITUTE(I16,";",REPT(" ",50)),151,50))),0),IFERROR(DATEVALUE(TRIM(MID(SUBSTITUTE(I16,";",REPT(" ",50)),201,50))),0),IFERROR(DATEVALUE(TRIM(MID(SUBSTITUTE(I16,";",REPT(" ",50)),251,50))),0),IFERROR(DATEVALUE(TRIM(MID(SUBSTITUTE(I16,";",REPT(" ",50)),301,50))),0),IFERROR(DATEVALUE(TRIM(MID(SUBSTITUTE(I16,";",REPT(" ",50)),351,50))),0),IFERROR(DATEVALUE(TRIM(MID(SUBSTITUTE(I16,";",REPT(" ",50)),401,50))),0),IFERROR(DATEVALUE(TRIM(MID(SUBSTITUTE(I16,";",REPT(" ",50)),451,50))),0)))</f>
        <v>45987</v>
      </c>
      <c r="L16">
        <f ca="1">IF(K16="","",TODAY()-K16)</f>
        <v>25</v>
      </c>
      <c r="M16" t="s">
        <v>185</v>
      </c>
      <c r="N16">
        <f ca="1">IF(M16="","",IF(L16="",INDEX($F$92:$F$95,MATCH(M16,$C$92:$C$95,0)),IF(L16&lt;=INDEX($D$92:$D$95,MATCH(M16,$C$92:$C$95,0)),0,IF(L16&lt;=INDEX($E$92:$E$95,MATCH(M16,$C$92:$C$95,0)),INDEX($F$92:$F$95,MATCH(M16,$C$92:$C$95,0)),INDEX($G$92:$G$95,MATCH(M16,$C$92:$C$95,0))))))</f>
        <v>0</v>
      </c>
      <c r="O16">
        <f ca="1">G16+N16</f>
        <v>10.5</v>
      </c>
      <c r="P16" t="str">
        <f>IF(AND(C16="Speculative",E7=20),"Review Required","No Review")</f>
        <v>No Review</v>
      </c>
      <c r="Q16" t="s">
        <v>235</v>
      </c>
      <c r="R16" t="s">
        <v>236</v>
      </c>
    </row>
    <row r="17" spans="1:19" x14ac:dyDescent="0.2">
      <c r="A17" t="s">
        <v>237</v>
      </c>
      <c r="B17" t="s">
        <v>238</v>
      </c>
      <c r="C17" t="s">
        <v>239</v>
      </c>
      <c r="D17" t="s">
        <v>163</v>
      </c>
      <c r="E17">
        <v>0</v>
      </c>
      <c r="F17">
        <f>IF(D17="High",0,IF(D17="Medium",0.05,IF(D17="Low",0.1,IF(D17="Unknown",0.15,""))))</f>
        <v>0</v>
      </c>
      <c r="G17">
        <f>E17*(1+F17)</f>
        <v>0</v>
      </c>
      <c r="H17" t="s">
        <v>240</v>
      </c>
      <c r="I17" t="s">
        <v>241</v>
      </c>
      <c r="J17" t="s">
        <v>166</v>
      </c>
      <c r="K17" s="24">
        <f>IF(I17="","",MAX(IFERROR(DATEVALUE(TRIM(MID(SUBSTITUTE(I17,";",REPT(" ",50)),1,50))),0),IFERROR(DATEVALUE(TRIM(MID(SUBSTITUTE(I17,";",REPT(" ",50)),51,50))),0),IFERROR(DATEVALUE(TRIM(MID(SUBSTITUTE(I17,";",REPT(" ",50)),101,50))),0),IFERROR(DATEVALUE(TRIM(MID(SUBSTITUTE(I17,";",REPT(" ",50)),151,50))),0),IFERROR(DATEVALUE(TRIM(MID(SUBSTITUTE(I17,";",REPT(" ",50)),201,50))),0),IFERROR(DATEVALUE(TRIM(MID(SUBSTITUTE(I17,";",REPT(" ",50)),251,50))),0),IFERROR(DATEVALUE(TRIM(MID(SUBSTITUTE(I17,";",REPT(" ",50)),301,50))),0),IFERROR(DATEVALUE(TRIM(MID(SUBSTITUTE(I17,";",REPT(" ",50)),351,50))),0),IFERROR(DATEVALUE(TRIM(MID(SUBSTITUTE(I17,";",REPT(" ",50)),401,50))),0),IFERROR(DATEVALUE(TRIM(MID(SUBSTITUTE(I17,";",REPT(" ",50)),451,50))),0)))</f>
        <v>45985</v>
      </c>
      <c r="L17">
        <f ca="1">IF(K17="","",TODAY()-K17)</f>
        <v>27</v>
      </c>
      <c r="M17" t="s">
        <v>185</v>
      </c>
      <c r="N17">
        <f ca="1">IF(M17="","",IF(L17="",INDEX($F$92:$F$95,MATCH(M17,$C$92:$C$95,0)),IF(L17&lt;=INDEX($D$92:$D$95,MATCH(M17,$C$92:$C$95,0)),0,IF(L17&lt;=INDEX($E$92:$E$95,MATCH(M17,$C$92:$C$95,0)),INDEX($F$92:$F$95,MATCH(M17,$C$92:$C$95,0)),INDEX($G$92:$G$95,MATCH(M17,$C$92:$C$95,0))))))</f>
        <v>0</v>
      </c>
      <c r="O17">
        <f ca="1">G17+N17</f>
        <v>0</v>
      </c>
      <c r="P17" t="s">
        <v>168</v>
      </c>
      <c r="Q17" t="s">
        <v>207</v>
      </c>
      <c r="R17" t="s">
        <v>242</v>
      </c>
    </row>
    <row r="18" spans="1:19" x14ac:dyDescent="0.2">
      <c r="A18" s="4"/>
      <c r="B18" s="5" t="s">
        <v>243</v>
      </c>
      <c r="C18" s="4"/>
      <c r="D18" s="4"/>
      <c r="E18" s="4"/>
      <c r="F18" s="4"/>
      <c r="G18" s="4"/>
      <c r="H18" s="4"/>
      <c r="I18" s="4"/>
      <c r="J18" s="4"/>
      <c r="K18" s="23" t="str">
        <f>IF(I18="","",MAX(IFERROR(DATEVALUE(TRIM(MID(SUBSTITUTE(I18,";",REPT(" ",50)),1,50))),0),IFERROR(DATEVALUE(TRIM(MID(SUBSTITUTE(I18,";",REPT(" ",50)),51,50))),0),IFERROR(DATEVALUE(TRIM(MID(SUBSTITUTE(I18,";",REPT(" ",50)),101,50))),0),IFERROR(DATEVALUE(TRIM(MID(SUBSTITUTE(I18,";",REPT(" ",50)),151,50))),0),IFERROR(DATEVALUE(TRIM(MID(SUBSTITUTE(I18,";",REPT(" ",50)),201,50))),0),IFERROR(DATEVALUE(TRIM(MID(SUBSTITUTE(I18,";",REPT(" ",50)),251,50))),0),IFERROR(DATEVALUE(TRIM(MID(SUBSTITUTE(I18,";",REPT(" ",50)),301,50))),0),IFERROR(DATEVALUE(TRIM(MID(SUBSTITUTE(I18,";",REPT(" ",50)),351,50))),0),IFERROR(DATEVALUE(TRIM(MID(SUBSTITUTE(I18,";",REPT(" ",50)),401,50))),0),IFERROR(DATEVALUE(TRIM(MID(SUBSTITUTE(I18,";",REPT(" ",50)),451,50))),0)))</f>
        <v/>
      </c>
      <c r="L18" s="4"/>
      <c r="M18" s="4"/>
      <c r="N18" s="4" t="str">
        <f>IF(M18="","",IF(L18="",INDEX($F$92:$F$95,MATCH(M18,$C$92:$C$95,0)),IF(L18&lt;=INDEX($D$92:$D$95,MATCH(M18,$C$92:$C$95,0)),0,IF(L18&lt;=INDEX($E$92:$E$95,MATCH(M18,$C$92:$C$95,0)),INDEX($F$92:$F$95,MATCH(M18,$C$92:$C$95,0)),INDEX($G$92:$G$95,MATCH(M18,$C$92:$C$95,0))))))</f>
        <v/>
      </c>
      <c r="O18" s="4"/>
      <c r="P18" s="4"/>
      <c r="Q18" s="4"/>
      <c r="R18" s="4"/>
    </row>
    <row r="19" spans="1:19" x14ac:dyDescent="0.2">
      <c r="A19" s="2"/>
      <c r="B19" s="48"/>
      <c r="C19" s="49"/>
      <c r="D19" s="49"/>
      <c r="E19" s="49"/>
      <c r="F19" s="49"/>
      <c r="G19" s="49"/>
      <c r="H19" s="49"/>
      <c r="I19" s="49"/>
      <c r="J19" s="49"/>
      <c r="K19" s="50"/>
      <c r="L19" s="49"/>
      <c r="M19" s="49"/>
      <c r="N19" s="49"/>
      <c r="O19" s="49"/>
      <c r="P19" s="49"/>
      <c r="Q19" s="49"/>
      <c r="R19" s="49"/>
    </row>
    <row r="20" spans="1:19" x14ac:dyDescent="0.2">
      <c r="A20" t="s">
        <v>244</v>
      </c>
      <c r="B20" t="s">
        <v>245</v>
      </c>
      <c r="C20" t="s">
        <v>246</v>
      </c>
      <c r="D20" t="s">
        <v>163</v>
      </c>
      <c r="E20">
        <f>IF(C20="DAO",0,IF(C20="Hybrid (Foundation + DAO)",10,IF(C20="Foundation",10,IF(C20="Company",20,IF(C20="Unknown",20,"")))))</f>
        <v>20</v>
      </c>
      <c r="F20">
        <f>IF(D20="High",0,IF(D20="Medium",0.05,IF(D20="Low",0.1,IF(D20="Unknown",0.15,""))))</f>
        <v>0</v>
      </c>
      <c r="G20">
        <f>E20*(1+F20)</f>
        <v>20</v>
      </c>
      <c r="H20" t="s">
        <v>247</v>
      </c>
      <c r="I20" t="s">
        <v>248</v>
      </c>
      <c r="J20" t="s">
        <v>176</v>
      </c>
      <c r="K20" s="24">
        <f>IF(I20="","",MAX(IFERROR(DATEVALUE(TRIM(MID(SUBSTITUTE(I20,";",REPT(" ",50)),1,50))),0),IFERROR(DATEVALUE(TRIM(MID(SUBSTITUTE(I20,";",REPT(" ",50)),51,50))),0),IFERROR(DATEVALUE(TRIM(MID(SUBSTITUTE(I20,";",REPT(" ",50)),101,50))),0),IFERROR(DATEVALUE(TRIM(MID(SUBSTITUTE(I20,";",REPT(" ",50)),151,50))),0),IFERROR(DATEVALUE(TRIM(MID(SUBSTITUTE(I20,";",REPT(" ",50)),201,50))),0),IFERROR(DATEVALUE(TRIM(MID(SUBSTITUTE(I20,";",REPT(" ",50)),251,50))),0),IFERROR(DATEVALUE(TRIM(MID(SUBSTITUTE(I20,";",REPT(" ",50)),301,50))),0),IFERROR(DATEVALUE(TRIM(MID(SUBSTITUTE(I20,";",REPT(" ",50)),351,50))),0),IFERROR(DATEVALUE(TRIM(MID(SUBSTITUTE(I20,";",REPT(" ",50)),401,50))),0),IFERROR(DATEVALUE(TRIM(MID(SUBSTITUTE(I20,";",REPT(" ",50)),451,50))),0)))</f>
        <v>45894</v>
      </c>
      <c r="L20">
        <f ca="1">IF(K20="","",TODAY()-K20)</f>
        <v>118</v>
      </c>
      <c r="M20" t="s">
        <v>167</v>
      </c>
      <c r="N20">
        <f ca="1">IF(M20="","",IF(L20="",INDEX($F$92:$F$95,MATCH(M20,$C$92:$C$95,0)),IF(L20&lt;=INDEX($D$92:$D$95,MATCH(M20,$C$92:$C$95,0)),0,IF(L20&lt;=INDEX($E$92:$E$95,MATCH(M20,$C$92:$C$95,0)),INDEX($F$92:$F$95,MATCH(M20,$C$92:$C$95,0)),INDEX($G$92:$G$95,MATCH(M20,$C$92:$C$95,0))))))</f>
        <v>0</v>
      </c>
      <c r="O20">
        <f ca="1">G20+N20</f>
        <v>20</v>
      </c>
      <c r="P20" t="s">
        <v>168</v>
      </c>
      <c r="R20" t="s">
        <v>249</v>
      </c>
    </row>
    <row r="21" spans="1:19" x14ac:dyDescent="0.2">
      <c r="A21" t="s">
        <v>250</v>
      </c>
      <c r="B21" t="s">
        <v>251</v>
      </c>
      <c r="C21" t="s">
        <v>252</v>
      </c>
      <c r="D21" t="s">
        <v>163</v>
      </c>
      <c r="E21">
        <f>IF(C21="Yes",0,IF(C21="Partial",10,IF(C21="No",20,"")))</f>
        <v>0</v>
      </c>
      <c r="F21">
        <f>IF(D21="High",0,IF(D21="Medium",0.05,IF(D21="Low",0.1,IF(D21="Unknown",0.15,""))))</f>
        <v>0</v>
      </c>
      <c r="G21">
        <f>E21*(1+F21)</f>
        <v>0</v>
      </c>
      <c r="H21" t="s">
        <v>253</v>
      </c>
      <c r="I21" t="s">
        <v>254</v>
      </c>
      <c r="J21" t="s">
        <v>166</v>
      </c>
      <c r="K21" s="24">
        <f>IF(I21="","",MAX(IFERROR(DATEVALUE(TRIM(MID(SUBSTITUTE(I21,";",REPT(" ",50)),1,50))),0),IFERROR(DATEVALUE(TRIM(MID(SUBSTITUTE(I21,";",REPT(" ",50)),51,50))),0),IFERROR(DATEVALUE(TRIM(MID(SUBSTITUTE(I21,";",REPT(" ",50)),101,50))),0),IFERROR(DATEVALUE(TRIM(MID(SUBSTITUTE(I21,";",REPT(" ",50)),151,50))),0),IFERROR(DATEVALUE(TRIM(MID(SUBSTITUTE(I21,";",REPT(" ",50)),201,50))),0),IFERROR(DATEVALUE(TRIM(MID(SUBSTITUTE(I21,";",REPT(" ",50)),251,50))),0),IFERROR(DATEVALUE(TRIM(MID(SUBSTITUTE(I21,";",REPT(" ",50)),301,50))),0),IFERROR(DATEVALUE(TRIM(MID(SUBSTITUTE(I21,";",REPT(" ",50)),351,50))),0),IFERROR(DATEVALUE(TRIM(MID(SUBSTITUTE(I21,";",REPT(" ",50)),401,50))),0),IFERROR(DATEVALUE(TRIM(MID(SUBSTITUTE(I21,";",REPT(" ",50)),451,50))),0)))</f>
        <v>45901</v>
      </c>
      <c r="L21">
        <f ca="1">IF(K21="","",TODAY()-K21)</f>
        <v>111</v>
      </c>
      <c r="M21" t="s">
        <v>167</v>
      </c>
      <c r="N21">
        <f ca="1">IF(M21="","",IF(L21="",INDEX($F$92:$F$95,MATCH(M21,$C$92:$C$95,0)),IF(L21&lt;=INDEX($D$92:$D$95,MATCH(M21,$C$92:$C$95,0)),0,IF(L21&lt;=INDEX($E$92:$E$95,MATCH(M21,$C$92:$C$95,0)),INDEX($F$92:$F$95,MATCH(M21,$C$92:$C$95,0)),INDEX($G$92:$G$95,MATCH(M21,$C$92:$C$95,0))))))</f>
        <v>0</v>
      </c>
      <c r="O21">
        <f ca="1">G21+N21</f>
        <v>0</v>
      </c>
      <c r="P21" t="s">
        <v>168</v>
      </c>
      <c r="R21" t="s">
        <v>255</v>
      </c>
    </row>
    <row r="22" spans="1:19" x14ac:dyDescent="0.2">
      <c r="A22" t="s">
        <v>256</v>
      </c>
      <c r="B22" t="s">
        <v>257</v>
      </c>
      <c r="C22" t="s">
        <v>252</v>
      </c>
      <c r="D22" t="s">
        <v>163</v>
      </c>
      <c r="E22">
        <f>IF(C22="Yes",0,IF(C22="No",20,IF(C22="Unknown",10,"")))</f>
        <v>0</v>
      </c>
      <c r="F22">
        <f>IF(D22="High",0,IF(D22="Medium",0.05,IF(D22="Low",0.1,IF(D22="Unknown",0.15,""))))</f>
        <v>0</v>
      </c>
      <c r="G22">
        <f>E22*(1+F22)</f>
        <v>0</v>
      </c>
      <c r="H22" t="s">
        <v>258</v>
      </c>
      <c r="I22" t="s">
        <v>259</v>
      </c>
      <c r="J22" t="s">
        <v>166</v>
      </c>
      <c r="K22" s="24">
        <f>IF(I22="","",MAX(IFERROR(DATEVALUE(TRIM(MID(SUBSTITUTE(I22,";",REPT(" ",50)),1,50))),0),IFERROR(DATEVALUE(TRIM(MID(SUBSTITUTE(I22,";",REPT(" ",50)),51,50))),0),IFERROR(DATEVALUE(TRIM(MID(SUBSTITUTE(I22,";",REPT(" ",50)),101,50))),0),IFERROR(DATEVALUE(TRIM(MID(SUBSTITUTE(I22,";",REPT(" ",50)),151,50))),0),IFERROR(DATEVALUE(TRIM(MID(SUBSTITUTE(I22,";",REPT(" ",50)),201,50))),0),IFERROR(DATEVALUE(TRIM(MID(SUBSTITUTE(I22,";",REPT(" ",50)),251,50))),0),IFERROR(DATEVALUE(TRIM(MID(SUBSTITUTE(I22,";",REPT(" ",50)),301,50))),0),IFERROR(DATEVALUE(TRIM(MID(SUBSTITUTE(I22,";",REPT(" ",50)),351,50))),0),IFERROR(DATEVALUE(TRIM(MID(SUBSTITUTE(I22,";",REPT(" ",50)),401,50))),0),IFERROR(DATEVALUE(TRIM(MID(SUBSTITUTE(I22,";",REPT(" ",50)),451,50))),0)))</f>
        <v>45976</v>
      </c>
      <c r="L22">
        <f ca="1">IF(K22="","",TODAY()-K22)</f>
        <v>36</v>
      </c>
      <c r="M22" t="s">
        <v>167</v>
      </c>
      <c r="N22">
        <f ca="1">IF(M22="","",IF(L22="",INDEX($F$92:$F$95,MATCH(M22,$C$92:$C$95,0)),IF(L22&lt;=INDEX($D$92:$D$95,MATCH(M22,$C$92:$C$95,0)),0,IF(L22&lt;=INDEX($E$92:$E$95,MATCH(M22,$C$92:$C$95,0)),INDEX($F$92:$F$95,MATCH(M22,$C$92:$C$95,0)),INDEX($G$92:$G$95,MATCH(M22,$C$92:$C$95,0))))))</f>
        <v>0</v>
      </c>
      <c r="O22">
        <f ca="1">G22+N22</f>
        <v>0</v>
      </c>
      <c r="P22" t="s">
        <v>168</v>
      </c>
      <c r="R22" t="s">
        <v>260</v>
      </c>
    </row>
    <row r="23" spans="1:19" x14ac:dyDescent="0.2">
      <c r="A23" t="s">
        <v>261</v>
      </c>
      <c r="B23" t="s">
        <v>262</v>
      </c>
      <c r="C23" t="s">
        <v>263</v>
      </c>
      <c r="D23" t="s">
        <v>182</v>
      </c>
      <c r="E23">
        <f>IF(C23="Yes",0,IF(C23="No",20,IF(C23="Unknown",10,"")))</f>
        <v>10</v>
      </c>
      <c r="F23">
        <f>IF(D23="High",0,IF(D23="Medium",0.05,IF(D23="Low",0.1,IF(D23="Unknown",0.15,""))))</f>
        <v>0.05</v>
      </c>
      <c r="G23">
        <f>E23*(1+F23)</f>
        <v>10.5</v>
      </c>
      <c r="H23" t="s">
        <v>264</v>
      </c>
      <c r="I23" t="s">
        <v>265</v>
      </c>
      <c r="J23" t="s">
        <v>176</v>
      </c>
      <c r="K23" s="24">
        <f>IF(I23="","",MAX(IFERROR(DATEVALUE(TRIM(MID(SUBSTITUTE(I23,";",REPT(" ",50)),1,50))),0),IFERROR(DATEVALUE(TRIM(MID(SUBSTITUTE(I23,";",REPT(" ",50)),51,50))),0),IFERROR(DATEVALUE(TRIM(MID(SUBSTITUTE(I23,";",REPT(" ",50)),101,50))),0),IFERROR(DATEVALUE(TRIM(MID(SUBSTITUTE(I23,";",REPT(" ",50)),151,50))),0),IFERROR(DATEVALUE(TRIM(MID(SUBSTITUTE(I23,";",REPT(" ",50)),201,50))),0),IFERROR(DATEVALUE(TRIM(MID(SUBSTITUTE(I23,";",REPT(" ",50)),251,50))),0),IFERROR(DATEVALUE(TRIM(MID(SUBSTITUTE(I23,";",REPT(" ",50)),301,50))),0),IFERROR(DATEVALUE(TRIM(MID(SUBSTITUTE(I23,";",REPT(" ",50)),351,50))),0),IFERROR(DATEVALUE(TRIM(MID(SUBSTITUTE(I23,";",REPT(" ",50)),401,50))),0),IFERROR(DATEVALUE(TRIM(MID(SUBSTITUTE(I23,";",REPT(" ",50)),451,50))),0)))</f>
        <v>46012</v>
      </c>
      <c r="L23">
        <f ca="1">IF(K23="","",TODAY()-K23)</f>
        <v>0</v>
      </c>
      <c r="M23" t="s">
        <v>167</v>
      </c>
      <c r="N23">
        <f ca="1">IF(M23="","",IF(L23="",INDEX($F$92:$F$95,MATCH(M23,$C$92:$C$95,0)),IF(L23&lt;=INDEX($D$92:$D$95,MATCH(M23,$C$92:$C$95,0)),0,IF(L23&lt;=INDEX($E$92:$E$95,MATCH(M23,$C$92:$C$95,0)),INDEX($F$92:$F$95,MATCH(M23,$C$92:$C$95,0)),INDEX($G$92:$G$95,MATCH(M23,$C$92:$C$95,0))))))</f>
        <v>0</v>
      </c>
      <c r="O23">
        <f ca="1">G23+N23</f>
        <v>10.5</v>
      </c>
      <c r="P23" t="s">
        <v>168</v>
      </c>
      <c r="R23" t="s">
        <v>266</v>
      </c>
    </row>
    <row r="24" spans="1:19" x14ac:dyDescent="0.2">
      <c r="A24" t="s">
        <v>267</v>
      </c>
      <c r="B24" t="s">
        <v>268</v>
      </c>
      <c r="C24" t="s">
        <v>252</v>
      </c>
      <c r="D24" t="s">
        <v>182</v>
      </c>
      <c r="E24">
        <f>IF(C24="Yes",0,IF(C24="Partial",10,IF(C24="No",20,"")))</f>
        <v>0</v>
      </c>
      <c r="F24">
        <f>IF(D24="High",0,IF(D24="Medium",0.05,IF(D24="Low",0.1,IF(D24="Unknown",0.15,""))))</f>
        <v>0.05</v>
      </c>
      <c r="G24">
        <f>E24*(1+F24)</f>
        <v>0</v>
      </c>
      <c r="H24" t="s">
        <v>269</v>
      </c>
      <c r="I24" t="s">
        <v>270</v>
      </c>
      <c r="J24" t="s">
        <v>166</v>
      </c>
      <c r="K24" s="24">
        <f>IF(I24="","",MAX(IFERROR(DATEVALUE(TRIM(MID(SUBSTITUTE(I24,";",REPT(" ",50)),1,50))),0),IFERROR(DATEVALUE(TRIM(MID(SUBSTITUTE(I24,";",REPT(" ",50)),51,50))),0),IFERROR(DATEVALUE(TRIM(MID(SUBSTITUTE(I24,";",REPT(" ",50)),101,50))),0),IFERROR(DATEVALUE(TRIM(MID(SUBSTITUTE(I24,";",REPT(" ",50)),151,50))),0),IFERROR(DATEVALUE(TRIM(MID(SUBSTITUTE(I24,";",REPT(" ",50)),201,50))),0),IFERROR(DATEVALUE(TRIM(MID(SUBSTITUTE(I24,";",REPT(" ",50)),251,50))),0),IFERROR(DATEVALUE(TRIM(MID(SUBSTITUTE(I24,";",REPT(" ",50)),301,50))),0),IFERROR(DATEVALUE(TRIM(MID(SUBSTITUTE(I24,";",REPT(" ",50)),351,50))),0),IFERROR(DATEVALUE(TRIM(MID(SUBSTITUTE(I24,";",REPT(" ",50)),401,50))),0),IFERROR(DATEVALUE(TRIM(MID(SUBSTITUTE(I24,";",REPT(" ",50)),451,50))),0)))</f>
        <v>46012</v>
      </c>
      <c r="L24">
        <f ca="1">IF(K24="","",TODAY()-K24)</f>
        <v>0</v>
      </c>
      <c r="M24" t="s">
        <v>167</v>
      </c>
      <c r="N24">
        <f ca="1">IF(M24="","",IF(L24="",INDEX($F$92:$F$95,MATCH(M24,$C$92:$C$95,0)),IF(L24&lt;=INDEX($D$92:$D$95,MATCH(M24,$C$92:$C$95,0)),0,IF(L24&lt;=INDEX($E$92:$E$95,MATCH(M24,$C$92:$C$95,0)),INDEX($F$92:$F$95,MATCH(M24,$C$92:$C$95,0)),INDEX($G$92:$G$95,MATCH(M24,$C$92:$C$95,0))))))</f>
        <v>0</v>
      </c>
      <c r="O24">
        <f ca="1">G24+N24</f>
        <v>0</v>
      </c>
      <c r="P24" t="s">
        <v>168</v>
      </c>
      <c r="R24" t="s">
        <v>271</v>
      </c>
    </row>
    <row r="25" spans="1:19" x14ac:dyDescent="0.2">
      <c r="A25" s="2"/>
      <c r="B25" s="48"/>
      <c r="C25" s="49"/>
      <c r="D25" s="49"/>
      <c r="E25" s="49"/>
      <c r="F25" s="49"/>
      <c r="G25" s="49"/>
      <c r="H25" s="49"/>
      <c r="I25" s="49"/>
      <c r="J25" s="49"/>
      <c r="K25" s="50"/>
      <c r="L25" s="49"/>
      <c r="M25" s="49"/>
      <c r="N25" s="49"/>
      <c r="O25" s="49"/>
      <c r="P25" s="49"/>
      <c r="Q25" s="49"/>
      <c r="R25" s="49"/>
    </row>
    <row r="26" spans="1:19" x14ac:dyDescent="0.2">
      <c r="A26" t="s">
        <v>272</v>
      </c>
      <c r="B26" t="s">
        <v>273</v>
      </c>
      <c r="C26" t="s">
        <v>263</v>
      </c>
      <c r="D26" t="s">
        <v>182</v>
      </c>
      <c r="E26">
        <f>IF(C26="No upgrades (immutable)",0,
 IF(C26="DAO vote",0,
 IF(C26="Large multisig (≥4)",10,
 IF(C26="Small multisig (≤3)",10,
 IF(C26="Single dev",20,
 IF(C26="Unknown",10,"")))))
)</f>
        <v>10</v>
      </c>
      <c r="F26">
        <f t="shared" ref="F26:F32" si="6">IF(D26="High",0,IF(D26="Medium",0.05,IF(D26="Low",0.1,IF(D26="Unknown",0.15,""))))</f>
        <v>0.05</v>
      </c>
      <c r="G26">
        <f t="shared" ref="G26:G32" si="7">E26*(1+F26)</f>
        <v>10.5</v>
      </c>
      <c r="H26" t="s">
        <v>274</v>
      </c>
      <c r="J26" t="s">
        <v>176</v>
      </c>
      <c r="K26" s="24" t="str">
        <f t="shared" ref="K26:K32" si="8">IF(I26="","",MAX(IFERROR(DATEVALUE(TRIM(MID(SUBSTITUTE(I26,";",REPT(" ",50)),1,50))),0),IFERROR(DATEVALUE(TRIM(MID(SUBSTITUTE(I26,";",REPT(" ",50)),51,50))),0),IFERROR(DATEVALUE(TRIM(MID(SUBSTITUTE(I26,";",REPT(" ",50)),101,50))),0),IFERROR(DATEVALUE(TRIM(MID(SUBSTITUTE(I26,";",REPT(" ",50)),151,50))),0),IFERROR(DATEVALUE(TRIM(MID(SUBSTITUTE(I26,";",REPT(" ",50)),201,50))),0),IFERROR(DATEVALUE(TRIM(MID(SUBSTITUTE(I26,";",REPT(" ",50)),251,50))),0),IFERROR(DATEVALUE(TRIM(MID(SUBSTITUTE(I26,";",REPT(" ",50)),301,50))),0),IFERROR(DATEVALUE(TRIM(MID(SUBSTITUTE(I26,";",REPT(" ",50)),351,50))),0),IFERROR(DATEVALUE(TRIM(MID(SUBSTITUTE(I26,";",REPT(" ",50)),401,50))),0),IFERROR(DATEVALUE(TRIM(MID(SUBSTITUTE(I26,";",REPT(" ",50)),451,50))),0)))</f>
        <v/>
      </c>
      <c r="L26" t="str">
        <f t="shared" ref="L26:L32" ca="1" si="9">IF(K26="","",TODAY()-K26)</f>
        <v/>
      </c>
      <c r="M26" t="s">
        <v>275</v>
      </c>
      <c r="N26">
        <f t="shared" ref="N26:N32" ca="1" si="10">IF(M26="","",IF(L26="",INDEX($F$92:$F$95,MATCH(M26,$C$92:$C$95,0)),IF(L26&lt;=INDEX($D$92:$D$95,MATCH(M26,$C$92:$C$95,0)),0,IF(L26&lt;=INDEX($E$92:$E$95,MATCH(M26,$C$92:$C$95,0)),INDEX($F$92:$F$95,MATCH(M26,$C$92:$C$95,0)),INDEX($G$92:$G$95,MATCH(M26,$C$92:$C$95,0))))))</f>
        <v>5</v>
      </c>
      <c r="O26">
        <f t="shared" ref="O26:O32" ca="1" si="11">G26+N26</f>
        <v>15.5</v>
      </c>
      <c r="P26" t="str">
        <f>IF(C26="Single dev","Review Required","No Review")</f>
        <v>No Review</v>
      </c>
      <c r="Q26" t="s">
        <v>276</v>
      </c>
      <c r="R26" t="s">
        <v>277</v>
      </c>
    </row>
    <row r="27" spans="1:19" x14ac:dyDescent="0.2">
      <c r="A27" t="s">
        <v>278</v>
      </c>
      <c r="B27" t="s">
        <v>279</v>
      </c>
      <c r="C27" t="s">
        <v>280</v>
      </c>
      <c r="D27" t="s">
        <v>182</v>
      </c>
      <c r="E27">
        <f>IF(C27="Yes",0,IF(C27="Partial",10,IF(C27="No",20,"")))</f>
        <v>10</v>
      </c>
      <c r="F27">
        <f t="shared" si="6"/>
        <v>0.05</v>
      </c>
      <c r="G27">
        <f t="shared" si="7"/>
        <v>10.5</v>
      </c>
      <c r="H27" t="s">
        <v>281</v>
      </c>
      <c r="I27" t="s">
        <v>282</v>
      </c>
      <c r="J27" t="s">
        <v>166</v>
      </c>
      <c r="K27" s="24">
        <f t="shared" si="8"/>
        <v>45852</v>
      </c>
      <c r="L27">
        <f t="shared" ca="1" si="9"/>
        <v>160</v>
      </c>
      <c r="M27" t="s">
        <v>167</v>
      </c>
      <c r="N27">
        <f t="shared" ca="1" si="10"/>
        <v>0</v>
      </c>
      <c r="O27">
        <f t="shared" ca="1" si="11"/>
        <v>10.5</v>
      </c>
      <c r="P27" t="s">
        <v>168</v>
      </c>
      <c r="R27" t="s">
        <v>283</v>
      </c>
    </row>
    <row r="28" spans="1:19" x14ac:dyDescent="0.2">
      <c r="A28" t="s">
        <v>284</v>
      </c>
      <c r="B28" t="s">
        <v>285</v>
      </c>
      <c r="C28" t="s">
        <v>263</v>
      </c>
      <c r="D28" t="s">
        <v>182</v>
      </c>
      <c r="E28">
        <f>IF(C28="Yes",0,IF(C28="No",20,IF(C28="Unknown",10,"")))</f>
        <v>10</v>
      </c>
      <c r="F28">
        <f t="shared" si="6"/>
        <v>0.05</v>
      </c>
      <c r="G28">
        <f t="shared" si="7"/>
        <v>10.5</v>
      </c>
      <c r="H28" t="s">
        <v>286</v>
      </c>
      <c r="J28" t="s">
        <v>166</v>
      </c>
      <c r="K28" s="24" t="str">
        <f t="shared" si="8"/>
        <v/>
      </c>
      <c r="L28" t="str">
        <f t="shared" ca="1" si="9"/>
        <v/>
      </c>
      <c r="M28" t="s">
        <v>275</v>
      </c>
      <c r="N28">
        <f t="shared" ca="1" si="10"/>
        <v>5</v>
      </c>
      <c r="O28">
        <f t="shared" ca="1" si="11"/>
        <v>15.5</v>
      </c>
      <c r="P28" t="str">
        <f>IF(AND(C28="No", OR(C26="Single dev", C26="Small multisig (≤3)")),"Review Required","No Review")</f>
        <v>No Review</v>
      </c>
      <c r="Q28" t="s">
        <v>287</v>
      </c>
      <c r="R28" t="s">
        <v>288</v>
      </c>
    </row>
    <row r="29" spans="1:19" x14ac:dyDescent="0.2">
      <c r="A29" t="s">
        <v>289</v>
      </c>
      <c r="B29" t="s">
        <v>290</v>
      </c>
      <c r="C29" t="s">
        <v>252</v>
      </c>
      <c r="D29" t="s">
        <v>182</v>
      </c>
      <c r="E29">
        <f>IF(C29="Yes",10,IF(C29="No",0,IF(C29="Unknown",5,"")))</f>
        <v>10</v>
      </c>
      <c r="F29">
        <f t="shared" si="6"/>
        <v>0.05</v>
      </c>
      <c r="G29">
        <f t="shared" si="7"/>
        <v>10.5</v>
      </c>
      <c r="H29" t="s">
        <v>291</v>
      </c>
      <c r="J29" t="s">
        <v>292</v>
      </c>
      <c r="K29" s="24" t="str">
        <f t="shared" si="8"/>
        <v/>
      </c>
      <c r="L29" t="str">
        <f t="shared" ca="1" si="9"/>
        <v/>
      </c>
      <c r="M29" t="s">
        <v>275</v>
      </c>
      <c r="N29">
        <f t="shared" ca="1" si="10"/>
        <v>5</v>
      </c>
      <c r="O29">
        <f t="shared" ca="1" si="11"/>
        <v>15.5</v>
      </c>
      <c r="P29" t="s">
        <v>168</v>
      </c>
      <c r="R29" t="s">
        <v>293</v>
      </c>
    </row>
    <row r="30" spans="1:19" x14ac:dyDescent="0.2">
      <c r="A30" t="s">
        <v>294</v>
      </c>
      <c r="B30" t="s">
        <v>295</v>
      </c>
      <c r="C30" t="s">
        <v>263</v>
      </c>
      <c r="D30" t="s">
        <v>263</v>
      </c>
      <c r="E30">
        <f>IF(C30="Yes",0,IF(C30="No",20,IF(C30="Unknown",10,"")))</f>
        <v>10</v>
      </c>
      <c r="F30">
        <f t="shared" si="6"/>
        <v>0.15</v>
      </c>
      <c r="G30">
        <f t="shared" si="7"/>
        <v>11.5</v>
      </c>
      <c r="K30" s="24" t="str">
        <f t="shared" si="8"/>
        <v/>
      </c>
      <c r="L30" t="str">
        <f t="shared" ca="1" si="9"/>
        <v/>
      </c>
      <c r="M30" t="s">
        <v>185</v>
      </c>
      <c r="N30">
        <f t="shared" ca="1" si="10"/>
        <v>3</v>
      </c>
      <c r="O30">
        <f t="shared" ca="1" si="11"/>
        <v>14.5</v>
      </c>
      <c r="P30" t="s">
        <v>168</v>
      </c>
      <c r="R30" t="s">
        <v>296</v>
      </c>
      <c r="S30" t="s">
        <v>297</v>
      </c>
    </row>
    <row r="31" spans="1:19" x14ac:dyDescent="0.2">
      <c r="A31" t="s">
        <v>298</v>
      </c>
      <c r="B31" t="s">
        <v>299</v>
      </c>
      <c r="C31" t="s">
        <v>263</v>
      </c>
      <c r="D31" t="s">
        <v>217</v>
      </c>
      <c r="E31">
        <f>IF(C31="","",
 IF(C31="Binding",0,
 IF(C31="Advisory",10,
 IF(C31="No DAO",20,
 IF(C31="Unknown",10,"")))))</f>
        <v>10</v>
      </c>
      <c r="F31">
        <f t="shared" si="6"/>
        <v>0.1</v>
      </c>
      <c r="G31">
        <f t="shared" si="7"/>
        <v>11</v>
      </c>
      <c r="K31" s="24" t="str">
        <f t="shared" si="8"/>
        <v/>
      </c>
      <c r="L31" t="str">
        <f t="shared" ca="1" si="9"/>
        <v/>
      </c>
      <c r="M31" t="s">
        <v>300</v>
      </c>
      <c r="N31">
        <f t="shared" ca="1" si="10"/>
        <v>2</v>
      </c>
      <c r="O31">
        <f t="shared" ca="1" si="11"/>
        <v>13</v>
      </c>
      <c r="P31" t="s">
        <v>168</v>
      </c>
      <c r="R31" t="s">
        <v>301</v>
      </c>
    </row>
    <row r="32" spans="1:19" x14ac:dyDescent="0.2">
      <c r="A32" t="s">
        <v>302</v>
      </c>
      <c r="B32" t="s">
        <v>303</v>
      </c>
      <c r="C32" t="s">
        <v>252</v>
      </c>
      <c r="D32" t="s">
        <v>182</v>
      </c>
      <c r="E32">
        <f>IF(C32="No",0,IF(C32="Yes",10,IF(C32="Unknown",5,"")))</f>
        <v>10</v>
      </c>
      <c r="F32">
        <f t="shared" si="6"/>
        <v>0.05</v>
      </c>
      <c r="G32">
        <f t="shared" si="7"/>
        <v>10.5</v>
      </c>
      <c r="H32" t="s">
        <v>304</v>
      </c>
      <c r="I32" t="s">
        <v>305</v>
      </c>
      <c r="J32" t="s">
        <v>166</v>
      </c>
      <c r="K32" s="24">
        <f t="shared" si="8"/>
        <v>45905</v>
      </c>
      <c r="L32">
        <f t="shared" ca="1" si="9"/>
        <v>107</v>
      </c>
      <c r="M32" t="s">
        <v>185</v>
      </c>
      <c r="N32">
        <f t="shared" ca="1" si="10"/>
        <v>0</v>
      </c>
      <c r="O32">
        <f t="shared" ca="1" si="11"/>
        <v>10.5</v>
      </c>
      <c r="P32" t="s">
        <v>168</v>
      </c>
      <c r="R32" t="s">
        <v>306</v>
      </c>
    </row>
    <row r="33" spans="1:18" x14ac:dyDescent="0.2">
      <c r="A33" s="2"/>
      <c r="B33" s="48"/>
      <c r="C33" s="49"/>
      <c r="D33" s="49"/>
      <c r="E33" s="49"/>
      <c r="F33" s="49"/>
      <c r="G33" s="49"/>
      <c r="H33" s="49"/>
      <c r="I33" s="49"/>
      <c r="J33" s="49"/>
      <c r="K33" s="50"/>
      <c r="L33" s="49"/>
      <c r="M33" s="49"/>
      <c r="N33" s="49"/>
      <c r="O33" s="49"/>
      <c r="P33" s="49"/>
      <c r="Q33" s="49"/>
      <c r="R33" s="49"/>
    </row>
    <row r="34" spans="1:18" x14ac:dyDescent="0.2">
      <c r="A34" t="s">
        <v>307</v>
      </c>
      <c r="B34" t="s">
        <v>1664</v>
      </c>
      <c r="C34" t="s">
        <v>263</v>
      </c>
      <c r="D34" t="s">
        <v>217</v>
      </c>
      <c r="E34">
        <f>IF(C34="DAO",0,
   IF(C34="≥4",10,
   IF(C34="≤3",20,
   IF(C34="Single",20,
   IF(C34="Unknown",10,"")))))</f>
        <v>10</v>
      </c>
      <c r="F34">
        <f t="shared" ref="F34:F39" si="12">IF(D34="High",0,IF(D34="Medium",0.05,IF(D34="Low",0.1,IF(D34="Unknown",0.15,""))))</f>
        <v>0.1</v>
      </c>
      <c r="G34">
        <f t="shared" ref="G34:G39" si="13">E34*(1+F34)</f>
        <v>11</v>
      </c>
      <c r="K34" s="24" t="str">
        <f t="shared" ref="K34:K39" si="14">IF(I34="","",MAX(IFERROR(DATEVALUE(TRIM(MID(SUBSTITUTE(I34,";",REPT(" ",50)),1,50))),0),IFERROR(DATEVALUE(TRIM(MID(SUBSTITUTE(I34,";",REPT(" ",50)),51,50))),0),IFERROR(DATEVALUE(TRIM(MID(SUBSTITUTE(I34,";",REPT(" ",50)),101,50))),0),IFERROR(DATEVALUE(TRIM(MID(SUBSTITUTE(I34,";",REPT(" ",50)),151,50))),0),IFERROR(DATEVALUE(TRIM(MID(SUBSTITUTE(I34,";",REPT(" ",50)),201,50))),0),IFERROR(DATEVALUE(TRIM(MID(SUBSTITUTE(I34,";",REPT(" ",50)),251,50))),0),IFERROR(DATEVALUE(TRIM(MID(SUBSTITUTE(I34,";",REPT(" ",50)),301,50))),0),IFERROR(DATEVALUE(TRIM(MID(SUBSTITUTE(I34,";",REPT(" ",50)),351,50))),0),IFERROR(DATEVALUE(TRIM(MID(SUBSTITUTE(I34,";",REPT(" ",50)),401,50))),0),IFERROR(DATEVALUE(TRIM(MID(SUBSTITUTE(I34,";",REPT(" ",50)),451,50))),0)))</f>
        <v/>
      </c>
      <c r="L34" t="str">
        <f t="shared" ref="L34:L39" ca="1" si="15">IF(K34="","",TODAY()-K34)</f>
        <v/>
      </c>
      <c r="M34" t="s">
        <v>275</v>
      </c>
      <c r="N34">
        <f t="shared" ref="N34:N39" ca="1" si="16">IF(M34="","",IF(L34="",INDEX($F$92:$F$95,MATCH(M34,$C$92:$C$95,0)),IF(L34&lt;=INDEX($D$92:$D$95,MATCH(M34,$C$92:$C$95,0)),0,IF(L34&lt;=INDEX($E$92:$E$95,MATCH(M34,$C$92:$C$95,0)),INDEX($F$92:$F$95,MATCH(M34,$C$92:$C$95,0)),INDEX($G$92:$G$95,MATCH(M34,$C$92:$C$95,0))))))</f>
        <v>5</v>
      </c>
      <c r="O34">
        <f t="shared" ref="O34:O39" ca="1" si="17">G34+N34</f>
        <v>16</v>
      </c>
      <c r="P34" t="str">
        <f>IF(OR(C34="Single",C34="≤3"),IF(OR(C35="No",C36="No",C37="No",C38="No",C39="Yes"),"Review Required","No Review"),"No Review")</f>
        <v>No Review</v>
      </c>
      <c r="Q34" t="s">
        <v>308</v>
      </c>
      <c r="R34" t="s">
        <v>309</v>
      </c>
    </row>
    <row r="35" spans="1:18" x14ac:dyDescent="0.2">
      <c r="A35" t="s">
        <v>310</v>
      </c>
      <c r="B35" t="s">
        <v>311</v>
      </c>
      <c r="C35" t="s">
        <v>181</v>
      </c>
      <c r="D35" t="s">
        <v>182</v>
      </c>
      <c r="E35">
        <f>IF(C35="Yes",0,IF(C35="No",20,IF(C35="Unknown",10,"")))</f>
        <v>20</v>
      </c>
      <c r="F35">
        <f t="shared" si="12"/>
        <v>0.05</v>
      </c>
      <c r="G35">
        <f t="shared" si="13"/>
        <v>21</v>
      </c>
      <c r="H35" t="s">
        <v>312</v>
      </c>
      <c r="I35" t="s">
        <v>313</v>
      </c>
      <c r="J35" t="s">
        <v>166</v>
      </c>
      <c r="K35" s="24">
        <f t="shared" si="14"/>
        <v>46012</v>
      </c>
      <c r="L35">
        <f t="shared" ca="1" si="15"/>
        <v>0</v>
      </c>
      <c r="M35" t="s">
        <v>167</v>
      </c>
      <c r="N35">
        <f t="shared" ca="1" si="16"/>
        <v>0</v>
      </c>
      <c r="O35">
        <f t="shared" ca="1" si="17"/>
        <v>21</v>
      </c>
      <c r="P35" t="s">
        <v>168</v>
      </c>
      <c r="R35" t="s">
        <v>314</v>
      </c>
    </row>
    <row r="36" spans="1:18" x14ac:dyDescent="0.2">
      <c r="A36" t="s">
        <v>315</v>
      </c>
      <c r="B36" t="s">
        <v>316</v>
      </c>
      <c r="C36" t="s">
        <v>181</v>
      </c>
      <c r="D36" t="s">
        <v>182</v>
      </c>
      <c r="E36">
        <f>IF(C36="Yes",0,IF(C36="Partial",10,IF(C36="No",20,"")))</f>
        <v>20</v>
      </c>
      <c r="F36">
        <f t="shared" si="12"/>
        <v>0.05</v>
      </c>
      <c r="G36">
        <f t="shared" si="13"/>
        <v>21</v>
      </c>
      <c r="H36" t="s">
        <v>317</v>
      </c>
      <c r="I36" t="s">
        <v>318</v>
      </c>
      <c r="J36" t="s">
        <v>166</v>
      </c>
      <c r="K36" s="24">
        <f t="shared" si="14"/>
        <v>46010</v>
      </c>
      <c r="L36">
        <f t="shared" ca="1" si="15"/>
        <v>2</v>
      </c>
      <c r="M36" t="s">
        <v>185</v>
      </c>
      <c r="N36">
        <f t="shared" ca="1" si="16"/>
        <v>0</v>
      </c>
      <c r="O36">
        <f t="shared" ca="1" si="17"/>
        <v>21</v>
      </c>
      <c r="P36" t="s">
        <v>168</v>
      </c>
      <c r="R36" t="s">
        <v>319</v>
      </c>
    </row>
    <row r="37" spans="1:18" x14ac:dyDescent="0.2">
      <c r="A37" t="s">
        <v>320</v>
      </c>
      <c r="B37" t="s">
        <v>321</v>
      </c>
      <c r="C37" t="s">
        <v>263</v>
      </c>
      <c r="D37" t="s">
        <v>217</v>
      </c>
      <c r="E37">
        <f>IF(C37="Yes",0,IF(C37="No",20,IF(C37="Unknown",10,"")))</f>
        <v>10</v>
      </c>
      <c r="F37">
        <f t="shared" si="12"/>
        <v>0.1</v>
      </c>
      <c r="G37">
        <f t="shared" si="13"/>
        <v>11</v>
      </c>
      <c r="H37" t="s">
        <v>322</v>
      </c>
      <c r="I37" t="s">
        <v>323</v>
      </c>
      <c r="J37" t="s">
        <v>166</v>
      </c>
      <c r="K37" s="24">
        <f t="shared" si="14"/>
        <v>46012</v>
      </c>
      <c r="L37">
        <f t="shared" ca="1" si="15"/>
        <v>0</v>
      </c>
      <c r="M37" t="s">
        <v>300</v>
      </c>
      <c r="N37">
        <f t="shared" ca="1" si="16"/>
        <v>0</v>
      </c>
      <c r="O37">
        <f t="shared" ca="1" si="17"/>
        <v>11</v>
      </c>
      <c r="P37" t="s">
        <v>168</v>
      </c>
      <c r="R37" t="s">
        <v>324</v>
      </c>
    </row>
    <row r="38" spans="1:18" x14ac:dyDescent="0.2">
      <c r="A38" t="s">
        <v>325</v>
      </c>
      <c r="B38" t="s">
        <v>326</v>
      </c>
      <c r="C38" t="s">
        <v>252</v>
      </c>
      <c r="D38" t="s">
        <v>163</v>
      </c>
      <c r="E38">
        <f>IF(C38="Yes",0,IF(C38="No",20,IF(C38="Unknown",10,"")))</f>
        <v>0</v>
      </c>
      <c r="F38">
        <f t="shared" si="12"/>
        <v>0</v>
      </c>
      <c r="G38">
        <f t="shared" si="13"/>
        <v>0</v>
      </c>
      <c r="H38" t="s">
        <v>327</v>
      </c>
      <c r="I38" t="s">
        <v>328</v>
      </c>
      <c r="J38" t="s">
        <v>176</v>
      </c>
      <c r="K38" s="24">
        <f t="shared" si="14"/>
        <v>45945</v>
      </c>
      <c r="L38">
        <f t="shared" ca="1" si="15"/>
        <v>67</v>
      </c>
      <c r="M38" t="s">
        <v>185</v>
      </c>
      <c r="N38">
        <f t="shared" ca="1" si="16"/>
        <v>0</v>
      </c>
      <c r="O38">
        <f t="shared" ca="1" si="17"/>
        <v>0</v>
      </c>
      <c r="P38" t="s">
        <v>168</v>
      </c>
      <c r="R38" t="s">
        <v>329</v>
      </c>
    </row>
    <row r="39" spans="1:18" x14ac:dyDescent="0.2">
      <c r="A39" t="s">
        <v>330</v>
      </c>
      <c r="B39" t="s">
        <v>331</v>
      </c>
      <c r="C39" t="s">
        <v>252</v>
      </c>
      <c r="D39" t="s">
        <v>182</v>
      </c>
      <c r="E39">
        <f>IF(C39="No",0,IF(C39="Yes",10,IF(C39="Unknown",5,"")))</f>
        <v>10</v>
      </c>
      <c r="F39">
        <f t="shared" si="12"/>
        <v>0.05</v>
      </c>
      <c r="G39">
        <f t="shared" si="13"/>
        <v>10.5</v>
      </c>
      <c r="H39" t="s">
        <v>332</v>
      </c>
      <c r="I39" t="s">
        <v>333</v>
      </c>
      <c r="J39" t="s">
        <v>166</v>
      </c>
      <c r="K39" s="24">
        <f t="shared" si="14"/>
        <v>45980</v>
      </c>
      <c r="L39">
        <f t="shared" ca="1" si="15"/>
        <v>32</v>
      </c>
      <c r="M39" t="s">
        <v>185</v>
      </c>
      <c r="N39">
        <f t="shared" ca="1" si="16"/>
        <v>0</v>
      </c>
      <c r="O39">
        <f t="shared" ca="1" si="17"/>
        <v>10.5</v>
      </c>
      <c r="P39" t="s">
        <v>168</v>
      </c>
      <c r="R39" t="s">
        <v>334</v>
      </c>
    </row>
    <row r="40" spans="1:18" x14ac:dyDescent="0.2">
      <c r="A40" s="2"/>
      <c r="B40" s="48"/>
      <c r="C40" s="49"/>
      <c r="D40" s="49"/>
      <c r="E40" s="49"/>
      <c r="F40" s="49"/>
      <c r="G40" s="49"/>
      <c r="H40" s="49"/>
      <c r="I40" s="49"/>
      <c r="J40" s="49"/>
      <c r="K40" s="50"/>
      <c r="L40" s="49"/>
      <c r="M40" s="49"/>
      <c r="N40" s="49"/>
      <c r="O40" s="49"/>
      <c r="P40" s="49"/>
      <c r="Q40" s="49"/>
      <c r="R40" s="49"/>
    </row>
    <row r="41" spans="1:18" x14ac:dyDescent="0.2">
      <c r="A41" t="s">
        <v>335</v>
      </c>
      <c r="B41" t="s">
        <v>336</v>
      </c>
      <c r="C41" t="s">
        <v>337</v>
      </c>
      <c r="D41" t="s">
        <v>163</v>
      </c>
      <c r="E41">
        <f>0</f>
        <v>0</v>
      </c>
      <c r="F41">
        <f>IF(D41="High",0,IF(D41="Medium",0.05,IF(D41="Low",0.1,IF(D41="Unknown",0.15,""))))</f>
        <v>0</v>
      </c>
      <c r="G41">
        <f>E41*(1+F41)</f>
        <v>0</v>
      </c>
      <c r="H41" t="s">
        <v>338</v>
      </c>
      <c r="I41" t="s">
        <v>339</v>
      </c>
      <c r="J41" t="s">
        <v>166</v>
      </c>
      <c r="K41" s="24">
        <f>IF(I41="","",MAX(IFERROR(DATEVALUE(TRIM(MID(SUBSTITUTE(I41,";",REPT(" ",50)),1,50))),0),IFERROR(DATEVALUE(TRIM(MID(SUBSTITUTE(I41,";",REPT(" ",50)),51,50))),0),IFERROR(DATEVALUE(TRIM(MID(SUBSTITUTE(I41,";",REPT(" ",50)),101,50))),0),IFERROR(DATEVALUE(TRIM(MID(SUBSTITUTE(I41,";",REPT(" ",50)),151,50))),0),IFERROR(DATEVALUE(TRIM(MID(SUBSTITUTE(I41,";",REPT(" ",50)),201,50))),0),IFERROR(DATEVALUE(TRIM(MID(SUBSTITUTE(I41,";",REPT(" ",50)),251,50))),0),IFERROR(DATEVALUE(TRIM(MID(SUBSTITUTE(I41,";",REPT(" ",50)),301,50))),0),IFERROR(DATEVALUE(TRIM(MID(SUBSTITUTE(I41,";",REPT(" ",50)),351,50))),0),IFERROR(DATEVALUE(TRIM(MID(SUBSTITUTE(I41,";",REPT(" ",50)),401,50))),0),IFERROR(DATEVALUE(TRIM(MID(SUBSTITUTE(I41,";",REPT(" ",50)),451,50))),0)))</f>
        <v>45924</v>
      </c>
      <c r="L41">
        <f ca="1">IF(K41="","",TODAY()-K41)</f>
        <v>88</v>
      </c>
      <c r="M41" t="s">
        <v>300</v>
      </c>
      <c r="N41">
        <f ca="1">IF(M41="","",IF(L41="",INDEX($F$92:$F$95,MATCH(M41,$C$92:$C$95,0)),IF(L41&lt;=INDEX($D$92:$D$95,MATCH(M41,$C$92:$C$95,0)),0,IF(L41&lt;=INDEX($E$92:$E$95,MATCH(M41,$C$92:$C$95,0)),INDEX($F$92:$F$95,MATCH(M41,$C$92:$C$95,0)),INDEX($G$92:$G$95,MATCH(M41,$C$92:$C$95,0))))))</f>
        <v>0</v>
      </c>
      <c r="O41">
        <f ca="1">G41+N41</f>
        <v>0</v>
      </c>
      <c r="P41" t="s">
        <v>168</v>
      </c>
      <c r="Q41" t="s">
        <v>340</v>
      </c>
      <c r="R41" t="s">
        <v>341</v>
      </c>
    </row>
    <row r="42" spans="1:18" x14ac:dyDescent="0.2">
      <c r="A42" t="s">
        <v>342</v>
      </c>
      <c r="B42" t="s">
        <v>343</v>
      </c>
      <c r="C42" t="s">
        <v>252</v>
      </c>
      <c r="D42" t="s">
        <v>182</v>
      </c>
      <c r="E42">
        <f>IF(C42="Yes",0,IF(C42="Unclear",10,IF(C42="No",20,"")))</f>
        <v>0</v>
      </c>
      <c r="F42">
        <f>IF(D42="High",0,IF(D42="Medium",0.05,IF(D42="Low",0.1,IF(D42="Unknown",0.15,""))))</f>
        <v>0.05</v>
      </c>
      <c r="G42">
        <f>E42*(1+F42)</f>
        <v>0</v>
      </c>
      <c r="H42" t="s">
        <v>344</v>
      </c>
      <c r="I42" t="s">
        <v>345</v>
      </c>
      <c r="J42" t="s">
        <v>166</v>
      </c>
      <c r="K42" s="24">
        <f>IF(I42="","",MAX(IFERROR(DATEVALUE(TRIM(MID(SUBSTITUTE(I42,";",REPT(" ",50)),1,50))),0),IFERROR(DATEVALUE(TRIM(MID(SUBSTITUTE(I42,";",REPT(" ",50)),51,50))),0),IFERROR(DATEVALUE(TRIM(MID(SUBSTITUTE(I42,";",REPT(" ",50)),101,50))),0),IFERROR(DATEVALUE(TRIM(MID(SUBSTITUTE(I42,";",REPT(" ",50)),151,50))),0),IFERROR(DATEVALUE(TRIM(MID(SUBSTITUTE(I42,";",REPT(" ",50)),201,50))),0),IFERROR(DATEVALUE(TRIM(MID(SUBSTITUTE(I42,";",REPT(" ",50)),251,50))),0),IFERROR(DATEVALUE(TRIM(MID(SUBSTITUTE(I42,";",REPT(" ",50)),301,50))),0),IFERROR(DATEVALUE(TRIM(MID(SUBSTITUTE(I42,";",REPT(" ",50)),351,50))),0),IFERROR(DATEVALUE(TRIM(MID(SUBSTITUTE(I42,";",REPT(" ",50)),401,50))),0),IFERROR(DATEVALUE(TRIM(MID(SUBSTITUTE(I42,";",REPT(" ",50)),451,50))),0)))</f>
        <v>46012</v>
      </c>
      <c r="L42">
        <f ca="1">IF(K42="","",TODAY()-K42)</f>
        <v>0</v>
      </c>
      <c r="M42" t="s">
        <v>185</v>
      </c>
      <c r="N42">
        <f ca="1">IF(M42="","",IF(L42="",INDEX($F$92:$F$95,MATCH(M42,$C$92:$C$95,0)),IF(L42&lt;=INDEX($D$92:$D$95,MATCH(M42,$C$92:$C$95,0)),0,IF(L42&lt;=INDEX($E$92:$E$95,MATCH(M42,$C$92:$C$95,0)),INDEX($F$92:$F$95,MATCH(M42,$C$92:$C$95,0)),INDEX($G$92:$G$95,MATCH(M42,$C$92:$C$95,0))))))</f>
        <v>0</v>
      </c>
      <c r="O42">
        <f ca="1">G42+N42</f>
        <v>0</v>
      </c>
      <c r="P42" t="s">
        <v>168</v>
      </c>
      <c r="Q42" t="s">
        <v>340</v>
      </c>
      <c r="R42" t="s">
        <v>346</v>
      </c>
    </row>
    <row r="43" spans="1:18" x14ac:dyDescent="0.2">
      <c r="A43" s="4"/>
      <c r="B43" s="5" t="s">
        <v>347</v>
      </c>
      <c r="C43" s="4"/>
      <c r="D43" s="4"/>
      <c r="E43" s="4"/>
      <c r="F43" s="4"/>
      <c r="G43" s="4"/>
      <c r="H43" s="4"/>
      <c r="I43" s="4"/>
      <c r="J43" s="4"/>
      <c r="K43" s="23" t="str">
        <f>IF(I43="","",MAX(IFERROR(DATEVALUE(TRIM(MID(SUBSTITUTE(I43,";",REPT(" ",50)),1,50))),0),IFERROR(DATEVALUE(TRIM(MID(SUBSTITUTE(I43,";",REPT(" ",50)),51,50))),0),IFERROR(DATEVALUE(TRIM(MID(SUBSTITUTE(I43,";",REPT(" ",50)),101,50))),0),IFERROR(DATEVALUE(TRIM(MID(SUBSTITUTE(I43,";",REPT(" ",50)),151,50))),0),IFERROR(DATEVALUE(TRIM(MID(SUBSTITUTE(I43,";",REPT(" ",50)),201,50))),0),IFERROR(DATEVALUE(TRIM(MID(SUBSTITUTE(I43,";",REPT(" ",50)),251,50))),0),IFERROR(DATEVALUE(TRIM(MID(SUBSTITUTE(I43,";",REPT(" ",50)),301,50))),0),IFERROR(DATEVALUE(TRIM(MID(SUBSTITUTE(I43,";",REPT(" ",50)),351,50))),0),IFERROR(DATEVALUE(TRIM(MID(SUBSTITUTE(I43,";",REPT(" ",50)),401,50))),0),IFERROR(DATEVALUE(TRIM(MID(SUBSTITUTE(I43,";",REPT(" ",50)),451,50))),0)))</f>
        <v/>
      </c>
      <c r="L43" s="4"/>
      <c r="M43" s="4"/>
      <c r="N43" s="4" t="str">
        <f>IF(M43="","",IF(L43="",INDEX($F$92:$F$95,MATCH(M43,$C$92:$C$95,0)),IF(L43&lt;=INDEX($D$92:$D$95,MATCH(M43,$C$92:$C$95,0)),0,IF(L43&lt;=INDEX($E$92:$E$95,MATCH(M43,$C$92:$C$95,0)),INDEX($F$92:$F$95,MATCH(M43,$C$92:$C$95,0)),INDEX($G$92:$G$95,MATCH(M43,$C$92:$C$95,0))))))</f>
        <v/>
      </c>
      <c r="O43" s="4"/>
      <c r="P43" s="4"/>
      <c r="Q43" s="4"/>
      <c r="R43" s="4"/>
    </row>
    <row r="44" spans="1:18" x14ac:dyDescent="0.2">
      <c r="A44" s="2"/>
      <c r="B44" s="48"/>
      <c r="C44" s="49"/>
      <c r="D44" s="49"/>
      <c r="E44" s="49"/>
      <c r="F44" s="49"/>
      <c r="G44" s="49"/>
      <c r="H44" s="49"/>
      <c r="I44" s="49"/>
      <c r="J44" s="49"/>
      <c r="K44" s="50"/>
      <c r="L44" s="49"/>
      <c r="M44" s="49"/>
      <c r="N44" s="49"/>
      <c r="O44" s="49"/>
      <c r="P44" s="49"/>
      <c r="Q44" s="49"/>
      <c r="R44" s="49"/>
    </row>
    <row r="45" spans="1:18" x14ac:dyDescent="0.2">
      <c r="A45" t="s">
        <v>348</v>
      </c>
      <c r="B45" t="s">
        <v>349</v>
      </c>
      <c r="C45" t="s">
        <v>252</v>
      </c>
      <c r="D45" t="s">
        <v>163</v>
      </c>
      <c r="E45">
        <f>IF(C45="No",0,IF(C45="Limited",10,IF(C45="Unclear",10,IF(C45="Yes",10,""))))</f>
        <v>10</v>
      </c>
      <c r="F45">
        <f t="shared" ref="F45:F51" si="18">IF(D45="High",0,IF(D45="Medium",0.05,IF(D45="Low",0.1,IF(D45="Unknown",0.15,""))))</f>
        <v>0</v>
      </c>
      <c r="G45">
        <f t="shared" ref="G45:G51" si="19">E45*(1+F45)</f>
        <v>10</v>
      </c>
      <c r="H45" t="s">
        <v>350</v>
      </c>
      <c r="I45" t="s">
        <v>351</v>
      </c>
      <c r="J45" t="s">
        <v>166</v>
      </c>
      <c r="K45" s="24">
        <f t="shared" ref="K45:K52" si="20">IF(I45="","",MAX(IFERROR(DATEVALUE(TRIM(MID(SUBSTITUTE(I45,";",REPT(" ",50)),1,50))),0),IFERROR(DATEVALUE(TRIM(MID(SUBSTITUTE(I45,";",REPT(" ",50)),51,50))),0),IFERROR(DATEVALUE(TRIM(MID(SUBSTITUTE(I45,";",REPT(" ",50)),101,50))),0),IFERROR(DATEVALUE(TRIM(MID(SUBSTITUTE(I45,";",REPT(" ",50)),151,50))),0),IFERROR(DATEVALUE(TRIM(MID(SUBSTITUTE(I45,";",REPT(" ",50)),201,50))),0),IFERROR(DATEVALUE(TRIM(MID(SUBSTITUTE(I45,";",REPT(" ",50)),251,50))),0),IFERROR(DATEVALUE(TRIM(MID(SUBSTITUTE(I45,";",REPT(" ",50)),301,50))),0),IFERROR(DATEVALUE(TRIM(MID(SUBSTITUTE(I45,";",REPT(" ",50)),351,50))),0),IFERROR(DATEVALUE(TRIM(MID(SUBSTITUTE(I45,";",REPT(" ",50)),401,50))),0),IFERROR(DATEVALUE(TRIM(MID(SUBSTITUTE(I45,";",REPT(" ",50)),451,50))),0)))</f>
        <v>46011</v>
      </c>
      <c r="L45">
        <f t="shared" ref="L45:L51" ca="1" si="21">IF(K45="","",TODAY()-K45)</f>
        <v>1</v>
      </c>
      <c r="M45" t="s">
        <v>167</v>
      </c>
      <c r="N45">
        <f t="shared" ref="N45:N52" ca="1" si="22">IF(M45="","",IF(L45="",INDEX($F$92:$F$95,MATCH(M45,$C$92:$C$95,0)),IF(L45&lt;=INDEX($D$92:$D$95,MATCH(M45,$C$92:$C$95,0)),0,IF(L45&lt;=INDEX($E$92:$E$95,MATCH(M45,$C$92:$C$95,0)),INDEX($F$92:$F$95,MATCH(M45,$C$92:$C$95,0)),INDEX($G$92:$G$95,MATCH(M45,$C$92:$C$95,0))))))</f>
        <v>0</v>
      </c>
      <c r="O45">
        <f t="shared" ref="O45:O51" ca="1" si="23">G45+N45</f>
        <v>10</v>
      </c>
      <c r="P45" t="s">
        <v>168</v>
      </c>
      <c r="R45" t="s">
        <v>352</v>
      </c>
    </row>
    <row r="46" spans="1:18" x14ac:dyDescent="0.2">
      <c r="A46" t="s">
        <v>353</v>
      </c>
      <c r="B46" t="s">
        <v>354</v>
      </c>
      <c r="C46" t="s">
        <v>355</v>
      </c>
      <c r="D46" t="s">
        <v>182</v>
      </c>
      <c r="E46">
        <f>IF(C46="No",0,IF(C46="Indirect",10,IF(C46="Unclear",10,IF(C46="Yes",20,""))))</f>
        <v>10</v>
      </c>
      <c r="F46">
        <f t="shared" si="18"/>
        <v>0.05</v>
      </c>
      <c r="G46">
        <f t="shared" si="19"/>
        <v>10.5</v>
      </c>
      <c r="H46" t="s">
        <v>356</v>
      </c>
      <c r="I46" t="s">
        <v>357</v>
      </c>
      <c r="J46" t="s">
        <v>176</v>
      </c>
      <c r="K46" s="24">
        <f t="shared" si="20"/>
        <v>45931</v>
      </c>
      <c r="L46">
        <f t="shared" ca="1" si="21"/>
        <v>81</v>
      </c>
      <c r="M46" t="s">
        <v>167</v>
      </c>
      <c r="N46">
        <f t="shared" ca="1" si="22"/>
        <v>0</v>
      </c>
      <c r="O46">
        <f t="shared" ca="1" si="23"/>
        <v>10.5</v>
      </c>
      <c r="P46" t="str">
        <f>IF(C46="Yes","Review Required","No Review")</f>
        <v>No Review</v>
      </c>
      <c r="Q46" t="s">
        <v>358</v>
      </c>
      <c r="R46" t="s">
        <v>359</v>
      </c>
    </row>
    <row r="47" spans="1:18" x14ac:dyDescent="0.2">
      <c r="A47" t="s">
        <v>360</v>
      </c>
      <c r="B47" t="s">
        <v>361</v>
      </c>
      <c r="C47" t="s">
        <v>181</v>
      </c>
      <c r="D47" t="s">
        <v>163</v>
      </c>
      <c r="E47">
        <f>IF(C47="No",0,IF(C47="Unclear",10,IF(C47="Yes",20,"")))</f>
        <v>0</v>
      </c>
      <c r="F47">
        <f t="shared" si="18"/>
        <v>0</v>
      </c>
      <c r="G47">
        <f t="shared" si="19"/>
        <v>0</v>
      </c>
      <c r="H47" t="s">
        <v>362</v>
      </c>
      <c r="I47" t="s">
        <v>363</v>
      </c>
      <c r="J47" t="s">
        <v>166</v>
      </c>
      <c r="K47" s="24">
        <f t="shared" si="20"/>
        <v>45924</v>
      </c>
      <c r="L47">
        <f t="shared" ca="1" si="21"/>
        <v>88</v>
      </c>
      <c r="M47" t="s">
        <v>167</v>
      </c>
      <c r="N47">
        <f t="shared" ca="1" si="22"/>
        <v>0</v>
      </c>
      <c r="O47">
        <f t="shared" ca="1" si="23"/>
        <v>0</v>
      </c>
      <c r="P47" t="str">
        <f>IF(C47="Yes","Review Required","No Review")</f>
        <v>No Review</v>
      </c>
      <c r="Q47" t="s">
        <v>364</v>
      </c>
      <c r="R47" t="s">
        <v>365</v>
      </c>
    </row>
    <row r="48" spans="1:18" x14ac:dyDescent="0.2">
      <c r="A48" t="s">
        <v>366</v>
      </c>
      <c r="B48" t="s">
        <v>367</v>
      </c>
      <c r="C48" t="s">
        <v>163</v>
      </c>
      <c r="D48" t="s">
        <v>163</v>
      </c>
      <c r="E48">
        <f>IF(C48="Low",0,IF(C48="Moderate",10,IF(C48="High",20,"")))</f>
        <v>20</v>
      </c>
      <c r="F48">
        <f t="shared" si="18"/>
        <v>0</v>
      </c>
      <c r="G48">
        <f t="shared" si="19"/>
        <v>20</v>
      </c>
      <c r="H48" t="s">
        <v>240</v>
      </c>
      <c r="I48" t="s">
        <v>241</v>
      </c>
      <c r="J48" t="s">
        <v>166</v>
      </c>
      <c r="K48" s="24">
        <f t="shared" si="20"/>
        <v>45985</v>
      </c>
      <c r="L48">
        <f t="shared" ca="1" si="21"/>
        <v>27</v>
      </c>
      <c r="M48" t="s">
        <v>167</v>
      </c>
      <c r="N48">
        <f t="shared" ca="1" si="22"/>
        <v>0</v>
      </c>
      <c r="O48">
        <f t="shared" ca="1" si="23"/>
        <v>20</v>
      </c>
      <c r="P48" t="s">
        <v>168</v>
      </c>
      <c r="R48" t="s">
        <v>368</v>
      </c>
    </row>
    <row r="49" spans="1:18" x14ac:dyDescent="0.2">
      <c r="A49" t="s">
        <v>369</v>
      </c>
      <c r="B49" t="s">
        <v>370</v>
      </c>
      <c r="C49" t="s">
        <v>252</v>
      </c>
      <c r="D49" t="s">
        <v>163</v>
      </c>
      <c r="E49">
        <f>IF(C49="No",0,IF(C49="Partial",10,IF(C49="Yes",10,"")))</f>
        <v>10</v>
      </c>
      <c r="F49">
        <f t="shared" si="18"/>
        <v>0</v>
      </c>
      <c r="G49">
        <f t="shared" si="19"/>
        <v>10</v>
      </c>
      <c r="H49" t="s">
        <v>371</v>
      </c>
      <c r="I49" t="s">
        <v>372</v>
      </c>
      <c r="J49" t="s">
        <v>176</v>
      </c>
      <c r="K49" s="24">
        <f t="shared" si="20"/>
        <v>45985</v>
      </c>
      <c r="L49">
        <f t="shared" ca="1" si="21"/>
        <v>27</v>
      </c>
      <c r="M49" t="s">
        <v>167</v>
      </c>
      <c r="N49">
        <f t="shared" ca="1" si="22"/>
        <v>0</v>
      </c>
      <c r="O49">
        <f t="shared" ca="1" si="23"/>
        <v>10</v>
      </c>
      <c r="P49" t="s">
        <v>168</v>
      </c>
      <c r="R49" t="s">
        <v>373</v>
      </c>
    </row>
    <row r="50" spans="1:18" x14ac:dyDescent="0.2">
      <c r="A50" t="s">
        <v>374</v>
      </c>
      <c r="B50" t="s">
        <v>375</v>
      </c>
      <c r="C50" t="s">
        <v>252</v>
      </c>
      <c r="D50" t="s">
        <v>182</v>
      </c>
      <c r="E50">
        <f>IF(C50="No",0,IF(C50="Unclear",10,IF(C50="Yes",20,"")))</f>
        <v>20</v>
      </c>
      <c r="F50">
        <f t="shared" si="18"/>
        <v>0.05</v>
      </c>
      <c r="G50">
        <f t="shared" si="19"/>
        <v>21</v>
      </c>
      <c r="H50" t="s">
        <v>376</v>
      </c>
      <c r="I50" t="s">
        <v>377</v>
      </c>
      <c r="J50" t="s">
        <v>176</v>
      </c>
      <c r="K50" s="24">
        <f t="shared" si="20"/>
        <v>45910</v>
      </c>
      <c r="L50">
        <f t="shared" ca="1" si="21"/>
        <v>102</v>
      </c>
      <c r="M50" t="s">
        <v>167</v>
      </c>
      <c r="N50">
        <f t="shared" ca="1" si="22"/>
        <v>0</v>
      </c>
      <c r="O50">
        <f t="shared" ca="1" si="23"/>
        <v>21</v>
      </c>
      <c r="P50" t="s">
        <v>168</v>
      </c>
      <c r="R50" t="s">
        <v>378</v>
      </c>
    </row>
    <row r="51" spans="1:18" x14ac:dyDescent="0.2">
      <c r="A51" t="s">
        <v>379</v>
      </c>
      <c r="B51" t="s">
        <v>380</v>
      </c>
      <c r="C51" t="s">
        <v>381</v>
      </c>
      <c r="D51" t="s">
        <v>182</v>
      </c>
      <c r="E51">
        <f>0</f>
        <v>0</v>
      </c>
      <c r="F51">
        <f t="shared" si="18"/>
        <v>0.05</v>
      </c>
      <c r="G51">
        <f t="shared" si="19"/>
        <v>0</v>
      </c>
      <c r="H51" t="s">
        <v>382</v>
      </c>
      <c r="I51" t="s">
        <v>383</v>
      </c>
      <c r="J51" t="s">
        <v>166</v>
      </c>
      <c r="K51" s="24">
        <f t="shared" si="20"/>
        <v>45987</v>
      </c>
      <c r="L51">
        <f t="shared" ca="1" si="21"/>
        <v>25</v>
      </c>
      <c r="M51" t="s">
        <v>167</v>
      </c>
      <c r="N51">
        <f t="shared" ca="1" si="22"/>
        <v>0</v>
      </c>
      <c r="O51">
        <f t="shared" ca="1" si="23"/>
        <v>0</v>
      </c>
      <c r="P51" t="s">
        <v>168</v>
      </c>
      <c r="Q51" t="s">
        <v>340</v>
      </c>
      <c r="R51" t="s">
        <v>384</v>
      </c>
    </row>
    <row r="52" spans="1:18" x14ac:dyDescent="0.2">
      <c r="A52" s="4"/>
      <c r="B52" s="5" t="s">
        <v>385</v>
      </c>
      <c r="C52" s="4"/>
      <c r="D52" s="4"/>
      <c r="E52" s="4"/>
      <c r="F52" s="4"/>
      <c r="G52" s="4"/>
      <c r="H52" s="4"/>
      <c r="I52" s="4"/>
      <c r="J52" s="4"/>
      <c r="K52" s="23" t="str">
        <f t="shared" si="20"/>
        <v/>
      </c>
      <c r="L52" s="4"/>
      <c r="M52" s="4"/>
      <c r="N52" s="4" t="str">
        <f t="shared" si="22"/>
        <v/>
      </c>
      <c r="O52" s="4"/>
      <c r="P52" s="4"/>
      <c r="Q52" s="4"/>
      <c r="R52" s="4"/>
    </row>
    <row r="53" spans="1:18" x14ac:dyDescent="0.2">
      <c r="A53" s="3"/>
      <c r="B53" s="48"/>
      <c r="C53" s="49"/>
      <c r="D53" s="49"/>
      <c r="E53" s="49"/>
      <c r="F53" s="49"/>
      <c r="G53" s="49"/>
      <c r="H53" s="49"/>
      <c r="I53" s="49"/>
      <c r="J53" s="49"/>
      <c r="K53" s="50"/>
      <c r="L53" s="49"/>
      <c r="M53" s="49"/>
      <c r="N53" s="49"/>
      <c r="O53" s="49"/>
      <c r="P53" s="49"/>
      <c r="Q53" s="49"/>
      <c r="R53" s="49"/>
    </row>
    <row r="54" spans="1:18" x14ac:dyDescent="0.2">
      <c r="A54" t="s">
        <v>386</v>
      </c>
      <c r="B54" t="s">
        <v>387</v>
      </c>
      <c r="C54" t="s">
        <v>252</v>
      </c>
      <c r="D54" t="s">
        <v>163</v>
      </c>
      <c r="E54">
        <f>IF(C54="Yes",0,IF(C54="Outdated",10,IF(C54="Unclear",10,IF(C54="No",20,""))))</f>
        <v>0</v>
      </c>
      <c r="F54">
        <f t="shared" ref="F54:F61" si="24">IF(D54="High",0,IF(D54="Medium",0.05,IF(D54="Low",0.1,IF(D54="Unknown",0.15,""))))</f>
        <v>0</v>
      </c>
      <c r="G54">
        <f t="shared" ref="G54:G61" si="25">E54*(1+F54)</f>
        <v>0</v>
      </c>
      <c r="H54" t="s">
        <v>388</v>
      </c>
      <c r="I54" t="s">
        <v>389</v>
      </c>
      <c r="J54" t="s">
        <v>176</v>
      </c>
      <c r="K54" s="24">
        <f t="shared" ref="K54:K62" si="26">IF(I54="","",MAX(IFERROR(DATEVALUE(TRIM(MID(SUBSTITUTE(I54,";",REPT(" ",50)),1,50))),0),IFERROR(DATEVALUE(TRIM(MID(SUBSTITUTE(I54,";",REPT(" ",50)),51,50))),0),IFERROR(DATEVALUE(TRIM(MID(SUBSTITUTE(I54,";",REPT(" ",50)),101,50))),0),IFERROR(DATEVALUE(TRIM(MID(SUBSTITUTE(I54,";",REPT(" ",50)),151,50))),0),IFERROR(DATEVALUE(TRIM(MID(SUBSTITUTE(I54,";",REPT(" ",50)),201,50))),0),IFERROR(DATEVALUE(TRIM(MID(SUBSTITUTE(I54,";",REPT(" ",50)),251,50))),0),IFERROR(DATEVALUE(TRIM(MID(SUBSTITUTE(I54,";",REPT(" ",50)),301,50))),0),IFERROR(DATEVALUE(TRIM(MID(SUBSTITUTE(I54,";",REPT(" ",50)),351,50))),0),IFERROR(DATEVALUE(TRIM(MID(SUBSTITUTE(I54,";",REPT(" ",50)),401,50))),0),IFERROR(DATEVALUE(TRIM(MID(SUBSTITUTE(I54,";",REPT(" ",50)),451,50))),0)))</f>
        <v>45960</v>
      </c>
      <c r="L54">
        <f t="shared" ref="L54:L61" ca="1" si="27">IF(K54="","",TODAY()-K54)</f>
        <v>52</v>
      </c>
      <c r="M54" t="s">
        <v>300</v>
      </c>
      <c r="N54">
        <f t="shared" ref="N54:N62" ca="1" si="28">IF(M54="","",IF(L54="",INDEX($F$92:$F$95,MATCH(M54,$C$92:$C$95,0)),IF(L54&lt;=INDEX($D$92:$D$95,MATCH(M54,$C$92:$C$95,0)),0,IF(L54&lt;=INDEX($E$92:$E$95,MATCH(M54,$C$92:$C$95,0)),INDEX($F$92:$F$95,MATCH(M54,$C$92:$C$95,0)),INDEX($G$92:$G$95,MATCH(M54,$C$92:$C$95,0))))))</f>
        <v>0</v>
      </c>
      <c r="O54">
        <f t="shared" ref="O54:O61" ca="1" si="29">G54+N54</f>
        <v>0</v>
      </c>
      <c r="P54" t="str">
        <f>IF(C54="No","Review Required","No Review")</f>
        <v>No Review</v>
      </c>
      <c r="Q54" t="s">
        <v>390</v>
      </c>
      <c r="R54" t="s">
        <v>391</v>
      </c>
    </row>
    <row r="55" spans="1:18" x14ac:dyDescent="0.2">
      <c r="A55" t="s">
        <v>392</v>
      </c>
      <c r="B55" t="s">
        <v>393</v>
      </c>
      <c r="C55" t="s">
        <v>252</v>
      </c>
      <c r="D55" t="s">
        <v>163</v>
      </c>
      <c r="E55">
        <f>IF(C55="Yes",0,IF(C55="Partially",10,IF(C55="No",20,"")))</f>
        <v>0</v>
      </c>
      <c r="F55">
        <f t="shared" si="24"/>
        <v>0</v>
      </c>
      <c r="G55">
        <f t="shared" si="25"/>
        <v>0</v>
      </c>
      <c r="H55" t="s">
        <v>394</v>
      </c>
      <c r="I55" t="s">
        <v>395</v>
      </c>
      <c r="J55" t="s">
        <v>176</v>
      </c>
      <c r="K55" s="24">
        <f t="shared" si="26"/>
        <v>45981</v>
      </c>
      <c r="L55">
        <f t="shared" ca="1" si="27"/>
        <v>31</v>
      </c>
      <c r="M55" t="s">
        <v>167</v>
      </c>
      <c r="N55">
        <f t="shared" ca="1" si="28"/>
        <v>0</v>
      </c>
      <c r="O55">
        <f t="shared" ca="1" si="29"/>
        <v>0</v>
      </c>
      <c r="P55" t="s">
        <v>168</v>
      </c>
      <c r="R55" t="s">
        <v>396</v>
      </c>
    </row>
    <row r="56" spans="1:18" x14ac:dyDescent="0.2">
      <c r="A56" t="s">
        <v>397</v>
      </c>
      <c r="B56" t="s">
        <v>398</v>
      </c>
      <c r="C56" t="s">
        <v>399</v>
      </c>
      <c r="D56" t="s">
        <v>182</v>
      </c>
      <c r="E56">
        <f>IF(C56="Yes",0,IF(C56="Partially",10,IF(C56="No",20,"")))</f>
        <v>10</v>
      </c>
      <c r="F56">
        <f t="shared" si="24"/>
        <v>0.05</v>
      </c>
      <c r="G56">
        <f t="shared" si="25"/>
        <v>10.5</v>
      </c>
      <c r="H56" t="s">
        <v>400</v>
      </c>
      <c r="I56" t="s">
        <v>401</v>
      </c>
      <c r="J56" t="s">
        <v>176</v>
      </c>
      <c r="K56" s="24">
        <f t="shared" si="26"/>
        <v>46009</v>
      </c>
      <c r="L56">
        <f t="shared" ca="1" si="27"/>
        <v>3</v>
      </c>
      <c r="M56" t="s">
        <v>167</v>
      </c>
      <c r="N56">
        <f t="shared" ca="1" si="28"/>
        <v>0</v>
      </c>
      <c r="O56">
        <f t="shared" ca="1" si="29"/>
        <v>10.5</v>
      </c>
      <c r="P56" t="s">
        <v>168</v>
      </c>
      <c r="R56" t="s">
        <v>402</v>
      </c>
    </row>
    <row r="57" spans="1:18" x14ac:dyDescent="0.2">
      <c r="A57" t="s">
        <v>403</v>
      </c>
      <c r="B57" t="s">
        <v>404</v>
      </c>
      <c r="C57" t="s">
        <v>280</v>
      </c>
      <c r="D57" t="s">
        <v>163</v>
      </c>
      <c r="E57">
        <f>IF(C57="Yes",0,IF(C57="Partial",10,IF(C57="Unclear",10,IF(C57="No",20,""))))</f>
        <v>10</v>
      </c>
      <c r="F57">
        <f t="shared" si="24"/>
        <v>0</v>
      </c>
      <c r="G57">
        <f t="shared" si="25"/>
        <v>10</v>
      </c>
      <c r="H57" t="s">
        <v>405</v>
      </c>
      <c r="I57" t="s">
        <v>406</v>
      </c>
      <c r="J57" t="s">
        <v>176</v>
      </c>
      <c r="K57" s="24">
        <f t="shared" si="26"/>
        <v>46009</v>
      </c>
      <c r="L57">
        <f t="shared" ca="1" si="27"/>
        <v>3</v>
      </c>
      <c r="M57" t="s">
        <v>167</v>
      </c>
      <c r="N57">
        <f t="shared" ca="1" si="28"/>
        <v>0</v>
      </c>
      <c r="O57">
        <f t="shared" ca="1" si="29"/>
        <v>10</v>
      </c>
      <c r="P57" t="str">
        <f>IF(C57="No","Review Required","No Review")</f>
        <v>No Review</v>
      </c>
      <c r="Q57" t="s">
        <v>407</v>
      </c>
      <c r="R57" t="s">
        <v>408</v>
      </c>
    </row>
    <row r="58" spans="1:18" x14ac:dyDescent="0.2">
      <c r="A58" t="s">
        <v>409</v>
      </c>
      <c r="B58" t="s">
        <v>410</v>
      </c>
      <c r="C58" t="s">
        <v>252</v>
      </c>
      <c r="D58" t="s">
        <v>163</v>
      </c>
      <c r="E58">
        <f>IF(C58="Yes",0,IF(C58="Minimal",10,IF(C58="Missing",20,IF(C58="No",20,""))))</f>
        <v>0</v>
      </c>
      <c r="F58">
        <f t="shared" si="24"/>
        <v>0</v>
      </c>
      <c r="G58">
        <f t="shared" si="25"/>
        <v>0</v>
      </c>
      <c r="H58" t="s">
        <v>411</v>
      </c>
      <c r="I58" t="s">
        <v>339</v>
      </c>
      <c r="J58" t="s">
        <v>292</v>
      </c>
      <c r="K58" s="24">
        <f t="shared" si="26"/>
        <v>45924</v>
      </c>
      <c r="L58">
        <f t="shared" ca="1" si="27"/>
        <v>88</v>
      </c>
      <c r="M58" t="s">
        <v>167</v>
      </c>
      <c r="N58">
        <f t="shared" ca="1" si="28"/>
        <v>0</v>
      </c>
      <c r="O58">
        <f t="shared" ca="1" si="29"/>
        <v>0</v>
      </c>
      <c r="P58" t="s">
        <v>168</v>
      </c>
      <c r="R58" t="s">
        <v>412</v>
      </c>
    </row>
    <row r="59" spans="1:18" x14ac:dyDescent="0.2">
      <c r="A59" t="s">
        <v>413</v>
      </c>
      <c r="B59" t="s">
        <v>414</v>
      </c>
      <c r="C59" t="s">
        <v>252</v>
      </c>
      <c r="D59" t="s">
        <v>163</v>
      </c>
      <c r="E59">
        <f>IF(C59="Yes",0,IF(C59="Limited",10,IF(C59="Unclear",10,IF(C59="No",20,""))))</f>
        <v>0</v>
      </c>
      <c r="F59">
        <f t="shared" si="24"/>
        <v>0</v>
      </c>
      <c r="G59">
        <f t="shared" si="25"/>
        <v>0</v>
      </c>
      <c r="H59" t="s">
        <v>415</v>
      </c>
      <c r="I59" t="s">
        <v>416</v>
      </c>
      <c r="J59" t="s">
        <v>176</v>
      </c>
      <c r="K59" s="24">
        <f t="shared" si="26"/>
        <v>45967</v>
      </c>
      <c r="L59">
        <f t="shared" ca="1" si="27"/>
        <v>45</v>
      </c>
      <c r="M59" t="s">
        <v>167</v>
      </c>
      <c r="N59">
        <f t="shared" ca="1" si="28"/>
        <v>0</v>
      </c>
      <c r="O59">
        <f t="shared" ca="1" si="29"/>
        <v>0</v>
      </c>
      <c r="P59" t="s">
        <v>168</v>
      </c>
      <c r="R59" t="s">
        <v>417</v>
      </c>
    </row>
    <row r="60" spans="1:18" x14ac:dyDescent="0.2">
      <c r="A60" t="s">
        <v>418</v>
      </c>
      <c r="B60" t="s">
        <v>419</v>
      </c>
      <c r="C60" t="s">
        <v>420</v>
      </c>
      <c r="D60" t="s">
        <v>182</v>
      </c>
      <c r="E60">
        <f>IF(C60="Yes",0,IF(C60="Unclear",10,IF(C60="No",20,"")))</f>
        <v>10</v>
      </c>
      <c r="F60">
        <f t="shared" si="24"/>
        <v>0.05</v>
      </c>
      <c r="G60">
        <f t="shared" si="25"/>
        <v>10.5</v>
      </c>
      <c r="H60" t="s">
        <v>421</v>
      </c>
      <c r="I60" t="s">
        <v>422</v>
      </c>
      <c r="J60" t="s">
        <v>176</v>
      </c>
      <c r="K60" s="24">
        <f t="shared" si="26"/>
        <v>45960</v>
      </c>
      <c r="L60">
        <f t="shared" ca="1" si="27"/>
        <v>52</v>
      </c>
      <c r="M60" t="s">
        <v>167</v>
      </c>
      <c r="N60">
        <f t="shared" ca="1" si="28"/>
        <v>0</v>
      </c>
      <c r="O60">
        <f t="shared" ca="1" si="29"/>
        <v>10.5</v>
      </c>
      <c r="P60" t="s">
        <v>168</v>
      </c>
      <c r="R60" t="s">
        <v>423</v>
      </c>
    </row>
    <row r="61" spans="1:18" x14ac:dyDescent="0.2">
      <c r="A61" t="s">
        <v>424</v>
      </c>
      <c r="B61" t="s">
        <v>425</v>
      </c>
      <c r="C61" t="s">
        <v>426</v>
      </c>
      <c r="D61" t="s">
        <v>182</v>
      </c>
      <c r="E61">
        <f>0</f>
        <v>0</v>
      </c>
      <c r="F61">
        <f t="shared" si="24"/>
        <v>0.05</v>
      </c>
      <c r="G61">
        <f t="shared" si="25"/>
        <v>0</v>
      </c>
      <c r="H61" t="s">
        <v>427</v>
      </c>
      <c r="I61" t="s">
        <v>428</v>
      </c>
      <c r="J61" t="s">
        <v>166</v>
      </c>
      <c r="K61" s="24">
        <f t="shared" si="26"/>
        <v>46009</v>
      </c>
      <c r="L61">
        <f t="shared" ca="1" si="27"/>
        <v>3</v>
      </c>
      <c r="M61" t="s">
        <v>167</v>
      </c>
      <c r="N61">
        <f t="shared" ca="1" si="28"/>
        <v>0</v>
      </c>
      <c r="O61">
        <f t="shared" ca="1" si="29"/>
        <v>0</v>
      </c>
      <c r="P61" t="s">
        <v>168</v>
      </c>
      <c r="Q61" t="s">
        <v>429</v>
      </c>
      <c r="R61" t="s">
        <v>430</v>
      </c>
    </row>
    <row r="62" spans="1:18" x14ac:dyDescent="0.2">
      <c r="A62" s="4"/>
      <c r="B62" s="5" t="s">
        <v>431</v>
      </c>
      <c r="C62" s="4"/>
      <c r="D62" s="4"/>
      <c r="E62" s="4"/>
      <c r="F62" s="4"/>
      <c r="G62" s="4"/>
      <c r="H62" s="4"/>
      <c r="I62" s="4"/>
      <c r="J62" s="4"/>
      <c r="K62" s="23" t="str">
        <f t="shared" si="26"/>
        <v/>
      </c>
      <c r="L62" s="4"/>
      <c r="M62" s="4"/>
      <c r="N62" s="4" t="str">
        <f t="shared" si="28"/>
        <v/>
      </c>
      <c r="O62" s="4"/>
      <c r="P62" s="4"/>
      <c r="Q62" s="4"/>
      <c r="R62" s="4"/>
    </row>
    <row r="63" spans="1:18" x14ac:dyDescent="0.2">
      <c r="A63" s="3"/>
      <c r="B63" s="48"/>
      <c r="C63" s="49"/>
      <c r="D63" s="49"/>
      <c r="E63" s="49"/>
      <c r="F63" s="49"/>
      <c r="G63" s="49"/>
      <c r="H63" s="49"/>
      <c r="I63" s="49"/>
      <c r="J63" s="49"/>
      <c r="K63" s="50"/>
      <c r="L63" s="49"/>
      <c r="M63" s="49"/>
      <c r="N63" s="49"/>
      <c r="O63" s="49"/>
      <c r="P63" s="49"/>
      <c r="Q63" s="49"/>
      <c r="R63" s="49"/>
    </row>
    <row r="64" spans="1:18" x14ac:dyDescent="0.2">
      <c r="A64" t="s">
        <v>432</v>
      </c>
      <c r="B64" t="s">
        <v>433</v>
      </c>
      <c r="C64" t="s">
        <v>434</v>
      </c>
      <c r="D64" t="s">
        <v>163</v>
      </c>
      <c r="E64">
        <v>0</v>
      </c>
      <c r="F64">
        <f>IF(D64="High",0,IF(D64="Medium",0.05,IF(D64="Low",0.1,IF(D64="Unknown",0.15,""))))</f>
        <v>0</v>
      </c>
      <c r="G64">
        <f>E64*(1+F64)</f>
        <v>0</v>
      </c>
      <c r="H64" t="s">
        <v>435</v>
      </c>
      <c r="I64" t="s">
        <v>436</v>
      </c>
      <c r="J64" t="s">
        <v>176</v>
      </c>
      <c r="K64" s="24">
        <f>IF(I64="","",MAX(IFERROR(DATEVALUE(TRIM(MID(SUBSTITUTE(I64,";",REPT(" ",50)),1,50))),0),IFERROR(DATEVALUE(TRIM(MID(SUBSTITUTE(I64,";",REPT(" ",50)),51,50))),0),IFERROR(DATEVALUE(TRIM(MID(SUBSTITUTE(I64,";",REPT(" ",50)),101,50))),0),IFERROR(DATEVALUE(TRIM(MID(SUBSTITUTE(I64,";",REPT(" ",50)),151,50))),0),IFERROR(DATEVALUE(TRIM(MID(SUBSTITUTE(I64,";",REPT(" ",50)),201,50))),0),IFERROR(DATEVALUE(TRIM(MID(SUBSTITUTE(I64,";",REPT(" ",50)),251,50))),0),IFERROR(DATEVALUE(TRIM(MID(SUBSTITUTE(I64,";",REPT(" ",50)),301,50))),0),IFERROR(DATEVALUE(TRIM(MID(SUBSTITUTE(I64,";",REPT(" ",50)),351,50))),0),IFERROR(DATEVALUE(TRIM(MID(SUBSTITUTE(I64,";",REPT(" ",50)),401,50))),0),IFERROR(DATEVALUE(TRIM(MID(SUBSTITUTE(I64,";",REPT(" ",50)),451,50))),0)))</f>
        <v>46011</v>
      </c>
      <c r="L64">
        <f ca="1">IF(K64="","",TODAY()-K64)</f>
        <v>1</v>
      </c>
      <c r="M64" t="s">
        <v>167</v>
      </c>
      <c r="N64">
        <f ca="1">IF(M64="","",IF(L64="",INDEX($F$92:$F$95,MATCH(M64,$C$92:$C$95,0)),IF(L64&lt;=INDEX($D$92:$D$95,MATCH(M64,$C$92:$C$95,0)),0,IF(L64&lt;=INDEX($E$92:$E$95,MATCH(M64,$C$92:$C$95,0)),INDEX($F$92:$F$95,MATCH(M64,$C$92:$C$95,0)),INDEX($G$92:$G$95,MATCH(M64,$C$92:$C$95,0))))))</f>
        <v>0</v>
      </c>
      <c r="O64">
        <f ca="1">G64+N64</f>
        <v>0</v>
      </c>
      <c r="P64" t="s">
        <v>168</v>
      </c>
      <c r="Q64" t="s">
        <v>437</v>
      </c>
      <c r="R64" t="s">
        <v>438</v>
      </c>
    </row>
    <row r="65" spans="1:18" x14ac:dyDescent="0.2">
      <c r="A65" t="s">
        <v>439</v>
      </c>
      <c r="B65" t="s">
        <v>440</v>
      </c>
      <c r="C65" t="s">
        <v>441</v>
      </c>
      <c r="D65" t="s">
        <v>163</v>
      </c>
      <c r="E65">
        <f>IF(C65="Fixed",0,IF(C65="Capped",0,IF(C65="Inflationary",10,IF(C65="Unknown",20,""))))</f>
        <v>0</v>
      </c>
      <c r="F65">
        <f>IF(D65="High",0,IF(D65="Medium",0.05,IF(D65="Low",0.1,IF(D65="Unknown",0.15,""))))</f>
        <v>0</v>
      </c>
      <c r="G65">
        <f>E65*(1+F65)</f>
        <v>0</v>
      </c>
      <c r="H65" t="s">
        <v>442</v>
      </c>
      <c r="J65" t="s">
        <v>166</v>
      </c>
      <c r="K65" s="24" t="str">
        <f>IF(I65="","",MAX(IFERROR(DATEVALUE(TRIM(MID(SUBSTITUTE(I65,";",REPT(" ",50)),1,50))),0),IFERROR(DATEVALUE(TRIM(MID(SUBSTITUTE(I65,";",REPT(" ",50)),51,50))),0),IFERROR(DATEVALUE(TRIM(MID(SUBSTITUTE(I65,";",REPT(" ",50)),101,50))),0),IFERROR(DATEVALUE(TRIM(MID(SUBSTITUTE(I65,";",REPT(" ",50)),151,50))),0),IFERROR(DATEVALUE(TRIM(MID(SUBSTITUTE(I65,";",REPT(" ",50)),201,50))),0),IFERROR(DATEVALUE(TRIM(MID(SUBSTITUTE(I65,";",REPT(" ",50)),251,50))),0),IFERROR(DATEVALUE(TRIM(MID(SUBSTITUTE(I65,";",REPT(" ",50)),301,50))),0),IFERROR(DATEVALUE(TRIM(MID(SUBSTITUTE(I65,";",REPT(" ",50)),351,50))),0),IFERROR(DATEVALUE(TRIM(MID(SUBSTITUTE(I65,";",REPT(" ",50)),401,50))),0),IFERROR(DATEVALUE(TRIM(MID(SUBSTITUTE(I65,";",REPT(" ",50)),451,50))),0)))</f>
        <v/>
      </c>
      <c r="L65" t="str">
        <f ca="1">IF(K65="","",TODAY()-K65)</f>
        <v/>
      </c>
      <c r="M65" t="s">
        <v>167</v>
      </c>
      <c r="N65">
        <f ca="1">IF(M65="","",IF(L65="",INDEX($F$92:$F$95,MATCH(M65,$C$92:$C$95,0)),IF(L65&lt;=INDEX($D$92:$D$95,MATCH(M65,$C$92:$C$95,0)),0,IF(L65&lt;=INDEX($E$92:$E$95,MATCH(M65,$C$92:$C$95,0)),INDEX($F$92:$F$95,MATCH(M65,$C$92:$C$95,0)),INDEX($G$92:$G$95,MATCH(M65,$C$92:$C$95,0))))))</f>
        <v>0</v>
      </c>
      <c r="O65">
        <f ca="1">G65+N65</f>
        <v>0</v>
      </c>
      <c r="P65" t="s">
        <v>168</v>
      </c>
      <c r="R65" t="s">
        <v>443</v>
      </c>
    </row>
    <row r="66" spans="1:18" x14ac:dyDescent="0.2">
      <c r="A66" t="s">
        <v>444</v>
      </c>
      <c r="B66" t="s">
        <v>445</v>
      </c>
      <c r="C66" t="s">
        <v>280</v>
      </c>
      <c r="D66" t="s">
        <v>163</v>
      </c>
      <c r="E66">
        <f>IF(C66="Yes",0,IF(C66="Partial",10,IF(C66="No",20,"")))</f>
        <v>10</v>
      </c>
      <c r="F66">
        <f>IF(D66="High",0,IF(D66="Medium",0.05,IF(D66="Low",0.1,IF(D66="Unknown",0.15,""))))</f>
        <v>0</v>
      </c>
      <c r="G66">
        <f>E66*(1+F66)</f>
        <v>10</v>
      </c>
      <c r="H66" t="s">
        <v>446</v>
      </c>
      <c r="I66" t="s">
        <v>447</v>
      </c>
      <c r="J66" t="s">
        <v>176</v>
      </c>
      <c r="K66" s="24">
        <f>IF(I66="","",MAX(IFERROR(DATEVALUE(TRIM(MID(SUBSTITUTE(I66,";",REPT(" ",50)),1,50))),0),IFERROR(DATEVALUE(TRIM(MID(SUBSTITUTE(I66,";",REPT(" ",50)),51,50))),0),IFERROR(DATEVALUE(TRIM(MID(SUBSTITUTE(I66,";",REPT(" ",50)),101,50))),0),IFERROR(DATEVALUE(TRIM(MID(SUBSTITUTE(I66,";",REPT(" ",50)),151,50))),0),IFERROR(DATEVALUE(TRIM(MID(SUBSTITUTE(I66,";",REPT(" ",50)),201,50))),0),IFERROR(DATEVALUE(TRIM(MID(SUBSTITUTE(I66,";",REPT(" ",50)),251,50))),0),IFERROR(DATEVALUE(TRIM(MID(SUBSTITUTE(I66,";",REPT(" ",50)),301,50))),0),IFERROR(DATEVALUE(TRIM(MID(SUBSTITUTE(I66,";",REPT(" ",50)),351,50))),0),IFERROR(DATEVALUE(TRIM(MID(SUBSTITUTE(I66,";",REPT(" ",50)),401,50))),0),IFERROR(DATEVALUE(TRIM(MID(SUBSTITUTE(I66,";",REPT(" ",50)),451,50))),0)))</f>
        <v>46009</v>
      </c>
      <c r="L66">
        <f ca="1">IF(K66="","",TODAY()-K66)</f>
        <v>3</v>
      </c>
      <c r="M66" t="s">
        <v>167</v>
      </c>
      <c r="N66">
        <f ca="1">IF(M66="","",IF(L66="",INDEX($F$92:$F$95,MATCH(M66,$C$92:$C$95,0)),IF(L66&lt;=INDEX($D$92:$D$95,MATCH(M66,$C$92:$C$95,0)),0,IF(L66&lt;=INDEX($E$92:$E$95,MATCH(M66,$C$92:$C$95,0)),INDEX($F$92:$F$95,MATCH(M66,$C$92:$C$95,0)),INDEX($G$92:$G$95,MATCH(M66,$C$92:$C$95,0))))))</f>
        <v>0</v>
      </c>
      <c r="O66">
        <f ca="1">G66+N66</f>
        <v>10</v>
      </c>
      <c r="P66" t="s">
        <v>168</v>
      </c>
      <c r="R66" t="s">
        <v>448</v>
      </c>
    </row>
    <row r="67" spans="1:18" x14ac:dyDescent="0.2">
      <c r="A67" t="s">
        <v>449</v>
      </c>
      <c r="B67" t="s">
        <v>450</v>
      </c>
      <c r="C67" t="s">
        <v>252</v>
      </c>
      <c r="D67" t="s">
        <v>182</v>
      </c>
      <c r="E67">
        <f>IF(C67="","",
   IF(C67="No",0,
   IF(C67="Unknown",10,
   IF(C67="Yes",20,""))))</f>
        <v>20</v>
      </c>
      <c r="F67">
        <f>IF(D67="High",0,IF(D67="Medium",0.05,IF(D67="Low",0.1,IF(D67="Unknown",0.15,""))))</f>
        <v>0.05</v>
      </c>
      <c r="G67">
        <f>E67*(1+F67)</f>
        <v>21</v>
      </c>
      <c r="H67" t="s">
        <v>451</v>
      </c>
      <c r="I67" t="s">
        <v>452</v>
      </c>
      <c r="J67" t="s">
        <v>166</v>
      </c>
      <c r="K67" s="24">
        <f>IF(I67="","",MAX(IFERROR(DATEVALUE(TRIM(MID(SUBSTITUTE(I67,";",REPT(" ",50)),1,50))),0),IFERROR(DATEVALUE(TRIM(MID(SUBSTITUTE(I67,";",REPT(" ",50)),51,50))),0),IFERROR(DATEVALUE(TRIM(MID(SUBSTITUTE(I67,";",REPT(" ",50)),101,50))),0),IFERROR(DATEVALUE(TRIM(MID(SUBSTITUTE(I67,";",REPT(" ",50)),151,50))),0),IFERROR(DATEVALUE(TRIM(MID(SUBSTITUTE(I67,";",REPT(" ",50)),201,50))),0),IFERROR(DATEVALUE(TRIM(MID(SUBSTITUTE(I67,";",REPT(" ",50)),251,50))),0),IFERROR(DATEVALUE(TRIM(MID(SUBSTITUTE(I67,";",REPT(" ",50)),301,50))),0),IFERROR(DATEVALUE(TRIM(MID(SUBSTITUTE(I67,";",REPT(" ",50)),351,50))),0),IFERROR(DATEVALUE(TRIM(MID(SUBSTITUTE(I67,";",REPT(" ",50)),401,50))),0),IFERROR(DATEVALUE(TRIM(MID(SUBSTITUTE(I67,";",REPT(" ",50)),451,50))),0)))</f>
        <v>46009</v>
      </c>
      <c r="L67">
        <f ca="1">IF(K67="","",TODAY()-K67)</f>
        <v>3</v>
      </c>
      <c r="M67" t="s">
        <v>167</v>
      </c>
      <c r="N67">
        <f ca="1">IF(M67="","",IF(L67="",INDEX($F$92:$F$95,MATCH(M67,$C$92:$C$95,0)),IF(L67&lt;=INDEX($D$92:$D$95,MATCH(M67,$C$92:$C$95,0)),0,IF(L67&lt;=INDEX($E$92:$E$95,MATCH(M67,$C$92:$C$95,0)),INDEX($F$92:$F$95,MATCH(M67,$C$92:$C$95,0)),INDEX($G$92:$G$95,MATCH(M67,$C$92:$C$95,0))))))</f>
        <v>0</v>
      </c>
      <c r="O67">
        <f ca="1">G67+N67</f>
        <v>21</v>
      </c>
      <c r="P67" t="s">
        <v>168</v>
      </c>
      <c r="R67" t="s">
        <v>453</v>
      </c>
    </row>
    <row r="68" spans="1:18" x14ac:dyDescent="0.2">
      <c r="A68" t="s">
        <v>454</v>
      </c>
      <c r="B68" t="s">
        <v>455</v>
      </c>
      <c r="C68" t="s">
        <v>456</v>
      </c>
      <c r="D68" t="s">
        <v>182</v>
      </c>
      <c r="E68">
        <v>0</v>
      </c>
      <c r="F68">
        <f>IF(D68="High",0,IF(D68="Medium",0.05,IF(D68="Low",0.1,IF(D68="Unknown",0.15,""))))</f>
        <v>0.05</v>
      </c>
      <c r="G68">
        <f>E68*(1+F68)</f>
        <v>0</v>
      </c>
      <c r="H68" t="s">
        <v>457</v>
      </c>
      <c r="I68" t="s">
        <v>458</v>
      </c>
      <c r="J68" t="s">
        <v>166</v>
      </c>
      <c r="K68" s="24">
        <f>IF(I68="","",MAX(IFERROR(DATEVALUE(TRIM(MID(SUBSTITUTE(I68,";",REPT(" ",50)),1,50))),0),IFERROR(DATEVALUE(TRIM(MID(SUBSTITUTE(I68,";",REPT(" ",50)),51,50))),0),IFERROR(DATEVALUE(TRIM(MID(SUBSTITUTE(I68,";",REPT(" ",50)),101,50))),0),IFERROR(DATEVALUE(TRIM(MID(SUBSTITUTE(I68,";",REPT(" ",50)),151,50))),0),IFERROR(DATEVALUE(TRIM(MID(SUBSTITUTE(I68,";",REPT(" ",50)),201,50))),0),IFERROR(DATEVALUE(TRIM(MID(SUBSTITUTE(I68,";",REPT(" ",50)),251,50))),0),IFERROR(DATEVALUE(TRIM(MID(SUBSTITUTE(I68,";",REPT(" ",50)),301,50))),0),IFERROR(DATEVALUE(TRIM(MID(SUBSTITUTE(I68,";",REPT(" ",50)),351,50))),0),IFERROR(DATEVALUE(TRIM(MID(SUBSTITUTE(I68,";",REPT(" ",50)),401,50))),0),IFERROR(DATEVALUE(TRIM(MID(SUBSTITUTE(I68,";",REPT(" ",50)),451,50))),0)))</f>
        <v>45910</v>
      </c>
      <c r="L68">
        <f ca="1">IF(K68="","",TODAY()-K68)</f>
        <v>102</v>
      </c>
      <c r="M68" t="s">
        <v>167</v>
      </c>
      <c r="N68">
        <f ca="1">IF(M68="","",IF(L68="",INDEX($F$92:$F$95,MATCH(M68,$C$92:$C$95,0)),IF(L68&lt;=INDEX($D$92:$D$95,MATCH(M68,$C$92:$C$95,0)),0,IF(L68&lt;=INDEX($E$92:$E$95,MATCH(M68,$C$92:$C$95,0)),INDEX($F$92:$F$95,MATCH(M68,$C$92:$C$95,0)),INDEX($G$92:$G$95,MATCH(M68,$C$92:$C$95,0))))))</f>
        <v>0</v>
      </c>
      <c r="O68">
        <f ca="1">G68+N68</f>
        <v>0</v>
      </c>
      <c r="P68" t="s">
        <v>168</v>
      </c>
      <c r="Q68" t="s">
        <v>340</v>
      </c>
      <c r="R68" t="s">
        <v>459</v>
      </c>
    </row>
    <row r="69" spans="1:18" x14ac:dyDescent="0.2">
      <c r="A69" s="3"/>
      <c r="B69" s="48"/>
      <c r="C69" s="49"/>
      <c r="D69" s="49"/>
      <c r="E69" s="49"/>
      <c r="F69" s="49"/>
      <c r="G69" s="49"/>
      <c r="H69" s="49"/>
      <c r="I69" s="49"/>
      <c r="J69" s="49"/>
      <c r="K69" s="50"/>
      <c r="L69" s="49"/>
      <c r="M69" s="49"/>
      <c r="N69" s="49"/>
      <c r="O69" s="49"/>
      <c r="P69" s="49"/>
      <c r="Q69" s="49"/>
      <c r="R69" s="49"/>
    </row>
    <row r="70" spans="1:18" x14ac:dyDescent="0.2">
      <c r="A70" t="s">
        <v>460</v>
      </c>
      <c r="B70" t="s">
        <v>461</v>
      </c>
      <c r="C70" t="s">
        <v>462</v>
      </c>
      <c r="D70" t="s">
        <v>182</v>
      </c>
      <c r="E70">
        <f>IF($AA$1="BTC",0,IFERROR(IF(C70="Unknown",20,IF(VALUE(SUBSTITUTE(C70,"%",""))&lt;=15,0,IF(VALUE(SUBSTITUTE(C70,"%",""))&lt;=30,10,20))),""))</f>
        <v>0</v>
      </c>
      <c r="F70">
        <f t="shared" ref="F70:F75" si="30">IF(D70="High",0,IF(D70="Medium",0.05,IF(D70="Low",0.1,IF(D70="Unknown",0.15,""))))</f>
        <v>0.05</v>
      </c>
      <c r="G70">
        <f t="shared" ref="G70:G75" si="31">E70*(1+F70)</f>
        <v>0</v>
      </c>
      <c r="H70" t="s">
        <v>463</v>
      </c>
      <c r="I70" t="s">
        <v>464</v>
      </c>
      <c r="J70" t="s">
        <v>292</v>
      </c>
      <c r="K70" s="24">
        <f t="shared" ref="K70:K75" si="32">IF(I70="","",MAX(IFERROR(DATEVALUE(TRIM(MID(SUBSTITUTE(I70,";",REPT(" ",50)),1,50))),0),IFERROR(DATEVALUE(TRIM(MID(SUBSTITUTE(I70,";",REPT(" ",50)),51,50))),0),IFERROR(DATEVALUE(TRIM(MID(SUBSTITUTE(I70,";",REPT(" ",50)),101,50))),0),IFERROR(DATEVALUE(TRIM(MID(SUBSTITUTE(I70,";",REPT(" ",50)),151,50))),0),IFERROR(DATEVALUE(TRIM(MID(SUBSTITUTE(I70,";",REPT(" ",50)),201,50))),0),IFERROR(DATEVALUE(TRIM(MID(SUBSTITUTE(I70,";",REPT(" ",50)),251,50))),0),IFERROR(DATEVALUE(TRIM(MID(SUBSTITUTE(I70,";",REPT(" ",50)),301,50))),0),IFERROR(DATEVALUE(TRIM(MID(SUBSTITUTE(I70,";",REPT(" ",50)),351,50))),0),IFERROR(DATEVALUE(TRIM(MID(SUBSTITUTE(I70,";",REPT(" ",50)),401,50))),0),IFERROR(DATEVALUE(TRIM(MID(SUBSTITUTE(I70,";",REPT(" ",50)),451,50))),0)))</f>
        <v>45962</v>
      </c>
      <c r="L70">
        <f t="shared" ref="L70:L75" ca="1" si="33">IF(K70="","",TODAY()-K70)</f>
        <v>50</v>
      </c>
      <c r="M70" t="s">
        <v>167</v>
      </c>
      <c r="N70">
        <f t="shared" ref="N70:N75" ca="1" si="34">IF(M70="","",IF(L70="",INDEX($F$92:$F$95,MATCH(M70,$C$92:$C$95,0)),IF(L70&lt;=INDEX($D$92:$D$95,MATCH(M70,$C$92:$C$95,0)),0,IF(L70&lt;=INDEX($E$92:$E$95,MATCH(M70,$C$92:$C$95,0)),INDEX($F$92:$F$95,MATCH(M70,$C$92:$C$95,0)),INDEX($G$92:$G$95,MATCH(M70,$C$92:$C$95,0))))))</f>
        <v>0</v>
      </c>
      <c r="O70">
        <f t="shared" ref="O70:O75" ca="1" si="35">G70+N70</f>
        <v>0</v>
      </c>
      <c r="P70" t="str">
        <f>IF($AA$1="BTC","No Review","No Review")</f>
        <v>No Review</v>
      </c>
      <c r="R70" t="s">
        <v>465</v>
      </c>
    </row>
    <row r="71" spans="1:18" x14ac:dyDescent="0.2">
      <c r="A71" t="s">
        <v>466</v>
      </c>
      <c r="B71" t="s">
        <v>467</v>
      </c>
      <c r="C71" t="s">
        <v>468</v>
      </c>
      <c r="D71" t="s">
        <v>182</v>
      </c>
      <c r="E71">
        <f>IF($AA$1="BTC",0,IFERROR(IF(C71="Unknown",20,IF(VALUE(SUBSTITUTE(C71,"%",""))&lt;=20,0,IF(VALUE(SUBSTITUTE(C71,"%",""))&lt;=40,10,20))),""))</f>
        <v>10</v>
      </c>
      <c r="F71">
        <f t="shared" si="30"/>
        <v>0.05</v>
      </c>
      <c r="G71">
        <f t="shared" si="31"/>
        <v>10.5</v>
      </c>
      <c r="H71" t="s">
        <v>469</v>
      </c>
      <c r="I71" t="s">
        <v>470</v>
      </c>
      <c r="J71" t="s">
        <v>176</v>
      </c>
      <c r="K71" s="24">
        <f t="shared" si="32"/>
        <v>45962</v>
      </c>
      <c r="L71">
        <f t="shared" ca="1" si="33"/>
        <v>50</v>
      </c>
      <c r="M71" t="s">
        <v>167</v>
      </c>
      <c r="N71">
        <f t="shared" ca="1" si="34"/>
        <v>0</v>
      </c>
      <c r="O71">
        <f t="shared" ca="1" si="35"/>
        <v>10.5</v>
      </c>
      <c r="P71" t="str">
        <f>IF($AA$1="BTC","No Review","No Review")</f>
        <v>No Review</v>
      </c>
      <c r="R71" t="s">
        <v>471</v>
      </c>
    </row>
    <row r="72" spans="1:18" x14ac:dyDescent="0.2">
      <c r="A72" t="s">
        <v>472</v>
      </c>
      <c r="B72" t="s">
        <v>473</v>
      </c>
      <c r="C72" t="s">
        <v>263</v>
      </c>
      <c r="D72" t="s">
        <v>182</v>
      </c>
      <c r="E72">
        <f>IF($AA$1="BTC",0,IFERROR(IF(C72="Unknown",10,IF(VALUE(SUBSTITUTE(C72,"%",""))&lt;=15,0,IF(VALUE(SUBSTITUTE(C72,"%",""))&lt;=30,10,20))),""))</f>
        <v>10</v>
      </c>
      <c r="F72">
        <f t="shared" si="30"/>
        <v>0.05</v>
      </c>
      <c r="G72">
        <f t="shared" si="31"/>
        <v>10.5</v>
      </c>
      <c r="H72" t="s">
        <v>474</v>
      </c>
      <c r="I72" t="s">
        <v>475</v>
      </c>
      <c r="J72" t="s">
        <v>166</v>
      </c>
      <c r="K72" s="24">
        <f t="shared" si="32"/>
        <v>45992</v>
      </c>
      <c r="L72">
        <f t="shared" ca="1" si="33"/>
        <v>20</v>
      </c>
      <c r="M72" t="s">
        <v>167</v>
      </c>
      <c r="N72">
        <f t="shared" ca="1" si="34"/>
        <v>0</v>
      </c>
      <c r="O72">
        <f t="shared" ca="1" si="35"/>
        <v>10.5</v>
      </c>
      <c r="P72" t="str">
        <f>IF($AA$1="BTC","No Review","No Review")</f>
        <v>No Review</v>
      </c>
      <c r="R72" t="s">
        <v>476</v>
      </c>
    </row>
    <row r="73" spans="1:18" x14ac:dyDescent="0.2">
      <c r="A73" t="s">
        <v>477</v>
      </c>
      <c r="B73" t="s">
        <v>478</v>
      </c>
      <c r="C73" t="s">
        <v>280</v>
      </c>
      <c r="D73" t="s">
        <v>163</v>
      </c>
      <c r="E73">
        <f t="array" ref="E73">IF($AA$1="BTC",0,IF(C73="Yes",0,IF(C73="Partial",10,IF(C73="No",20,""))))</f>
        <v>10</v>
      </c>
      <c r="F73">
        <f t="shared" si="30"/>
        <v>0</v>
      </c>
      <c r="G73">
        <f t="shared" si="31"/>
        <v>10</v>
      </c>
      <c r="H73" t="s">
        <v>479</v>
      </c>
      <c r="I73" t="s">
        <v>480</v>
      </c>
      <c r="J73" t="s">
        <v>166</v>
      </c>
      <c r="K73" s="24">
        <f t="shared" si="32"/>
        <v>45892</v>
      </c>
      <c r="L73">
        <f t="shared" ca="1" si="33"/>
        <v>120</v>
      </c>
      <c r="M73" t="s">
        <v>167</v>
      </c>
      <c r="N73">
        <f t="shared" ca="1" si="34"/>
        <v>0</v>
      </c>
      <c r="O73">
        <f t="shared" ca="1" si="35"/>
        <v>10</v>
      </c>
      <c r="P73" t="str">
        <f>IF($AA$1="BTC","No Review","No Review")</f>
        <v>No Review</v>
      </c>
      <c r="R73" t="s">
        <v>481</v>
      </c>
    </row>
    <row r="74" spans="1:18" x14ac:dyDescent="0.2">
      <c r="A74" t="s">
        <v>482</v>
      </c>
      <c r="B74" t="s">
        <v>483</v>
      </c>
      <c r="C74" t="s">
        <v>263</v>
      </c>
      <c r="D74" t="s">
        <v>163</v>
      </c>
      <c r="E74">
        <f>IF($AA$1="BTC",0,IFERROR(IF(C74="Unknown",10,IF(VALUE(SUBSTITUTE(C74,"%",""))&lt;=5,0,IF(VALUE(SUBSTITUTE(C74,"%",""))&lt;=15,10,20))),""))</f>
        <v>10</v>
      </c>
      <c r="F74">
        <f t="shared" si="30"/>
        <v>0</v>
      </c>
      <c r="G74">
        <f t="shared" si="31"/>
        <v>10</v>
      </c>
      <c r="H74" t="s">
        <v>484</v>
      </c>
      <c r="I74" t="s">
        <v>485</v>
      </c>
      <c r="J74" t="s">
        <v>166</v>
      </c>
      <c r="K74" s="24">
        <f t="shared" si="32"/>
        <v>45914</v>
      </c>
      <c r="L74">
        <f t="shared" ca="1" si="33"/>
        <v>98</v>
      </c>
      <c r="M74" t="s">
        <v>275</v>
      </c>
      <c r="N74">
        <f t="shared" ca="1" si="34"/>
        <v>5</v>
      </c>
      <c r="O74">
        <f t="shared" ca="1" si="35"/>
        <v>15</v>
      </c>
      <c r="P74" t="str">
        <f>IF($AA$1="BTC","No Review",IF(AND(IFERROR(VALUE(SUBSTITUTE(#REF!,"%","")),0)+IFERROR(VALUE(SUBSTITUTE(#REF!,"%","")),0)&gt;45,IFERROR(VALUE(SUBSTITUTE($C$19,"%","")),0)&gt;15),"Review Required","No Review"))</f>
        <v>No Review</v>
      </c>
      <c r="Q74" t="s">
        <v>486</v>
      </c>
      <c r="R74" t="s">
        <v>487</v>
      </c>
    </row>
    <row r="75" spans="1:18" x14ac:dyDescent="0.2">
      <c r="A75" t="s">
        <v>488</v>
      </c>
      <c r="B75" t="s">
        <v>489</v>
      </c>
      <c r="C75" t="s">
        <v>490</v>
      </c>
      <c r="D75" t="s">
        <v>182</v>
      </c>
      <c r="E75">
        <f>IF($AA$1="BTC",0,0)</f>
        <v>0</v>
      </c>
      <c r="F75">
        <f t="shared" si="30"/>
        <v>0.05</v>
      </c>
      <c r="G75">
        <f t="shared" si="31"/>
        <v>0</v>
      </c>
      <c r="H75" t="s">
        <v>240</v>
      </c>
      <c r="I75" t="s">
        <v>241</v>
      </c>
      <c r="J75" t="s">
        <v>166</v>
      </c>
      <c r="K75" s="24">
        <f t="shared" si="32"/>
        <v>45985</v>
      </c>
      <c r="L75">
        <f t="shared" ca="1" si="33"/>
        <v>27</v>
      </c>
      <c r="M75" t="s">
        <v>185</v>
      </c>
      <c r="N75">
        <f t="shared" ca="1" si="34"/>
        <v>0</v>
      </c>
      <c r="O75">
        <f t="shared" ca="1" si="35"/>
        <v>0</v>
      </c>
      <c r="P75" t="str">
        <f>IF($AA$1="BTC","No Review","No Review")</f>
        <v>No Review</v>
      </c>
      <c r="Q75" t="s">
        <v>340</v>
      </c>
      <c r="R75" t="s">
        <v>491</v>
      </c>
    </row>
    <row r="76" spans="1:18" x14ac:dyDescent="0.2">
      <c r="A76" s="3"/>
      <c r="B76" s="48"/>
      <c r="C76" s="49"/>
      <c r="D76" s="49"/>
      <c r="E76" s="49"/>
      <c r="F76" s="49"/>
      <c r="G76" s="49"/>
      <c r="H76" s="49"/>
      <c r="I76" s="49"/>
      <c r="J76" s="49"/>
      <c r="K76" s="50"/>
      <c r="L76" s="49"/>
      <c r="M76" s="49"/>
      <c r="N76" s="49"/>
      <c r="O76" s="49"/>
      <c r="P76" s="49"/>
      <c r="Q76" s="49"/>
      <c r="R76" s="49"/>
    </row>
    <row r="77" spans="1:18" x14ac:dyDescent="0.2">
      <c r="A77" t="s">
        <v>492</v>
      </c>
      <c r="B77" t="s">
        <v>493</v>
      </c>
      <c r="C77" t="s">
        <v>263</v>
      </c>
      <c r="D77" t="s">
        <v>217</v>
      </c>
      <c r="E77">
        <f>IFERROR(
  IF(C77="Unknown",10,
    IF(OR($C$64="L1",$C$64="L2"),
       IF(VALUE(SUBSTITUTE(C77,"%",""))&lt;=4,0,
          IF(VALUE(SUBSTITUTE(C77,"%",""))&lt;=8,10,20)),
       IF(VALUE(SUBSTITUTE(C77,"%",""))&lt;=3,0,
          IF(VALUE(SUBSTITUTE(C77,"%",""))&lt;=6,10,20))
    )
  ),
"")</f>
        <v>10</v>
      </c>
      <c r="F77">
        <f>IF(D77="High",0,IF(D77="Medium",0.05,IF(D77="Low",0.1,IF(D77="Unknown",0.15,""))))</f>
        <v>0.1</v>
      </c>
      <c r="G77">
        <f>E77*(1+F77)</f>
        <v>11</v>
      </c>
      <c r="H77" t="s">
        <v>494</v>
      </c>
      <c r="I77" t="s">
        <v>495</v>
      </c>
      <c r="J77" t="s">
        <v>166</v>
      </c>
      <c r="K77" s="24">
        <f>IF(I77="","",MAX(IFERROR(DATEVALUE(TRIM(MID(SUBSTITUTE(I77,";",REPT(" ",50)),1,50))),0),IFERROR(DATEVALUE(TRIM(MID(SUBSTITUTE(I77,";",REPT(" ",50)),51,50))),0),IFERROR(DATEVALUE(TRIM(MID(SUBSTITUTE(I77,";",REPT(" ",50)),101,50))),0),IFERROR(DATEVALUE(TRIM(MID(SUBSTITUTE(I77,";",REPT(" ",50)),151,50))),0),IFERROR(DATEVALUE(TRIM(MID(SUBSTITUTE(I77,";",REPT(" ",50)),201,50))),0),IFERROR(DATEVALUE(TRIM(MID(SUBSTITUTE(I77,";",REPT(" ",50)),251,50))),0),IFERROR(DATEVALUE(TRIM(MID(SUBSTITUTE(I77,";",REPT(" ",50)),301,50))),0),IFERROR(DATEVALUE(TRIM(MID(SUBSTITUTE(I77,";",REPT(" ",50)),351,50))),0),IFERROR(DATEVALUE(TRIM(MID(SUBSTITUTE(I77,";",REPT(" ",50)),401,50))),0),IFERROR(DATEVALUE(TRIM(MID(SUBSTITUTE(I77,";",REPT(" ",50)),451,50))),0)))</f>
        <v>46011</v>
      </c>
      <c r="L77">
        <f ca="1">IF(K77="","",TODAY()-K77)</f>
        <v>1</v>
      </c>
      <c r="M77" t="s">
        <v>185</v>
      </c>
      <c r="N77">
        <f ca="1">IF(M77="","",IF(L77="",INDEX($F$92:$F$95,MATCH(M77,$C$92:$C$95,0)),IF(L77&lt;=INDEX($D$92:$D$95,MATCH(M77,$C$92:$C$95,0)),0,IF(L77&lt;=INDEX($E$92:$E$95,MATCH(M77,$C$92:$C$95,0)),INDEX($F$92:$F$95,MATCH(M77,$C$92:$C$95,0)),INDEX($G$92:$G$95,MATCH(M77,$C$92:$C$95,0))))))</f>
        <v>0</v>
      </c>
      <c r="O77">
        <f ca="1">G77+N77</f>
        <v>11</v>
      </c>
      <c r="P77" t="str">
        <f>IF($AA$1="BTC","No Review",IF(OR(AND(OR(C64="L1",C64="L2"), IFERROR(VALUE(SUBSTITUTE($C$22,"%","")),0)&gt;8),AND(NOT(OR(C64="L1",C64="L2")), IFERROR(VALUE(SUBSTITUTE($C$22,"%","")),0)&gt;6)),"Review Required","No Review"))</f>
        <v>No Review</v>
      </c>
      <c r="Q77" t="s">
        <v>496</v>
      </c>
      <c r="R77" t="s">
        <v>497</v>
      </c>
    </row>
    <row r="78" spans="1:18" x14ac:dyDescent="0.2">
      <c r="A78" t="s">
        <v>498</v>
      </c>
      <c r="B78" t="s">
        <v>499</v>
      </c>
      <c r="C78" t="s">
        <v>232</v>
      </c>
      <c r="D78" t="s">
        <v>182</v>
      </c>
      <c r="E78">
        <f t="array" ref="E78">IF($AA$1="BTC",0,IF(C78="Gradual",0,IF(C78="Mixed",10,IF(C78="Cliff",20,IF(C78="Unknown",10,"")))))</f>
        <v>10</v>
      </c>
      <c r="F78">
        <f>IF(D78="High",0,IF(D78="Medium",0.05,IF(D78="Low",0.1,IF(D78="Unknown",0.15,""))))</f>
        <v>0.05</v>
      </c>
      <c r="G78">
        <f>E78*(1+F78)</f>
        <v>10.5</v>
      </c>
      <c r="H78" t="s">
        <v>500</v>
      </c>
      <c r="I78" t="s">
        <v>248</v>
      </c>
      <c r="J78" t="s">
        <v>166</v>
      </c>
      <c r="K78" s="24">
        <f>IF(I78="","",MAX(IFERROR(DATEVALUE(TRIM(MID(SUBSTITUTE(I78,";",REPT(" ",50)),1,50))),0),IFERROR(DATEVALUE(TRIM(MID(SUBSTITUTE(I78,";",REPT(" ",50)),51,50))),0),IFERROR(DATEVALUE(TRIM(MID(SUBSTITUTE(I78,";",REPT(" ",50)),101,50))),0),IFERROR(DATEVALUE(TRIM(MID(SUBSTITUTE(I78,";",REPT(" ",50)),151,50))),0),IFERROR(DATEVALUE(TRIM(MID(SUBSTITUTE(I78,";",REPT(" ",50)),201,50))),0),IFERROR(DATEVALUE(TRIM(MID(SUBSTITUTE(I78,";",REPT(" ",50)),251,50))),0),IFERROR(DATEVALUE(TRIM(MID(SUBSTITUTE(I78,";",REPT(" ",50)),301,50))),0),IFERROR(DATEVALUE(TRIM(MID(SUBSTITUTE(I78,";",REPT(" ",50)),351,50))),0),IFERROR(DATEVALUE(TRIM(MID(SUBSTITUTE(I78,";",REPT(" ",50)),401,50))),0),IFERROR(DATEVALUE(TRIM(MID(SUBSTITUTE(I78,";",REPT(" ",50)),451,50))),0)))</f>
        <v>45894</v>
      </c>
      <c r="L78">
        <f ca="1">IF(K78="","",TODAY()-K78)</f>
        <v>118</v>
      </c>
      <c r="M78" t="s">
        <v>167</v>
      </c>
      <c r="N78">
        <f ca="1">IF(M78="","",IF(L78="",INDEX($F$92:$F$95,MATCH(M78,$C$92:$C$95,0)),IF(L78&lt;=INDEX($D$92:$D$95,MATCH(M78,$C$92:$C$95,0)),0,IF(L78&lt;=INDEX($E$92:$E$95,MATCH(M78,$C$92:$C$95,0)),INDEX($F$92:$F$95,MATCH(M78,$C$92:$C$95,0)),INDEX($G$92:$G$95,MATCH(M78,$C$92:$C$95,0))))))</f>
        <v>0</v>
      </c>
      <c r="O78">
        <f ca="1">G78+N78</f>
        <v>10.5</v>
      </c>
      <c r="P78" t="str">
        <f>IF($AA$1="BTC","No Review","No Review")</f>
        <v>No Review</v>
      </c>
      <c r="R78" t="s">
        <v>501</v>
      </c>
    </row>
    <row r="79" spans="1:18" x14ac:dyDescent="0.2">
      <c r="A79" t="s">
        <v>502</v>
      </c>
      <c r="B79" t="s">
        <v>503</v>
      </c>
      <c r="C79" t="s">
        <v>181</v>
      </c>
      <c r="D79" t="s">
        <v>163</v>
      </c>
      <c r="E79">
        <f t="array" ref="E79">IF($AA$1="BTC",0,IF(C79="Yes",0,IF(C79="Unclear",10,IF(C79="No",20,""))))</f>
        <v>20</v>
      </c>
      <c r="F79">
        <f>IF(D79="High",0,IF(D79="Medium",0.05,IF(D79="Low",0.1,IF(D79="Unknown",0.15,""))))</f>
        <v>0</v>
      </c>
      <c r="G79">
        <f>E79*(1+F79)</f>
        <v>20</v>
      </c>
      <c r="H79" t="s">
        <v>504</v>
      </c>
      <c r="I79" t="s">
        <v>505</v>
      </c>
      <c r="J79" t="s">
        <v>166</v>
      </c>
      <c r="K79" s="24">
        <f>IF(I79="","",MAX(IFERROR(DATEVALUE(TRIM(MID(SUBSTITUTE(I79,";",REPT(" ",50)),1,50))),0),IFERROR(DATEVALUE(TRIM(MID(SUBSTITUTE(I79,";",REPT(" ",50)),51,50))),0),IFERROR(DATEVALUE(TRIM(MID(SUBSTITUTE(I79,";",REPT(" ",50)),101,50))),0),IFERROR(DATEVALUE(TRIM(MID(SUBSTITUTE(I79,";",REPT(" ",50)),151,50))),0),IFERROR(DATEVALUE(TRIM(MID(SUBSTITUTE(I79,";",REPT(" ",50)),201,50))),0),IFERROR(DATEVALUE(TRIM(MID(SUBSTITUTE(I79,";",REPT(" ",50)),251,50))),0),IFERROR(DATEVALUE(TRIM(MID(SUBSTITUTE(I79,";",REPT(" ",50)),301,50))),0),IFERROR(DATEVALUE(TRIM(MID(SUBSTITUTE(I79,";",REPT(" ",50)),351,50))),0),IFERROR(DATEVALUE(TRIM(MID(SUBSTITUTE(I79,";",REPT(" ",50)),401,50))),0),IFERROR(DATEVALUE(TRIM(MID(SUBSTITUTE(I79,";",REPT(" ",50)),451,50))),0)))</f>
        <v>45909</v>
      </c>
      <c r="L79">
        <f ca="1">IF(K79="","",TODAY()-K79)</f>
        <v>103</v>
      </c>
      <c r="M79" t="s">
        <v>167</v>
      </c>
      <c r="N79">
        <f ca="1">IF(M79="","",IF(L79="",INDEX($F$92:$F$95,MATCH(M79,$C$92:$C$95,0)),IF(L79&lt;=INDEX($D$92:$D$95,MATCH(M79,$C$92:$C$95,0)),0,IF(L79&lt;=INDEX($E$92:$E$95,MATCH(M79,$C$92:$C$95,0)),INDEX($F$92:$F$95,MATCH(M79,$C$92:$C$95,0)),INDEX($G$92:$G$95,MATCH(M79,$C$92:$C$95,0))))))</f>
        <v>0</v>
      </c>
      <c r="O79">
        <f ca="1">G79+N79</f>
        <v>20</v>
      </c>
      <c r="P79" t="str">
        <f>IF($AA$1="BTC","No Review","No Review")</f>
        <v>No Review</v>
      </c>
      <c r="R79" t="s">
        <v>506</v>
      </c>
    </row>
    <row r="80" spans="1:18" x14ac:dyDescent="0.2">
      <c r="A80" t="s">
        <v>507</v>
      </c>
      <c r="B80" t="s">
        <v>508</v>
      </c>
      <c r="C80" t="s">
        <v>509</v>
      </c>
      <c r="D80" t="s">
        <v>182</v>
      </c>
      <c r="E80">
        <f>IF($AA$1="BTC",0,0)</f>
        <v>0</v>
      </c>
      <c r="F80">
        <f>IF(D80="High",0,IF(D80="Medium",0.05,IF(D80="Low",0.1,IF(D80="Unknown",0.15,""))))</f>
        <v>0.05</v>
      </c>
      <c r="G80">
        <f>E80*(1+F80)</f>
        <v>0</v>
      </c>
      <c r="H80" t="s">
        <v>510</v>
      </c>
      <c r="I80" t="s">
        <v>511</v>
      </c>
      <c r="J80" t="s">
        <v>166</v>
      </c>
      <c r="K80" s="24">
        <f>IF(I80="","",MAX(IFERROR(DATEVALUE(TRIM(MID(SUBSTITUTE(I80,";",REPT(" ",50)),1,50))),0),IFERROR(DATEVALUE(TRIM(MID(SUBSTITUTE(I80,";",REPT(" ",50)),51,50))),0),IFERROR(DATEVALUE(TRIM(MID(SUBSTITUTE(I80,";",REPT(" ",50)),101,50))),0),IFERROR(DATEVALUE(TRIM(MID(SUBSTITUTE(I80,";",REPT(" ",50)),151,50))),0),IFERROR(DATEVALUE(TRIM(MID(SUBSTITUTE(I80,";",REPT(" ",50)),201,50))),0),IFERROR(DATEVALUE(TRIM(MID(SUBSTITUTE(I80,";",REPT(" ",50)),251,50))),0),IFERROR(DATEVALUE(TRIM(MID(SUBSTITUTE(I80,";",REPT(" ",50)),301,50))),0),IFERROR(DATEVALUE(TRIM(MID(SUBSTITUTE(I80,";",REPT(" ",50)),351,50))),0),IFERROR(DATEVALUE(TRIM(MID(SUBSTITUTE(I80,";",REPT(" ",50)),401,50))),0),IFERROR(DATEVALUE(TRIM(MID(SUBSTITUTE(I80,";",REPT(" ",50)),451,50))),0)))</f>
        <v>45987</v>
      </c>
      <c r="L80">
        <f ca="1">IF(K80="","",TODAY()-K80)</f>
        <v>25</v>
      </c>
      <c r="M80" t="s">
        <v>185</v>
      </c>
      <c r="N80">
        <f ca="1">IF(M80="","",IF(L80="",INDEX($F$92:$F$95,MATCH(M80,$C$92:$C$95,0)),IF(L80&lt;=INDEX($D$92:$D$95,MATCH(M80,$C$92:$C$95,0)),0,IF(L80&lt;=INDEX($E$92:$E$95,MATCH(M80,$C$92:$C$95,0)),INDEX($F$92:$F$95,MATCH(M80,$C$92:$C$95,0)),INDEX($G$92:$G$95,MATCH(M80,$C$92:$C$95,0))))))</f>
        <v>0</v>
      </c>
      <c r="O80">
        <f ca="1">G80+N80</f>
        <v>0</v>
      </c>
      <c r="P80" t="str">
        <f>IF($AA$1="BTC","No Review","No Review")</f>
        <v>No Review</v>
      </c>
      <c r="Q80" t="s">
        <v>340</v>
      </c>
      <c r="R80" t="s">
        <v>512</v>
      </c>
    </row>
    <row r="81" spans="1:18" x14ac:dyDescent="0.2">
      <c r="A81" s="3"/>
      <c r="B81" s="48"/>
      <c r="C81" s="49"/>
      <c r="D81" s="49"/>
      <c r="E81" s="49"/>
      <c r="F81" s="49"/>
      <c r="G81" s="49"/>
      <c r="H81" s="49"/>
      <c r="I81" s="49"/>
      <c r="J81" s="49"/>
      <c r="K81" s="50"/>
      <c r="L81" s="49"/>
      <c r="M81" s="49"/>
      <c r="N81" s="49"/>
      <c r="O81" s="49"/>
      <c r="P81" s="49"/>
      <c r="Q81" s="49"/>
      <c r="R81" s="49"/>
    </row>
    <row r="82" spans="1:18" x14ac:dyDescent="0.2">
      <c r="A82" t="s">
        <v>513</v>
      </c>
      <c r="B82" t="s">
        <v>514</v>
      </c>
      <c r="C82" t="s">
        <v>263</v>
      </c>
      <c r="D82" t="s">
        <v>182</v>
      </c>
      <c r="E82">
        <f>IF(C82="Fee",0,IF(C82="Mix",10,IF(C82="Emissions",20,IF(C82="Unknown",10,""))))</f>
        <v>10</v>
      </c>
      <c r="F82">
        <f>IF(D82="High",0,IF(D82="Medium",0.05,IF(D82="Low",0.1,IF(D82="Unknown",0.15,""))))</f>
        <v>0.05</v>
      </c>
      <c r="G82">
        <f>E82*(1+F82)</f>
        <v>10.5</v>
      </c>
      <c r="H82" t="s">
        <v>515</v>
      </c>
      <c r="I82" t="s">
        <v>516</v>
      </c>
      <c r="J82" t="s">
        <v>166</v>
      </c>
      <c r="K82" s="24">
        <f>IF(I82="","",MAX(IFERROR(DATEVALUE(TRIM(MID(SUBSTITUTE(I82,";",REPT(" ",50)),1,50))),0),IFERROR(DATEVALUE(TRIM(MID(SUBSTITUTE(I82,";",REPT(" ",50)),51,50))),0),IFERROR(DATEVALUE(TRIM(MID(SUBSTITUTE(I82,";",REPT(" ",50)),101,50))),0),IFERROR(DATEVALUE(TRIM(MID(SUBSTITUTE(I82,";",REPT(" ",50)),151,50))),0),IFERROR(DATEVALUE(TRIM(MID(SUBSTITUTE(I82,";",REPT(" ",50)),201,50))),0),IFERROR(DATEVALUE(TRIM(MID(SUBSTITUTE(I82,";",REPT(" ",50)),251,50))),0),IFERROR(DATEVALUE(TRIM(MID(SUBSTITUTE(I82,";",REPT(" ",50)),301,50))),0),IFERROR(DATEVALUE(TRIM(MID(SUBSTITUTE(I82,";",REPT(" ",50)),351,50))),0),IFERROR(DATEVALUE(TRIM(MID(SUBSTITUTE(I82,";",REPT(" ",50)),401,50))),0),IFERROR(DATEVALUE(TRIM(MID(SUBSTITUTE(I82,";",REPT(" ",50)),451,50))),0)))</f>
        <v>46011</v>
      </c>
      <c r="L82">
        <f ca="1">IF(K82="","",TODAY()-K82)</f>
        <v>1</v>
      </c>
      <c r="M82" t="s">
        <v>167</v>
      </c>
      <c r="N82">
        <f ca="1">IF(M82="","",IF(L82="",INDEX($F$92:$F$95,MATCH(M82,$C$92:$C$95,0)),IF(L82&lt;=INDEX($D$92:$D$95,MATCH(M82,$C$92:$C$95,0)),0,IF(L82&lt;=INDEX($E$92:$E$95,MATCH(M82,$C$92:$C$95,0)),INDEX($F$92:$F$95,MATCH(M82,$C$92:$C$95,0)),INDEX($G$92:$G$95,MATCH(M82,$C$92:$C$95,0))))))</f>
        <v>0</v>
      </c>
      <c r="O82">
        <f ca="1">G82+N82</f>
        <v>10.5</v>
      </c>
      <c r="P82" t="s">
        <v>168</v>
      </c>
      <c r="Q82" t="s">
        <v>517</v>
      </c>
      <c r="R82" t="s">
        <v>518</v>
      </c>
    </row>
    <row r="83" spans="1:18" x14ac:dyDescent="0.2">
      <c r="A83" t="s">
        <v>519</v>
      </c>
      <c r="B83" t="s">
        <v>520</v>
      </c>
      <c r="C83" t="s">
        <v>263</v>
      </c>
      <c r="D83" t="s">
        <v>263</v>
      </c>
      <c r="E83">
        <f>IFERROR(IF(C83="Unknown",10,IF(VALUE(SUBSTITUTE(C83,"%",""))&lt;=10,0,IF(VALUE(SUBSTITUTE(C83,"%",""))&lt;=20,10,20))),"")</f>
        <v>10</v>
      </c>
      <c r="F83">
        <f>IF(D83="High",0,IF(D83="Medium",0.05,IF(D83="Low",0.1,IF(D83="Unknown",0.15,""))))</f>
        <v>0.15</v>
      </c>
      <c r="G83">
        <f>E83*(1+F83)</f>
        <v>11.5</v>
      </c>
      <c r="K83" s="24" t="str">
        <f>IF(I83="","",MAX(IFERROR(DATEVALUE(TRIM(MID(SUBSTITUTE(I83,";",REPT(" ",50)),1,50))),0),IFERROR(DATEVALUE(TRIM(MID(SUBSTITUTE(I83,";",REPT(" ",50)),51,50))),0),IFERROR(DATEVALUE(TRIM(MID(SUBSTITUTE(I83,";",REPT(" ",50)),101,50))),0),IFERROR(DATEVALUE(TRIM(MID(SUBSTITUTE(I83,";",REPT(" ",50)),151,50))),0),IFERROR(DATEVALUE(TRIM(MID(SUBSTITUTE(I83,";",REPT(" ",50)),201,50))),0),IFERROR(DATEVALUE(TRIM(MID(SUBSTITUTE(I83,";",REPT(" ",50)),251,50))),0),IFERROR(DATEVALUE(TRIM(MID(SUBSTITUTE(I83,";",REPT(" ",50)),301,50))),0),IFERROR(DATEVALUE(TRIM(MID(SUBSTITUTE(I83,";",REPT(" ",50)),351,50))),0),IFERROR(DATEVALUE(TRIM(MID(SUBSTITUTE(I83,";",REPT(" ",50)),401,50))),0),IFERROR(DATEVALUE(TRIM(MID(SUBSTITUTE(I83,";",REPT(" ",50)),451,50))),0)))</f>
        <v/>
      </c>
      <c r="L83" t="str">
        <f ca="1">IF(K83="","",TODAY()-K83)</f>
        <v/>
      </c>
      <c r="M83" t="s">
        <v>275</v>
      </c>
      <c r="N83">
        <f ca="1">IF(M83="","",IF(L83="",INDEX($F$92:$F$95,MATCH(M83,$C$92:$C$95,0)),IF(L83&lt;=INDEX($D$92:$D$95,MATCH(M83,$C$92:$C$95,0)),0,IF(L83&lt;=INDEX($E$92:$E$95,MATCH(M83,$C$92:$C$95,0)),INDEX($F$92:$F$95,MATCH(M83,$C$92:$C$95,0)),INDEX($G$92:$G$95,MATCH(M83,$C$92:$C$95,0))))))</f>
        <v>5</v>
      </c>
      <c r="O83">
        <f ca="1">G83+N83</f>
        <v>16.5</v>
      </c>
      <c r="P83" t="str">
        <f>IF(AND($C$27="Emissions", IFERROR(VALUE(SUBSTITUTE(C83,"%","")),0)&gt;20),"Review Required","No Review")</f>
        <v>No Review</v>
      </c>
      <c r="Q83" t="s">
        <v>521</v>
      </c>
      <c r="R83" t="s">
        <v>522</v>
      </c>
    </row>
    <row r="84" spans="1:18" x14ac:dyDescent="0.2">
      <c r="A84" t="s">
        <v>523</v>
      </c>
      <c r="B84" t="s">
        <v>524</v>
      </c>
      <c r="C84" t="s">
        <v>181</v>
      </c>
      <c r="D84" t="s">
        <v>182</v>
      </c>
      <c r="E84">
        <f>IF(C84="Yes",0,IF(C84="Unclear",10,IF(C84="No",20,"")))</f>
        <v>20</v>
      </c>
      <c r="F84">
        <f>IF(D84="High",0,IF(D84="Medium",0.05,IF(D84="Low",0.1,IF(D84="Unknown",0.15,""))))</f>
        <v>0.05</v>
      </c>
      <c r="G84">
        <f>E84*(1+F84)</f>
        <v>21</v>
      </c>
      <c r="H84" t="s">
        <v>525</v>
      </c>
      <c r="I84" t="s">
        <v>526</v>
      </c>
      <c r="J84" t="s">
        <v>166</v>
      </c>
      <c r="K84" s="24">
        <f>IF(I84="","",MAX(IFERROR(DATEVALUE(TRIM(MID(SUBSTITUTE(I84,";",REPT(" ",50)),1,50))),0),IFERROR(DATEVALUE(TRIM(MID(SUBSTITUTE(I84,";",REPT(" ",50)),51,50))),0),IFERROR(DATEVALUE(TRIM(MID(SUBSTITUTE(I84,";",REPT(" ",50)),101,50))),0),IFERROR(DATEVALUE(TRIM(MID(SUBSTITUTE(I84,";",REPT(" ",50)),151,50))),0),IFERROR(DATEVALUE(TRIM(MID(SUBSTITUTE(I84,";",REPT(" ",50)),201,50))),0),IFERROR(DATEVALUE(TRIM(MID(SUBSTITUTE(I84,";",REPT(" ",50)),251,50))),0),IFERROR(DATEVALUE(TRIM(MID(SUBSTITUTE(I84,";",REPT(" ",50)),301,50))),0),IFERROR(DATEVALUE(TRIM(MID(SUBSTITUTE(I84,";",REPT(" ",50)),351,50))),0),IFERROR(DATEVALUE(TRIM(MID(SUBSTITUTE(I84,";",REPT(" ",50)),401,50))),0),IFERROR(DATEVALUE(TRIM(MID(SUBSTITUTE(I84,";",REPT(" ",50)),451,50))),0)))</f>
        <v>46012</v>
      </c>
      <c r="L84">
        <f ca="1">IF(K84="","",TODAY()-K84)</f>
        <v>0</v>
      </c>
      <c r="M84" t="s">
        <v>167</v>
      </c>
      <c r="N84">
        <f ca="1">IF(M84="","",IF(L84="",INDEX($F$92:$F$95,MATCH(M84,$C$92:$C$95,0)),IF(L84&lt;=INDEX($D$92:$D$95,MATCH(M84,$C$92:$C$95,0)),0,IF(L84&lt;=INDEX($E$92:$E$95,MATCH(M84,$C$92:$C$95,0)),INDEX($F$92:$F$95,MATCH(M84,$C$92:$C$95,0)),INDEX($G$92:$G$95,MATCH(M84,$C$92:$C$95,0))))))</f>
        <v>0</v>
      </c>
      <c r="O84">
        <f ca="1">G84+N84</f>
        <v>21</v>
      </c>
      <c r="P84" t="s">
        <v>168</v>
      </c>
      <c r="R84" t="s">
        <v>527</v>
      </c>
    </row>
    <row r="85" spans="1:18" x14ac:dyDescent="0.2">
      <c r="A85" t="s">
        <v>528</v>
      </c>
      <c r="B85" t="s">
        <v>529</v>
      </c>
      <c r="C85" t="s">
        <v>530</v>
      </c>
      <c r="D85" t="s">
        <v>182</v>
      </c>
      <c r="E85">
        <v>0</v>
      </c>
      <c r="F85">
        <f>IF(D85="High",0,IF(D85="Medium",0.05,IF(D85="Low",0.1,IF(D85="Unknown",0.15,""))))</f>
        <v>0.05</v>
      </c>
      <c r="G85">
        <f>E85*(1+F85)</f>
        <v>0</v>
      </c>
      <c r="H85" t="s">
        <v>240</v>
      </c>
      <c r="I85" t="s">
        <v>531</v>
      </c>
      <c r="J85" t="s">
        <v>166</v>
      </c>
      <c r="K85" s="24">
        <f>IF(I85="","",MAX(IFERROR(DATEVALUE(TRIM(MID(SUBSTITUTE(I85,";",REPT(" ",50)),1,50))),0),IFERROR(DATEVALUE(TRIM(MID(SUBSTITUTE(I85,";",REPT(" ",50)),51,50))),0),IFERROR(DATEVALUE(TRIM(MID(SUBSTITUTE(I85,";",REPT(" ",50)),101,50))),0),IFERROR(DATEVALUE(TRIM(MID(SUBSTITUTE(I85,";",REPT(" ",50)),151,50))),0),IFERROR(DATEVALUE(TRIM(MID(SUBSTITUTE(I85,";",REPT(" ",50)),201,50))),0),IFERROR(DATEVALUE(TRIM(MID(SUBSTITUTE(I85,";",REPT(" ",50)),251,50))),0),IFERROR(DATEVALUE(TRIM(MID(SUBSTITUTE(I85,";",REPT(" ",50)),301,50))),0),IFERROR(DATEVALUE(TRIM(MID(SUBSTITUTE(I85,";",REPT(" ",50)),351,50))),0),IFERROR(DATEVALUE(TRIM(MID(SUBSTITUTE(I85,";",REPT(" ",50)),401,50))),0),IFERROR(DATEVALUE(TRIM(MID(SUBSTITUTE(I85,";",REPT(" ",50)),451,50))),0)))</f>
        <v>45966</v>
      </c>
      <c r="L85">
        <f ca="1">IF(K85="","",TODAY()-K85)</f>
        <v>46</v>
      </c>
      <c r="M85" t="s">
        <v>185</v>
      </c>
      <c r="N85">
        <f ca="1">IF(M85="","",IF(L85="",INDEX($F$92:$F$95,MATCH(M85,$C$92:$C$95,0)),IF(L85&lt;=INDEX($D$92:$D$95,MATCH(M85,$C$92:$C$95,0)),0,IF(L85&lt;=INDEX($E$92:$E$95,MATCH(M85,$C$92:$C$95,0)),INDEX($F$92:$F$95,MATCH(M85,$C$92:$C$95,0)),INDEX($G$92:$G$95,MATCH(M85,$C$92:$C$95,0))))))</f>
        <v>0</v>
      </c>
      <c r="O85">
        <f ca="1">G85+N85</f>
        <v>0</v>
      </c>
      <c r="P85" t="s">
        <v>168</v>
      </c>
      <c r="Q85" t="s">
        <v>340</v>
      </c>
      <c r="R85" t="s">
        <v>532</v>
      </c>
    </row>
    <row r="90" spans="1:18" x14ac:dyDescent="0.2">
      <c r="C90" s="51" t="s">
        <v>533</v>
      </c>
      <c r="D90" s="41"/>
      <c r="E90" s="41"/>
      <c r="F90" s="41"/>
      <c r="G90" s="42"/>
    </row>
    <row r="91" spans="1:18" x14ac:dyDescent="0.2">
      <c r="C91" s="30" t="s">
        <v>152</v>
      </c>
      <c r="D91" s="30" t="s">
        <v>534</v>
      </c>
      <c r="E91" s="30" t="s">
        <v>535</v>
      </c>
      <c r="F91" s="30" t="s">
        <v>536</v>
      </c>
      <c r="G91" s="28" t="s">
        <v>537</v>
      </c>
    </row>
    <row r="92" spans="1:18" x14ac:dyDescent="0.2">
      <c r="C92" s="7" t="s">
        <v>275</v>
      </c>
      <c r="D92" s="27">
        <v>90</v>
      </c>
      <c r="E92" s="27">
        <v>180</v>
      </c>
      <c r="F92" s="27">
        <v>5</v>
      </c>
      <c r="G92" s="29">
        <v>10</v>
      </c>
    </row>
    <row r="93" spans="1:18" x14ac:dyDescent="0.2">
      <c r="C93" s="8" t="s">
        <v>185</v>
      </c>
      <c r="D93">
        <v>180</v>
      </c>
      <c r="E93">
        <v>365</v>
      </c>
      <c r="F93">
        <v>3</v>
      </c>
      <c r="G93" s="14">
        <v>6</v>
      </c>
    </row>
    <row r="94" spans="1:18" x14ac:dyDescent="0.2">
      <c r="C94" s="8" t="s">
        <v>300</v>
      </c>
      <c r="D94">
        <v>365</v>
      </c>
      <c r="E94">
        <v>730</v>
      </c>
      <c r="F94">
        <v>2</v>
      </c>
      <c r="G94" s="14">
        <v>4</v>
      </c>
    </row>
    <row r="95" spans="1:18" x14ac:dyDescent="0.2">
      <c r="C95" s="9" t="s">
        <v>167</v>
      </c>
      <c r="D95" s="16">
        <v>9999</v>
      </c>
      <c r="E95" s="16">
        <v>9999</v>
      </c>
      <c r="F95" s="16">
        <v>0</v>
      </c>
      <c r="G95" s="17">
        <v>0</v>
      </c>
    </row>
    <row r="99" spans="3:5" ht="16" customHeight="1" thickBot="1" x14ac:dyDescent="0.25"/>
    <row r="100" spans="3:5" ht="16" customHeight="1" thickBot="1" x14ac:dyDescent="0.25">
      <c r="C100" s="52" t="s">
        <v>538</v>
      </c>
      <c r="D100" s="53"/>
      <c r="E100" s="54"/>
    </row>
    <row r="101" spans="3:5" x14ac:dyDescent="0.2">
      <c r="C101" s="44" t="s">
        <v>539</v>
      </c>
      <c r="D101" s="45"/>
      <c r="E101" s="8">
        <f ca="1">IF(COUNTIFS($A$4:$A$85,"A*",$C$4:$C$85,"&lt;&gt;")=0,"",AVERAGEIFS($O$4:$O$85,$A$4:$A$85,"A*",$C$4:$C$85,"&lt;&gt;"))</f>
        <v>9.7916666666666661</v>
      </c>
    </row>
    <row r="102" spans="3:5" x14ac:dyDescent="0.2">
      <c r="C102" s="44" t="s">
        <v>540</v>
      </c>
      <c r="D102" s="45"/>
      <c r="E102" s="8">
        <f ca="1">IF(COUNTIFS($A$4:$A$85,"B*",$C$4:$C$85,"&lt;&gt;")=0,"",AVERAGEIFS($O$4:$O$85,$A$4:$A$85,"B*",$C$4:$C$85,"&lt;&gt;"))</f>
        <v>10.25</v>
      </c>
    </row>
    <row r="103" spans="3:5" x14ac:dyDescent="0.2">
      <c r="C103" s="44" t="s">
        <v>541</v>
      </c>
      <c r="D103" s="45"/>
      <c r="E103" s="8">
        <f ca="1">IF(COUNTIFS($A$4:$A$85,"C*",$C$4:$C$85,"&lt;&gt;")=0,"",AVERAGEIFS($O$4:$O$85,$A$4:$A$85,"C*",$C$4:$C$85,"&lt;&gt;"))</f>
        <v>10.214285714285714</v>
      </c>
    </row>
    <row r="104" spans="3:5" x14ac:dyDescent="0.2">
      <c r="C104" s="44" t="s">
        <v>542</v>
      </c>
      <c r="D104" s="45"/>
      <c r="E104" s="8">
        <f ca="1">IF(COUNTIFS($A$4:$A$85,"D*",$C$4:$C$85,"&lt;&gt;")=0,"",AVERAGEIFS($O$4:$O$85,$A$4:$A$85,"D*",$C$4:$C$85,"&lt;&gt;"))</f>
        <v>3.875</v>
      </c>
    </row>
    <row r="105" spans="3:5" x14ac:dyDescent="0.2">
      <c r="C105" s="44" t="s">
        <v>543</v>
      </c>
      <c r="D105" s="45"/>
      <c r="E105" s="8">
        <f ca="1">IF(COUNTIFS($A$4:$A$85,"E*",$C$4:$C$85,"&lt;&gt;")=0,"",AVERAGEIFS($O$4:$O$85,$A$4:$A$85,"E*",$C$4:$C$85,"&lt;&gt;"))</f>
        <v>8.7631578947368425</v>
      </c>
    </row>
    <row r="106" spans="3:5" x14ac:dyDescent="0.2">
      <c r="C106" s="44" t="s">
        <v>544</v>
      </c>
      <c r="D106" s="45"/>
      <c r="E106" s="8">
        <f ca="1">IF(COUNTIF($C$4:$C$85,"&lt;&gt;")=0,"",AVERAGEIFS($O$4:$O$85,$C$4:$C$85,"&lt;&gt;"))</f>
        <v>8.9621212121212128</v>
      </c>
    </row>
    <row r="107" spans="3:5" x14ac:dyDescent="0.2">
      <c r="C107" s="44" t="s">
        <v>545</v>
      </c>
      <c r="D107" s="45"/>
      <c r="E107" s="8" t="str">
        <f ca="1">IF(E106="","",IF(E106&lt;3,"Very Low",IF(E106&lt;6,"Low",IF(E106&lt;9,"Medium",IF(E106&lt;12,"Medium-High","High")))))</f>
        <v>Medium</v>
      </c>
    </row>
    <row r="108" spans="3:5" x14ac:dyDescent="0.2">
      <c r="C108" s="46" t="s">
        <v>546</v>
      </c>
      <c r="D108" s="47"/>
      <c r="E108" s="9" t="str">
        <f ca="1">IF(COUNT($E$101:$E$105)=0,"",IF($E$101=MIN($E$101:$E$105),"A",IF($E$102=MIN($E$101:$E$105),"B",IF($E$103=MIN($E$101:$E$105),"C",IF($E$104=MIN($E$101:$E$105),"D","E")))))</f>
        <v>D</v>
      </c>
    </row>
  </sheetData>
  <mergeCells count="23">
    <mergeCell ref="B63:R63"/>
    <mergeCell ref="B25:R25"/>
    <mergeCell ref="B3:R3"/>
    <mergeCell ref="C103:D103"/>
    <mergeCell ref="C105:D105"/>
    <mergeCell ref="C90:G90"/>
    <mergeCell ref="B53:R53"/>
    <mergeCell ref="B44:R44"/>
    <mergeCell ref="B69:R69"/>
    <mergeCell ref="B10:R10"/>
    <mergeCell ref="B19:R19"/>
    <mergeCell ref="B40:R40"/>
    <mergeCell ref="B15:R15"/>
    <mergeCell ref="B33:R33"/>
    <mergeCell ref="C102:D102"/>
    <mergeCell ref="C100:E100"/>
    <mergeCell ref="B76:R76"/>
    <mergeCell ref="C101:D101"/>
    <mergeCell ref="C108:D108"/>
    <mergeCell ref="C104:D104"/>
    <mergeCell ref="C107:D107"/>
    <mergeCell ref="B81:R81"/>
    <mergeCell ref="C106:D106"/>
  </mergeCells>
  <conditionalFormatting sqref="O3:O205">
    <cfRule type="colorScale" priority="1">
      <colorScale>
        <cfvo type="num" val="0"/>
        <cfvo type="percentile" val="50"/>
        <cfvo type="num" val="25"/>
        <color rgb="FF73FB79"/>
        <color rgb="FFFFFD78"/>
        <color rgb="FFFF2600"/>
      </colorScale>
    </cfRule>
  </conditionalFormatting>
  <conditionalFormatting sqref="P4:P85">
    <cfRule type="cellIs" dxfId="23" priority="8" operator="equal">
      <formula>"No Review"</formula>
    </cfRule>
    <cfRule type="cellIs" dxfId="22" priority="9" operator="equal">
      <formula>"Review Required"</formula>
    </cfRule>
  </conditionalFormatting>
  <dataValidations disablePrompts="1" count="1">
    <dataValidation type="list" showInputMessage="1" showErrorMessage="1" sqref="M3:M17 M19:M42 M44:M51 M54:M61 M63:M85" xr:uid="{00000000-0002-0000-0100-000000000000}">
      <formula1>"Critical–Fast,Operational–Medium,Background–Slow,Evergreen–No Penalty"</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5"/>
  <sheetViews>
    <sheetView topLeftCell="A7" workbookViewId="0">
      <selection activeCell="P57" sqref="P57"/>
    </sheetView>
  </sheetViews>
  <sheetFormatPr baseColWidth="10" defaultColWidth="8.83203125" defaultRowHeight="15" x14ac:dyDescent="0.2"/>
  <cols>
    <col min="1" max="1" width="16.33203125" customWidth="1"/>
    <col min="2" max="2" width="164.33203125" customWidth="1"/>
    <col min="3" max="6" width="16.33203125" customWidth="1"/>
    <col min="7" max="7" width="23.5" customWidth="1"/>
    <col min="8" max="10" width="16.33203125" customWidth="1"/>
    <col min="11" max="11" width="24.5" style="24" customWidth="1"/>
    <col min="12" max="12" width="16.33203125" style="24" customWidth="1"/>
    <col min="13" max="13" width="21.1640625" customWidth="1"/>
    <col min="14" max="15" width="16.33203125" customWidth="1"/>
    <col min="16" max="16" width="22.6640625" customWidth="1"/>
    <col min="17" max="17" width="95.83203125" customWidth="1"/>
    <col min="18" max="18" width="52.33203125" customWidth="1"/>
    <col min="20" max="24" width="17"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22" t="s">
        <v>151</v>
      </c>
      <c r="M1" s="1" t="s">
        <v>152</v>
      </c>
      <c r="N1" s="1" t="s">
        <v>153</v>
      </c>
      <c r="O1" s="1" t="s">
        <v>154</v>
      </c>
      <c r="P1" s="1" t="s">
        <v>155</v>
      </c>
      <c r="Q1" s="1" t="s">
        <v>156</v>
      </c>
      <c r="R1" s="1" t="s">
        <v>157</v>
      </c>
      <c r="S1" t="s">
        <v>158</v>
      </c>
    </row>
    <row r="2" spans="1:19" x14ac:dyDescent="0.2">
      <c r="A2" s="4"/>
      <c r="B2" s="5" t="s">
        <v>547</v>
      </c>
      <c r="C2" s="4"/>
      <c r="D2" s="4"/>
      <c r="E2" s="4"/>
      <c r="F2" s="4"/>
      <c r="G2" s="4"/>
      <c r="H2" s="4"/>
      <c r="I2" s="4"/>
      <c r="J2" s="4"/>
      <c r="K2" s="23"/>
      <c r="L2" s="23"/>
      <c r="M2" s="4"/>
      <c r="N2" s="4"/>
      <c r="O2" s="4"/>
      <c r="P2" s="4"/>
      <c r="Q2" s="4"/>
      <c r="R2" s="4"/>
    </row>
    <row r="3" spans="1:19" x14ac:dyDescent="0.2">
      <c r="A3" s="3"/>
      <c r="B3" s="48"/>
      <c r="C3" s="49"/>
      <c r="D3" s="49"/>
      <c r="E3" s="49"/>
      <c r="F3" s="49"/>
      <c r="G3" s="49"/>
      <c r="H3" s="49"/>
      <c r="I3" s="49"/>
      <c r="J3" s="49"/>
      <c r="K3" s="50"/>
      <c r="L3" s="50"/>
      <c r="M3" s="49"/>
      <c r="N3" s="49"/>
      <c r="O3" s="49"/>
      <c r="P3" s="49"/>
      <c r="Q3" s="49"/>
      <c r="R3" s="49"/>
    </row>
    <row r="4" spans="1:19" x14ac:dyDescent="0.2">
      <c r="A4" t="s">
        <v>160</v>
      </c>
      <c r="B4" t="s">
        <v>548</v>
      </c>
      <c r="C4" t="s">
        <v>232</v>
      </c>
      <c r="D4" t="s">
        <v>163</v>
      </c>
      <c r="E4">
        <f>IF(C4="Functional",0,IF(C4="Mixed",10,IF(C4="Speculative",20,IF(C4="Unknown",10,""))))</f>
        <v>10</v>
      </c>
      <c r="F4">
        <f>IF(D4="High",0,IF(D4="Medium",0.05,IF(D4="Low",0.1,IF(D4="Unknown",0.15,""))))</f>
        <v>0</v>
      </c>
      <c r="G4">
        <f>E4*(1+F4)</f>
        <v>10</v>
      </c>
      <c r="H4" t="s">
        <v>549</v>
      </c>
      <c r="I4" t="s">
        <v>550</v>
      </c>
      <c r="J4" t="s">
        <v>166</v>
      </c>
      <c r="K4" s="24">
        <f t="shared" ref="K4:K9" si="0">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46012</v>
      </c>
      <c r="L4" s="24">
        <f ca="1">IF(K4="","",TODAY()-K4)</f>
        <v>0</v>
      </c>
      <c r="M4" t="s">
        <v>185</v>
      </c>
      <c r="N4">
        <f t="shared" ref="N4:N9" ca="1" si="1">IF(M4="","",IF(L4="",INDEX($F$59:$F$62,MATCH(M4,$C$59:$C$62,0)),IF(L4&lt;=INDEX($D$59:$D$62,MATCH(M4,$C$59:$C$62,0)),0,IF(L4&lt;=INDEX($E$59:$E$62,MATCH(M4,$C$59:$C$62,0)),INDEX($F$59:$F$62,MATCH(M4,$C$59:$C$62,0)),INDEX($G$59:$G$62,MATCH(M4,$C$59:$C$62,0))))))</f>
        <v>0</v>
      </c>
      <c r="O4">
        <f ca="1">G4+N4</f>
        <v>10</v>
      </c>
      <c r="P4" t="s">
        <v>168</v>
      </c>
      <c r="R4" t="s">
        <v>551</v>
      </c>
    </row>
    <row r="5" spans="1:19" x14ac:dyDescent="0.2">
      <c r="A5" t="s">
        <v>171</v>
      </c>
      <c r="B5" t="s">
        <v>552</v>
      </c>
      <c r="C5" t="s">
        <v>553</v>
      </c>
      <c r="D5" t="s">
        <v>163</v>
      </c>
      <c r="E5">
        <f>IF(C5="Good",0,IF(C5="Partial",10,IF(C5="Poor",20,IF(C5="Unknown",10,""))))</f>
        <v>0</v>
      </c>
      <c r="F5">
        <f>IF(D5="High",0,IF(D5="Medium",0.05,IF(D5="Low",0.1,IF(D5="Unknown",0.15,""))))</f>
        <v>0</v>
      </c>
      <c r="G5">
        <f>E5*(1+F5)</f>
        <v>0</v>
      </c>
      <c r="H5" t="s">
        <v>554</v>
      </c>
      <c r="I5" t="s">
        <v>555</v>
      </c>
      <c r="J5" t="s">
        <v>176</v>
      </c>
      <c r="K5" s="24">
        <f t="shared" si="0"/>
        <v>45924</v>
      </c>
      <c r="L5" s="24">
        <f ca="1">IF(K5="","",TODAY()-K5)</f>
        <v>88</v>
      </c>
      <c r="M5" t="s">
        <v>185</v>
      </c>
      <c r="N5">
        <f t="shared" ca="1" si="1"/>
        <v>0</v>
      </c>
      <c r="O5">
        <f ca="1">G5+N5</f>
        <v>0</v>
      </c>
      <c r="P5" t="s">
        <v>168</v>
      </c>
      <c r="R5" t="s">
        <v>556</v>
      </c>
    </row>
    <row r="6" spans="1:19" x14ac:dyDescent="0.2">
      <c r="A6" t="s">
        <v>179</v>
      </c>
      <c r="B6" t="s">
        <v>557</v>
      </c>
      <c r="C6" t="s">
        <v>558</v>
      </c>
      <c r="D6" t="s">
        <v>182</v>
      </c>
      <c r="E6">
        <f>IF(C6="","",IF(C6="No strong return claims",0,IF(C6="Promotional yield language with caveats",10,IF(C6="Strong or absolute return claims",20,IF(C6="Unknown",10,"")))))</f>
        <v>0</v>
      </c>
      <c r="F6">
        <f>IF(D6="High",0,IF(D6="Medium",0.05,IF(D6="Low",0.1,IF(D6="Unknown",0.15,""))))</f>
        <v>0.05</v>
      </c>
      <c r="G6">
        <f>E6*(1+F6)</f>
        <v>0</v>
      </c>
      <c r="H6" t="s">
        <v>559</v>
      </c>
      <c r="I6" t="s">
        <v>560</v>
      </c>
      <c r="J6" t="s">
        <v>166</v>
      </c>
      <c r="K6" s="24">
        <f t="shared" si="0"/>
        <v>46009</v>
      </c>
      <c r="L6" s="24">
        <f ca="1">IF(K6="","",TODAY()-K6)</f>
        <v>3</v>
      </c>
      <c r="M6" t="s">
        <v>275</v>
      </c>
      <c r="N6">
        <f t="shared" ca="1" si="1"/>
        <v>0</v>
      </c>
      <c r="O6">
        <f ca="1">G6+N6</f>
        <v>0</v>
      </c>
      <c r="P6" t="str">
        <f>IF(C6="Strong or absolute return claims","Review Required","No Review")</f>
        <v>No Review</v>
      </c>
      <c r="Q6" t="s">
        <v>561</v>
      </c>
      <c r="R6" t="s">
        <v>562</v>
      </c>
    </row>
    <row r="7" spans="1:19" x14ac:dyDescent="0.2">
      <c r="A7" t="s">
        <v>188</v>
      </c>
      <c r="B7" t="s">
        <v>563</v>
      </c>
      <c r="C7" t="s">
        <v>564</v>
      </c>
      <c r="D7" t="s">
        <v>182</v>
      </c>
      <c r="E7">
        <f>IF(C7="","",
   IF(C7="Yes",0,
   IF(C7="Mostly",10,
   IF(C7="Questionable",20,
   IF(C7="Unknown",10,"")))))</f>
        <v>20</v>
      </c>
      <c r="F7">
        <f>IF(D7="High",0,IF(D7="Medium",0.05,IF(D7="Low",0.1,IF(D7="Unknown",0.15,""))))</f>
        <v>0.05</v>
      </c>
      <c r="G7">
        <f>E7*(1+F7)</f>
        <v>21</v>
      </c>
      <c r="H7" t="s">
        <v>565</v>
      </c>
      <c r="I7" t="s">
        <v>566</v>
      </c>
      <c r="J7" t="s">
        <v>166</v>
      </c>
      <c r="K7" s="24">
        <f t="shared" si="0"/>
        <v>45976</v>
      </c>
      <c r="L7" s="24">
        <f ca="1">IF(K7="","",TODAY()-K7)</f>
        <v>36</v>
      </c>
      <c r="M7" t="s">
        <v>185</v>
      </c>
      <c r="N7">
        <f t="shared" ca="1" si="1"/>
        <v>0</v>
      </c>
      <c r="O7">
        <f ca="1">G7+N7</f>
        <v>21</v>
      </c>
      <c r="P7" t="s">
        <v>168</v>
      </c>
      <c r="R7" t="s">
        <v>567</v>
      </c>
    </row>
    <row r="8" spans="1:19" x14ac:dyDescent="0.2">
      <c r="A8" t="s">
        <v>195</v>
      </c>
      <c r="B8" t="s">
        <v>568</v>
      </c>
      <c r="C8" t="s">
        <v>181</v>
      </c>
      <c r="D8" t="s">
        <v>163</v>
      </c>
      <c r="E8">
        <f>IF(C8="Yes",0,IF(C8="Mixed",10,IF(C8="No",20,IF(C8="Unknown",10,""))))</f>
        <v>20</v>
      </c>
      <c r="F8">
        <f>IF(D8="High",0,IF(D8="Medium",0.05,IF(D8="Low",0.1,IF(D8="Unknown",0.15,""))))</f>
        <v>0</v>
      </c>
      <c r="G8">
        <f>E8*(1+F8)</f>
        <v>20</v>
      </c>
      <c r="H8" t="s">
        <v>569</v>
      </c>
      <c r="J8" t="s">
        <v>166</v>
      </c>
      <c r="K8" s="24" t="str">
        <f t="shared" si="0"/>
        <v/>
      </c>
      <c r="L8" s="24" t="str">
        <f ca="1">IF(K8="","",TODAY()-K8)</f>
        <v/>
      </c>
      <c r="M8" t="s">
        <v>185</v>
      </c>
      <c r="N8">
        <f t="shared" ca="1" si="1"/>
        <v>3</v>
      </c>
      <c r="O8">
        <f ca="1">G8+N8</f>
        <v>23</v>
      </c>
      <c r="P8" t="s">
        <v>168</v>
      </c>
      <c r="R8" t="s">
        <v>570</v>
      </c>
    </row>
    <row r="9" spans="1:19" x14ac:dyDescent="0.2">
      <c r="A9" s="4"/>
      <c r="B9" s="5" t="s">
        <v>571</v>
      </c>
      <c r="C9" s="4"/>
      <c r="D9" s="4"/>
      <c r="E9" s="4"/>
      <c r="F9" s="4"/>
      <c r="G9" s="4"/>
      <c r="H9" s="4"/>
      <c r="I9" s="4"/>
      <c r="J9" s="4"/>
      <c r="K9" s="23" t="str">
        <f t="shared" si="0"/>
        <v/>
      </c>
      <c r="L9" s="23"/>
      <c r="M9" s="4"/>
      <c r="N9" s="4" t="str">
        <f t="shared" si="1"/>
        <v/>
      </c>
      <c r="O9" s="4"/>
      <c r="P9" s="4"/>
      <c r="Q9" s="4"/>
      <c r="R9" s="4"/>
    </row>
    <row r="10" spans="1:19" x14ac:dyDescent="0.2">
      <c r="A10" s="3"/>
      <c r="B10" s="48"/>
      <c r="C10" s="49"/>
      <c r="D10" s="49"/>
      <c r="E10" s="49"/>
      <c r="F10" s="49"/>
      <c r="G10" s="49"/>
      <c r="H10" s="49"/>
      <c r="I10" s="49"/>
      <c r="J10" s="49"/>
      <c r="K10" s="50"/>
      <c r="L10" s="50"/>
      <c r="M10" s="49"/>
      <c r="N10" s="49"/>
      <c r="O10" s="49"/>
      <c r="P10" s="49"/>
      <c r="Q10" s="49"/>
      <c r="R10" s="49"/>
    </row>
    <row r="11" spans="1:19" x14ac:dyDescent="0.2">
      <c r="A11" t="s">
        <v>244</v>
      </c>
      <c r="B11" t="s">
        <v>572</v>
      </c>
      <c r="C11" t="s">
        <v>181</v>
      </c>
      <c r="D11" t="s">
        <v>163</v>
      </c>
      <c r="E11">
        <f>IF(C11="Yes",20,IF(C11="Partial",10,IF(C11="No",0,IF(C11="Unknown",10,""))))</f>
        <v>0</v>
      </c>
      <c r="F11">
        <f t="shared" ref="F11:F17" si="2">IF(D11="High",0,IF(D11="Medium",0.05,IF(D11="Low",0.1,IF(D11="Unknown",0.15,""))))</f>
        <v>0</v>
      </c>
      <c r="G11">
        <f t="shared" ref="G11:G17" si="3">E11*(1+F11)</f>
        <v>0</v>
      </c>
      <c r="H11" t="s">
        <v>573</v>
      </c>
      <c r="I11" t="s">
        <v>574</v>
      </c>
      <c r="J11" t="s">
        <v>166</v>
      </c>
      <c r="K11" s="24">
        <f t="shared" ref="K11:K28" si="4">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46009</v>
      </c>
      <c r="L11" s="24">
        <f t="shared" ref="L11:L17" ca="1" si="5">IF(K11="","",TODAY()-K11)</f>
        <v>3</v>
      </c>
      <c r="M11" t="s">
        <v>167</v>
      </c>
      <c r="N11">
        <f t="shared" ref="N11:N18" ca="1" si="6">IF(M11="","",IF(L11="",INDEX($F$59:$F$62,MATCH(M11,$C$59:$C$62,0)),IF(L11&lt;=INDEX($D$59:$D$62,MATCH(M11,$C$59:$C$62,0)),0,IF(L11&lt;=INDEX($E$59:$E$62,MATCH(M11,$C$59:$C$62,0)),INDEX($F$59:$F$62,MATCH(M11,$C$59:$C$62,0)),INDEX($G$59:$G$62,MATCH(M11,$C$59:$C$62,0))))))</f>
        <v>0</v>
      </c>
      <c r="O11">
        <f t="shared" ref="O11:O17" ca="1" si="7">G11+N11</f>
        <v>0</v>
      </c>
      <c r="P11" t="str">
        <f>IF(C11="Yes","Review Required","No Review")</f>
        <v>No Review</v>
      </c>
      <c r="Q11" t="s">
        <v>575</v>
      </c>
      <c r="R11" t="s">
        <v>576</v>
      </c>
    </row>
    <row r="12" spans="1:19" x14ac:dyDescent="0.2">
      <c r="A12" t="s">
        <v>250</v>
      </c>
      <c r="B12" t="s">
        <v>577</v>
      </c>
      <c r="C12" t="s">
        <v>217</v>
      </c>
      <c r="D12" t="s">
        <v>163</v>
      </c>
      <c r="E12">
        <f>IF(C12="High",20,IF(C12="Moderate",10,IF(C12="Low",0,IF(C12="None",0,IF(C12="Unknown",10,"")))))</f>
        <v>0</v>
      </c>
      <c r="F12">
        <f t="shared" si="2"/>
        <v>0</v>
      </c>
      <c r="G12">
        <f t="shared" si="3"/>
        <v>0</v>
      </c>
      <c r="H12" t="s">
        <v>578</v>
      </c>
      <c r="I12" t="s">
        <v>579</v>
      </c>
      <c r="J12" t="s">
        <v>166</v>
      </c>
      <c r="K12" s="24">
        <f t="shared" si="4"/>
        <v>45991</v>
      </c>
      <c r="L12" s="24">
        <f t="shared" ca="1" si="5"/>
        <v>21</v>
      </c>
      <c r="M12" t="s">
        <v>167</v>
      </c>
      <c r="N12">
        <f t="shared" ca="1" si="6"/>
        <v>0</v>
      </c>
      <c r="O12">
        <f t="shared" ca="1" si="7"/>
        <v>0</v>
      </c>
      <c r="P12" t="s">
        <v>168</v>
      </c>
      <c r="Q12" t="s">
        <v>580</v>
      </c>
      <c r="R12" t="s">
        <v>581</v>
      </c>
    </row>
    <row r="13" spans="1:19" x14ac:dyDescent="0.2">
      <c r="A13" t="s">
        <v>256</v>
      </c>
      <c r="B13" t="s">
        <v>582</v>
      </c>
      <c r="C13" t="s">
        <v>263</v>
      </c>
      <c r="D13" t="s">
        <v>217</v>
      </c>
      <c r="E13">
        <f>IF(C13="Yes",20,IF(C13="Conditional",10,IF(C13="No",0,IF(C13="Unknown",10,""))))</f>
        <v>10</v>
      </c>
      <c r="F13">
        <f t="shared" si="2"/>
        <v>0.1</v>
      </c>
      <c r="G13">
        <f t="shared" si="3"/>
        <v>11</v>
      </c>
      <c r="K13" s="24" t="str">
        <f t="shared" si="4"/>
        <v/>
      </c>
      <c r="L13" s="24" t="str">
        <f t="shared" ca="1" si="5"/>
        <v/>
      </c>
      <c r="M13" t="s">
        <v>167</v>
      </c>
      <c r="N13">
        <f t="shared" ca="1" si="6"/>
        <v>0</v>
      </c>
      <c r="O13">
        <f t="shared" ca="1" si="7"/>
        <v>11</v>
      </c>
      <c r="P13" t="str">
        <f>IF(C13="Yes","Review Required",IF(C13="Conditional","No Review","No Review"))</f>
        <v>No Review</v>
      </c>
      <c r="Q13" t="s">
        <v>583</v>
      </c>
      <c r="R13" t="s">
        <v>584</v>
      </c>
    </row>
    <row r="14" spans="1:19" x14ac:dyDescent="0.2">
      <c r="A14" t="s">
        <v>261</v>
      </c>
      <c r="B14" t="s">
        <v>585</v>
      </c>
      <c r="C14" t="s">
        <v>586</v>
      </c>
      <c r="D14" t="s">
        <v>163</v>
      </c>
      <c r="E14">
        <f>IF(C14="None",0,IF(C14="Some",10,IF(C14="Extensive",20,IF(C14="Unknown",10,""))))</f>
        <v>10</v>
      </c>
      <c r="F14">
        <f t="shared" si="2"/>
        <v>0</v>
      </c>
      <c r="G14">
        <f t="shared" si="3"/>
        <v>10</v>
      </c>
      <c r="H14" t="s">
        <v>587</v>
      </c>
      <c r="I14" t="s">
        <v>248</v>
      </c>
      <c r="J14" t="s">
        <v>292</v>
      </c>
      <c r="K14" s="24">
        <f t="shared" si="4"/>
        <v>45894</v>
      </c>
      <c r="L14" s="24">
        <f t="shared" ca="1" si="5"/>
        <v>118</v>
      </c>
      <c r="M14" t="s">
        <v>185</v>
      </c>
      <c r="N14">
        <f t="shared" ca="1" si="6"/>
        <v>0</v>
      </c>
      <c r="O14">
        <f t="shared" ca="1" si="7"/>
        <v>10</v>
      </c>
      <c r="P14" t="s">
        <v>168</v>
      </c>
      <c r="R14" t="s">
        <v>588</v>
      </c>
    </row>
    <row r="15" spans="1:19" x14ac:dyDescent="0.2">
      <c r="A15" t="s">
        <v>589</v>
      </c>
      <c r="B15" t="s">
        <v>590</v>
      </c>
      <c r="C15" t="s">
        <v>252</v>
      </c>
      <c r="D15" t="s">
        <v>163</v>
      </c>
      <c r="E15">
        <f>IF(C15="Yes",20,IF(C15="Implied",10,IF(C15="No",0,IF(C15="Unknown",10,""))))</f>
        <v>20</v>
      </c>
      <c r="F15">
        <f t="shared" si="2"/>
        <v>0</v>
      </c>
      <c r="G15">
        <f t="shared" si="3"/>
        <v>20</v>
      </c>
      <c r="H15" t="s">
        <v>591</v>
      </c>
      <c r="I15" t="s">
        <v>592</v>
      </c>
      <c r="J15" t="s">
        <v>166</v>
      </c>
      <c r="K15" s="24">
        <f t="shared" si="4"/>
        <v>45987</v>
      </c>
      <c r="L15" s="24">
        <f t="shared" ca="1" si="5"/>
        <v>25</v>
      </c>
      <c r="M15" t="s">
        <v>185</v>
      </c>
      <c r="N15">
        <f t="shared" ca="1" si="6"/>
        <v>0</v>
      </c>
      <c r="O15">
        <f t="shared" ca="1" si="7"/>
        <v>20</v>
      </c>
      <c r="P15" t="s">
        <v>168</v>
      </c>
      <c r="R15" t="s">
        <v>593</v>
      </c>
    </row>
    <row r="16" spans="1:19" x14ac:dyDescent="0.2">
      <c r="A16" t="s">
        <v>594</v>
      </c>
      <c r="B16" t="s">
        <v>595</v>
      </c>
      <c r="C16" t="s">
        <v>596</v>
      </c>
      <c r="D16" t="s">
        <v>182</v>
      </c>
      <c r="E16">
        <f>IF(C16="Weak",20,IF(C16="Partial",10,IF(C16="Strong",0,IF(C16="Unknown",10,""))))</f>
        <v>0</v>
      </c>
      <c r="F16">
        <f t="shared" si="2"/>
        <v>0.05</v>
      </c>
      <c r="G16">
        <f t="shared" si="3"/>
        <v>0</v>
      </c>
      <c r="H16" t="s">
        <v>597</v>
      </c>
      <c r="I16" t="s">
        <v>598</v>
      </c>
      <c r="J16" t="s">
        <v>166</v>
      </c>
      <c r="K16" s="24">
        <f t="shared" si="4"/>
        <v>45905</v>
      </c>
      <c r="L16" s="24">
        <f t="shared" ca="1" si="5"/>
        <v>107</v>
      </c>
      <c r="M16" t="s">
        <v>167</v>
      </c>
      <c r="N16">
        <f t="shared" ca="1" si="6"/>
        <v>0</v>
      </c>
      <c r="O16">
        <f t="shared" ca="1" si="7"/>
        <v>0</v>
      </c>
      <c r="P16" t="s">
        <v>168</v>
      </c>
      <c r="R16" t="s">
        <v>599</v>
      </c>
    </row>
    <row r="17" spans="1:18" x14ac:dyDescent="0.2">
      <c r="A17" t="s">
        <v>600</v>
      </c>
      <c r="B17" t="s">
        <v>601</v>
      </c>
      <c r="C17" t="s">
        <v>602</v>
      </c>
      <c r="D17" t="s">
        <v>182</v>
      </c>
      <c r="E17">
        <v>0</v>
      </c>
      <c r="F17">
        <f t="shared" si="2"/>
        <v>0.05</v>
      </c>
      <c r="G17">
        <f t="shared" si="3"/>
        <v>0</v>
      </c>
      <c r="H17" t="s">
        <v>603</v>
      </c>
      <c r="I17" t="s">
        <v>604</v>
      </c>
      <c r="J17" t="s">
        <v>166</v>
      </c>
      <c r="K17" s="24">
        <f t="shared" si="4"/>
        <v>46008</v>
      </c>
      <c r="L17" s="24">
        <f t="shared" ca="1" si="5"/>
        <v>4</v>
      </c>
      <c r="M17" t="s">
        <v>167</v>
      </c>
      <c r="N17">
        <f t="shared" ca="1" si="6"/>
        <v>0</v>
      </c>
      <c r="O17">
        <f t="shared" ca="1" si="7"/>
        <v>0</v>
      </c>
      <c r="P17" t="s">
        <v>168</v>
      </c>
      <c r="R17" t="s">
        <v>605</v>
      </c>
    </row>
    <row r="18" spans="1:18" x14ac:dyDescent="0.2">
      <c r="A18" s="4"/>
      <c r="B18" s="5" t="s">
        <v>606</v>
      </c>
      <c r="C18" s="4"/>
      <c r="D18" s="4"/>
      <c r="E18" s="4"/>
      <c r="F18" s="4"/>
      <c r="G18" s="4"/>
      <c r="H18" s="4"/>
      <c r="I18" s="4"/>
      <c r="J18" s="4"/>
      <c r="K18" s="23" t="str">
        <f t="shared" si="4"/>
        <v/>
      </c>
      <c r="L18" s="23"/>
      <c r="M18" s="4"/>
      <c r="N18" s="4" t="str">
        <f t="shared" si="6"/>
        <v/>
      </c>
      <c r="O18" s="4"/>
      <c r="P18" s="4"/>
      <c r="Q18" s="4"/>
      <c r="R18" s="4"/>
    </row>
    <row r="19" spans="1:18" x14ac:dyDescent="0.2">
      <c r="A19" s="3"/>
      <c r="B19" s="48"/>
      <c r="C19" s="49"/>
      <c r="D19" s="49"/>
      <c r="E19" s="3"/>
      <c r="F19" s="3"/>
      <c r="G19" s="3"/>
      <c r="H19" s="3"/>
      <c r="I19" s="3"/>
      <c r="J19" s="3"/>
      <c r="K19" s="25" t="str">
        <f t="shared" si="4"/>
        <v/>
      </c>
      <c r="L19" s="25"/>
      <c r="M19" s="3"/>
      <c r="N19" s="3"/>
      <c r="O19" s="3"/>
      <c r="P19" s="3"/>
      <c r="Q19" s="3"/>
      <c r="R19" s="3"/>
    </row>
    <row r="20" spans="1:18" x14ac:dyDescent="0.2">
      <c r="A20" t="s">
        <v>607</v>
      </c>
      <c r="B20" t="s">
        <v>608</v>
      </c>
      <c r="C20" t="s">
        <v>263</v>
      </c>
      <c r="D20" t="s">
        <v>217</v>
      </c>
      <c r="E20">
        <f>IF(C20="DAO w/ quorum &amp; timelock",0,IF(C20="Multisig (≥M-of-N) w/ timelock",0,IF(C20="Multisig without timelock",10,IF(C20="Single key",20,IF(C20="Unknown",10,"")))))</f>
        <v>10</v>
      </c>
      <c r="F20">
        <f t="shared" ref="F20:F27" si="8">IF(D20="High",0,IF(D20="Medium",0.05,IF(D20="Low",0.1,IF(D20="Unknown",0.15,""))))</f>
        <v>0.1</v>
      </c>
      <c r="G20">
        <f t="shared" ref="G20:G27" si="9">E20*(1+F20)</f>
        <v>11</v>
      </c>
      <c r="H20" t="s">
        <v>609</v>
      </c>
      <c r="J20" t="s">
        <v>166</v>
      </c>
      <c r="K20" s="24" t="str">
        <f t="shared" si="4"/>
        <v/>
      </c>
      <c r="L20" s="24" t="str">
        <f t="shared" ref="L20:L27" ca="1" si="10">IF(K20="","",TODAY()-K20)</f>
        <v/>
      </c>
      <c r="M20" t="s">
        <v>275</v>
      </c>
      <c r="N20">
        <f t="shared" ref="N20:N28" ca="1" si="11">IF(M20="","",IF(L20="",INDEX($F$59:$F$62,MATCH(M20,$C$59:$C$62,0)),IF(L20&lt;=INDEX($D$59:$D$62,MATCH(M20,$C$59:$C$62,0)),0,IF(L20&lt;=INDEX($E$59:$E$62,MATCH(M20,$C$59:$C$62,0)),INDEX($F$59:$F$62,MATCH(M20,$C$59:$C$62,0)),INDEX($G$59:$G$62,MATCH(M20,$C$59:$C$62,0))))))</f>
        <v>5</v>
      </c>
      <c r="O20">
        <f t="shared" ref="O20:O27" ca="1" si="12">G20+N20</f>
        <v>16</v>
      </c>
      <c r="P20" t="str">
        <f>IF(C20="Single key","Review Required","No Review")</f>
        <v>No Review</v>
      </c>
      <c r="Q20" t="s">
        <v>610</v>
      </c>
      <c r="R20" t="s">
        <v>611</v>
      </c>
    </row>
    <row r="21" spans="1:18" x14ac:dyDescent="0.2">
      <c r="A21" t="s">
        <v>612</v>
      </c>
      <c r="B21" t="s">
        <v>613</v>
      </c>
      <c r="C21" t="s">
        <v>263</v>
      </c>
      <c r="D21" t="s">
        <v>182</v>
      </c>
      <c r="E21">
        <f>IF(C21="Yes",0,IF(C21="Partial",10,IF(C21="No",20,IF(C21="Unknown",10,""))))</f>
        <v>10</v>
      </c>
      <c r="F21">
        <f t="shared" si="8"/>
        <v>0.05</v>
      </c>
      <c r="G21">
        <f t="shared" si="9"/>
        <v>10.5</v>
      </c>
      <c r="H21" t="s">
        <v>614</v>
      </c>
      <c r="I21" t="s">
        <v>615</v>
      </c>
      <c r="J21" t="s">
        <v>176</v>
      </c>
      <c r="K21" s="24">
        <f t="shared" si="4"/>
        <v>45895</v>
      </c>
      <c r="L21" s="24">
        <f t="shared" ca="1" si="10"/>
        <v>117</v>
      </c>
      <c r="M21" t="s">
        <v>275</v>
      </c>
      <c r="N21">
        <f t="shared" ca="1" si="11"/>
        <v>5</v>
      </c>
      <c r="O21">
        <f t="shared" ca="1" si="12"/>
        <v>15.5</v>
      </c>
      <c r="P21" t="s">
        <v>168</v>
      </c>
      <c r="R21" t="s">
        <v>616</v>
      </c>
    </row>
    <row r="22" spans="1:18" x14ac:dyDescent="0.2">
      <c r="A22" t="s">
        <v>617</v>
      </c>
      <c r="B22" t="s">
        <v>618</v>
      </c>
      <c r="C22" t="s">
        <v>263</v>
      </c>
      <c r="D22" t="s">
        <v>217</v>
      </c>
      <c r="E22">
        <f>IF(C22="Strong",0,IF(C22="Partial",10,IF(C22="Weak",20,IF(C22="Unknown",10,""))))</f>
        <v>10</v>
      </c>
      <c r="F22">
        <f t="shared" si="8"/>
        <v>0.1</v>
      </c>
      <c r="G22">
        <f t="shared" si="9"/>
        <v>11</v>
      </c>
      <c r="K22" s="24" t="str">
        <f t="shared" si="4"/>
        <v/>
      </c>
      <c r="L22" s="24" t="str">
        <f t="shared" ca="1" si="10"/>
        <v/>
      </c>
      <c r="M22" t="s">
        <v>275</v>
      </c>
      <c r="N22">
        <f t="shared" ca="1" si="11"/>
        <v>5</v>
      </c>
      <c r="O22">
        <f t="shared" ca="1" si="12"/>
        <v>16</v>
      </c>
      <c r="P22" t="s">
        <v>168</v>
      </c>
      <c r="R22" t="s">
        <v>619</v>
      </c>
    </row>
    <row r="23" spans="1:18" x14ac:dyDescent="0.2">
      <c r="A23" t="s">
        <v>620</v>
      </c>
      <c r="B23" t="s">
        <v>621</v>
      </c>
      <c r="C23" t="s">
        <v>280</v>
      </c>
      <c r="D23" t="s">
        <v>182</v>
      </c>
      <c r="E23">
        <f>IF(C23="Good",0,IF(C23="Partial",10,IF(C23="Poor",20,IF(C23="Unknown",10,""))))</f>
        <v>10</v>
      </c>
      <c r="F23">
        <f t="shared" si="8"/>
        <v>0.05</v>
      </c>
      <c r="G23">
        <f t="shared" si="9"/>
        <v>10.5</v>
      </c>
      <c r="H23" t="s">
        <v>622</v>
      </c>
      <c r="I23" t="s">
        <v>623</v>
      </c>
      <c r="J23" t="s">
        <v>166</v>
      </c>
      <c r="K23" s="24">
        <f t="shared" si="4"/>
        <v>46008</v>
      </c>
      <c r="L23" s="24">
        <f t="shared" ca="1" si="10"/>
        <v>4</v>
      </c>
      <c r="M23" t="s">
        <v>185</v>
      </c>
      <c r="N23">
        <f t="shared" ca="1" si="11"/>
        <v>0</v>
      </c>
      <c r="O23">
        <f t="shared" ca="1" si="12"/>
        <v>10.5</v>
      </c>
      <c r="P23" t="s">
        <v>168</v>
      </c>
      <c r="R23" t="s">
        <v>624</v>
      </c>
    </row>
    <row r="24" spans="1:18" x14ac:dyDescent="0.2">
      <c r="A24" t="s">
        <v>625</v>
      </c>
      <c r="B24" t="s">
        <v>626</v>
      </c>
      <c r="C24" t="s">
        <v>252</v>
      </c>
      <c r="D24" t="s">
        <v>182</v>
      </c>
      <c r="E24">
        <f>IF(C24="No",0,IF(C24="Limited",10,IF(C24="Yes",20,IF(C24="Unknown",10,""))))</f>
        <v>20</v>
      </c>
      <c r="F24">
        <f t="shared" si="8"/>
        <v>0.05</v>
      </c>
      <c r="G24">
        <f t="shared" si="9"/>
        <v>21</v>
      </c>
      <c r="H24" t="s">
        <v>627</v>
      </c>
      <c r="J24" t="s">
        <v>176</v>
      </c>
      <c r="K24" s="24" t="str">
        <f t="shared" si="4"/>
        <v/>
      </c>
      <c r="L24" s="24" t="str">
        <f t="shared" ca="1" si="10"/>
        <v/>
      </c>
      <c r="M24" t="s">
        <v>275</v>
      </c>
      <c r="N24">
        <f t="shared" ca="1" si="11"/>
        <v>5</v>
      </c>
      <c r="O24">
        <f t="shared" ca="1" si="12"/>
        <v>26</v>
      </c>
      <c r="P24" t="str">
        <f>IF(C24="Yes","Review Required","No Review")</f>
        <v>Review Required</v>
      </c>
      <c r="Q24" t="s">
        <v>628</v>
      </c>
      <c r="R24" t="s">
        <v>629</v>
      </c>
    </row>
    <row r="25" spans="1:18" x14ac:dyDescent="0.2">
      <c r="A25" t="s">
        <v>630</v>
      </c>
      <c r="B25" t="s">
        <v>631</v>
      </c>
      <c r="C25" t="s">
        <v>596</v>
      </c>
      <c r="D25" t="s">
        <v>163</v>
      </c>
      <c r="E25">
        <f>IF(C25="Strong",0,IF(C25="Mixed",10,IF(C25="Weak",20,IF(C25="Unknown",10,""))))</f>
        <v>0</v>
      </c>
      <c r="F25">
        <f t="shared" si="8"/>
        <v>0</v>
      </c>
      <c r="G25">
        <f t="shared" si="9"/>
        <v>0</v>
      </c>
      <c r="H25" t="s">
        <v>632</v>
      </c>
      <c r="I25" t="s">
        <v>633</v>
      </c>
      <c r="J25" t="s">
        <v>176</v>
      </c>
      <c r="K25" s="24">
        <f t="shared" si="4"/>
        <v>45930</v>
      </c>
      <c r="L25" s="24">
        <f t="shared" ca="1" si="10"/>
        <v>82</v>
      </c>
      <c r="M25" t="s">
        <v>185</v>
      </c>
      <c r="N25">
        <f t="shared" ca="1" si="11"/>
        <v>0</v>
      </c>
      <c r="O25">
        <f t="shared" ca="1" si="12"/>
        <v>0</v>
      </c>
      <c r="P25" t="s">
        <v>168</v>
      </c>
      <c r="R25" t="s">
        <v>634</v>
      </c>
    </row>
    <row r="26" spans="1:18" x14ac:dyDescent="0.2">
      <c r="A26" t="s">
        <v>635</v>
      </c>
      <c r="B26" t="s">
        <v>636</v>
      </c>
      <c r="C26" t="s">
        <v>280</v>
      </c>
      <c r="D26" t="s">
        <v>182</v>
      </c>
      <c r="E26">
        <f>IF(C26="Yes",0,IF(C26="Partial",10,IF(C26="No",20,IF(C26="Unknown",10,""))))</f>
        <v>10</v>
      </c>
      <c r="F26">
        <f t="shared" si="8"/>
        <v>0.05</v>
      </c>
      <c r="G26">
        <f t="shared" si="9"/>
        <v>10.5</v>
      </c>
      <c r="H26" t="s">
        <v>637</v>
      </c>
      <c r="I26" t="s">
        <v>638</v>
      </c>
      <c r="J26" t="s">
        <v>166</v>
      </c>
      <c r="K26" s="24">
        <f t="shared" si="4"/>
        <v>45915</v>
      </c>
      <c r="L26" s="24">
        <f t="shared" ca="1" si="10"/>
        <v>97</v>
      </c>
      <c r="M26" t="s">
        <v>300</v>
      </c>
      <c r="N26">
        <f t="shared" ca="1" si="11"/>
        <v>0</v>
      </c>
      <c r="O26">
        <f t="shared" ca="1" si="12"/>
        <v>10.5</v>
      </c>
      <c r="P26" t="s">
        <v>168</v>
      </c>
      <c r="R26" t="s">
        <v>639</v>
      </c>
    </row>
    <row r="27" spans="1:18" x14ac:dyDescent="0.2">
      <c r="A27" t="s">
        <v>640</v>
      </c>
      <c r="B27" t="s">
        <v>641</v>
      </c>
      <c r="C27" t="s">
        <v>642</v>
      </c>
      <c r="D27" t="s">
        <v>182</v>
      </c>
      <c r="E27">
        <v>0</v>
      </c>
      <c r="F27">
        <f t="shared" si="8"/>
        <v>0.05</v>
      </c>
      <c r="G27">
        <f t="shared" si="9"/>
        <v>0</v>
      </c>
      <c r="H27" t="s">
        <v>643</v>
      </c>
      <c r="I27" t="s">
        <v>644</v>
      </c>
      <c r="J27" t="s">
        <v>166</v>
      </c>
      <c r="K27" s="24">
        <f t="shared" si="4"/>
        <v>45985</v>
      </c>
      <c r="L27" s="24">
        <f t="shared" ca="1" si="10"/>
        <v>27</v>
      </c>
      <c r="M27" t="s">
        <v>300</v>
      </c>
      <c r="N27">
        <f t="shared" ca="1" si="11"/>
        <v>0</v>
      </c>
      <c r="O27">
        <f t="shared" ca="1" si="12"/>
        <v>0</v>
      </c>
      <c r="P27" t="s">
        <v>168</v>
      </c>
      <c r="R27" t="s">
        <v>645</v>
      </c>
    </row>
    <row r="28" spans="1:18" x14ac:dyDescent="0.2">
      <c r="A28" s="4"/>
      <c r="B28" s="5" t="s">
        <v>646</v>
      </c>
      <c r="C28" s="4"/>
      <c r="D28" s="4"/>
      <c r="E28" s="4"/>
      <c r="F28" s="4"/>
      <c r="G28" s="4"/>
      <c r="H28" s="4"/>
      <c r="I28" s="4"/>
      <c r="J28" s="4"/>
      <c r="K28" s="23" t="str">
        <f t="shared" si="4"/>
        <v/>
      </c>
      <c r="L28" s="23"/>
      <c r="M28" s="4"/>
      <c r="N28" s="4" t="str">
        <f t="shared" si="11"/>
        <v/>
      </c>
      <c r="O28" s="4"/>
      <c r="P28" s="4"/>
      <c r="Q28" s="4"/>
      <c r="R28" s="4"/>
    </row>
    <row r="29" spans="1:18" x14ac:dyDescent="0.2">
      <c r="A29" s="3"/>
      <c r="B29" s="48"/>
      <c r="C29" s="49"/>
      <c r="D29" s="49"/>
      <c r="E29" s="49"/>
      <c r="F29" s="49"/>
      <c r="G29" s="49"/>
      <c r="H29" s="49"/>
      <c r="I29" s="49"/>
      <c r="J29" s="49"/>
      <c r="K29" s="50"/>
      <c r="L29" s="50"/>
      <c r="M29" s="49"/>
      <c r="N29" s="49"/>
      <c r="O29" s="49"/>
      <c r="P29" s="49"/>
      <c r="Q29" s="49"/>
      <c r="R29" s="49"/>
    </row>
    <row r="30" spans="1:18" x14ac:dyDescent="0.2">
      <c r="A30" t="s">
        <v>386</v>
      </c>
      <c r="B30" t="s">
        <v>387</v>
      </c>
      <c r="C30" t="s">
        <v>252</v>
      </c>
      <c r="D30" t="s">
        <v>163</v>
      </c>
      <c r="E30">
        <f>IF(C30="Yes",0,IF(C30="Outdated",10,IF(C30="Unclear",10,IF(C30="No",20,""))))</f>
        <v>0</v>
      </c>
      <c r="F30">
        <f t="shared" ref="F30:F37" si="13">IF(D30="High",0,IF(D30="Medium",0.05,IF(D30="Low",0.1,IF(D30="Unknown",0.15,""))))</f>
        <v>0</v>
      </c>
      <c r="G30">
        <f t="shared" ref="G30:G37" si="14">E30*(1+F30)</f>
        <v>0</v>
      </c>
      <c r="H30" t="s">
        <v>647</v>
      </c>
      <c r="I30" t="s">
        <v>406</v>
      </c>
      <c r="J30" t="s">
        <v>176</v>
      </c>
      <c r="K30" s="24">
        <f t="shared" ref="K30:K38" si="15">IF(I30="","",MAX(IFERROR(DATEVALUE(TRIM(MID(SUBSTITUTE(I30,";",REPT(" ",50)),1,50))),0),IFERROR(DATEVALUE(TRIM(MID(SUBSTITUTE(I30,";",REPT(" ",50)),51,50))),0),IFERROR(DATEVALUE(TRIM(MID(SUBSTITUTE(I30,";",REPT(" ",50)),101,50))),0),IFERROR(DATEVALUE(TRIM(MID(SUBSTITUTE(I30,";",REPT(" ",50)),151,50))),0),IFERROR(DATEVALUE(TRIM(MID(SUBSTITUTE(I30,";",REPT(" ",50)),201,50))),0),IFERROR(DATEVALUE(TRIM(MID(SUBSTITUTE(I30,";",REPT(" ",50)),251,50))),0),IFERROR(DATEVALUE(TRIM(MID(SUBSTITUTE(I30,";",REPT(" ",50)),301,50))),0),IFERROR(DATEVALUE(TRIM(MID(SUBSTITUTE(I30,";",REPT(" ",50)),351,50))),0),IFERROR(DATEVALUE(TRIM(MID(SUBSTITUTE(I30,";",REPT(" ",50)),401,50))),0),IFERROR(DATEVALUE(TRIM(MID(SUBSTITUTE(I30,";",REPT(" ",50)),451,50))),0)))</f>
        <v>46009</v>
      </c>
      <c r="L30" s="24">
        <f t="shared" ref="L30:L37" ca="1" si="16">IF(K30="","",TODAY()-K30)</f>
        <v>3</v>
      </c>
      <c r="M30" t="s">
        <v>300</v>
      </c>
      <c r="N30">
        <f t="shared" ref="N30:N38" ca="1" si="17">IF(M30="","",IF(L30="",INDEX($F$59:$F$62,MATCH(M30,$C$59:$C$62,0)),IF(L30&lt;=INDEX($D$59:$D$62,MATCH(M30,$C$59:$C$62,0)),0,IF(L30&lt;=INDEX($E$59:$E$62,MATCH(M30,$C$59:$C$62,0)),INDEX($F$59:$F$62,MATCH(M30,$C$59:$C$62,0)),INDEX($G$59:$G$62,MATCH(M30,$C$59:$C$62,0))))))</f>
        <v>0</v>
      </c>
      <c r="O30">
        <f t="shared" ref="O30:O37" ca="1" si="18">G30+N30</f>
        <v>0</v>
      </c>
      <c r="P30" t="str">
        <f>IF(C30="No","Review Required","No Review")</f>
        <v>No Review</v>
      </c>
      <c r="Q30" t="s">
        <v>390</v>
      </c>
      <c r="R30" t="s">
        <v>648</v>
      </c>
    </row>
    <row r="31" spans="1:18" x14ac:dyDescent="0.2">
      <c r="A31" t="s">
        <v>392</v>
      </c>
      <c r="B31" t="s">
        <v>393</v>
      </c>
      <c r="C31" t="s">
        <v>252</v>
      </c>
      <c r="D31" t="s">
        <v>163</v>
      </c>
      <c r="E31">
        <f>IF(C31="Yes",0,IF(C31="Partially",10,IF(C31="No",20,"")))</f>
        <v>0</v>
      </c>
      <c r="F31">
        <f t="shared" si="13"/>
        <v>0</v>
      </c>
      <c r="G31">
        <f t="shared" si="14"/>
        <v>0</v>
      </c>
      <c r="H31" t="s">
        <v>649</v>
      </c>
      <c r="I31" t="s">
        <v>650</v>
      </c>
      <c r="J31" t="s">
        <v>176</v>
      </c>
      <c r="K31" s="24">
        <f t="shared" si="15"/>
        <v>46009</v>
      </c>
      <c r="L31" s="24">
        <f t="shared" ca="1" si="16"/>
        <v>3</v>
      </c>
      <c r="M31" t="s">
        <v>167</v>
      </c>
      <c r="N31">
        <f t="shared" ca="1" si="17"/>
        <v>0</v>
      </c>
      <c r="O31">
        <f t="shared" ca="1" si="18"/>
        <v>0</v>
      </c>
      <c r="P31" t="s">
        <v>168</v>
      </c>
      <c r="R31" t="s">
        <v>651</v>
      </c>
    </row>
    <row r="32" spans="1:18" x14ac:dyDescent="0.2">
      <c r="A32" t="s">
        <v>397</v>
      </c>
      <c r="B32" t="s">
        <v>398</v>
      </c>
      <c r="C32" t="s">
        <v>399</v>
      </c>
      <c r="D32" t="s">
        <v>163</v>
      </c>
      <c r="E32">
        <f>IF(C32="Yes",0,IF(C32="Partially",10,IF(C32="No",20,"")))</f>
        <v>10</v>
      </c>
      <c r="F32">
        <f t="shared" si="13"/>
        <v>0</v>
      </c>
      <c r="G32">
        <f t="shared" si="14"/>
        <v>10</v>
      </c>
      <c r="H32" t="s">
        <v>652</v>
      </c>
      <c r="I32" t="s">
        <v>401</v>
      </c>
      <c r="J32" t="s">
        <v>166</v>
      </c>
      <c r="K32" s="24">
        <f t="shared" si="15"/>
        <v>46009</v>
      </c>
      <c r="L32" s="24">
        <f t="shared" ca="1" si="16"/>
        <v>3</v>
      </c>
      <c r="M32" t="s">
        <v>167</v>
      </c>
      <c r="N32">
        <f t="shared" ca="1" si="17"/>
        <v>0</v>
      </c>
      <c r="O32">
        <f t="shared" ca="1" si="18"/>
        <v>10</v>
      </c>
      <c r="P32" t="s">
        <v>168</v>
      </c>
      <c r="R32" t="s">
        <v>653</v>
      </c>
    </row>
    <row r="33" spans="1:19" x14ac:dyDescent="0.2">
      <c r="A33" t="s">
        <v>403</v>
      </c>
      <c r="B33" t="s">
        <v>404</v>
      </c>
      <c r="C33" t="s">
        <v>280</v>
      </c>
      <c r="D33" t="s">
        <v>163</v>
      </c>
      <c r="E33">
        <f>IF(C33="Yes",0,IF(C33="Partial",10,IF(C33="Unclear",10,IF(C33="No",20,""))))</f>
        <v>10</v>
      </c>
      <c r="F33">
        <f t="shared" si="13"/>
        <v>0</v>
      </c>
      <c r="G33">
        <f t="shared" si="14"/>
        <v>10</v>
      </c>
      <c r="H33" t="s">
        <v>654</v>
      </c>
      <c r="I33" t="s">
        <v>655</v>
      </c>
      <c r="J33" t="s">
        <v>176</v>
      </c>
      <c r="K33" s="24">
        <f t="shared" si="15"/>
        <v>46009</v>
      </c>
      <c r="L33" s="24">
        <f t="shared" ca="1" si="16"/>
        <v>3</v>
      </c>
      <c r="M33" t="s">
        <v>167</v>
      </c>
      <c r="N33">
        <f t="shared" ca="1" si="17"/>
        <v>0</v>
      </c>
      <c r="O33">
        <f t="shared" ca="1" si="18"/>
        <v>10</v>
      </c>
      <c r="P33" t="str">
        <f>IF(C33="No","Review Required","No Review")</f>
        <v>No Review</v>
      </c>
      <c r="Q33" t="s">
        <v>407</v>
      </c>
      <c r="R33" t="s">
        <v>656</v>
      </c>
    </row>
    <row r="34" spans="1:19" x14ac:dyDescent="0.2">
      <c r="A34" t="s">
        <v>409</v>
      </c>
      <c r="B34" t="s">
        <v>410</v>
      </c>
      <c r="C34" t="s">
        <v>252</v>
      </c>
      <c r="D34" t="s">
        <v>163</v>
      </c>
      <c r="E34">
        <f>IF(C34="Yes",0,IF(C34="Minimal",10,IF(C34="Missing",20,IF(C34="No",20,""))))</f>
        <v>0</v>
      </c>
      <c r="F34">
        <f t="shared" si="13"/>
        <v>0</v>
      </c>
      <c r="G34">
        <f t="shared" si="14"/>
        <v>0</v>
      </c>
      <c r="H34" t="s">
        <v>657</v>
      </c>
      <c r="I34" t="s">
        <v>658</v>
      </c>
      <c r="J34" t="s">
        <v>166</v>
      </c>
      <c r="K34" s="24">
        <f t="shared" si="15"/>
        <v>45924</v>
      </c>
      <c r="L34" s="24">
        <f t="shared" ca="1" si="16"/>
        <v>88</v>
      </c>
      <c r="M34" t="s">
        <v>167</v>
      </c>
      <c r="N34">
        <f t="shared" ca="1" si="17"/>
        <v>0</v>
      </c>
      <c r="O34">
        <f t="shared" ca="1" si="18"/>
        <v>0</v>
      </c>
      <c r="P34" t="s">
        <v>168</v>
      </c>
      <c r="R34" t="s">
        <v>659</v>
      </c>
    </row>
    <row r="35" spans="1:19" x14ac:dyDescent="0.2">
      <c r="A35" t="s">
        <v>413</v>
      </c>
      <c r="B35" t="s">
        <v>414</v>
      </c>
      <c r="C35" t="s">
        <v>252</v>
      </c>
      <c r="D35" t="s">
        <v>163</v>
      </c>
      <c r="E35">
        <f>IF(C35="Yes",0,IF(C35="Limited",10,IF(C35="Unclear",10,IF(C35="No",20,""))))</f>
        <v>0</v>
      </c>
      <c r="F35">
        <f t="shared" si="13"/>
        <v>0</v>
      </c>
      <c r="G35">
        <f t="shared" si="14"/>
        <v>0</v>
      </c>
      <c r="H35" t="s">
        <v>660</v>
      </c>
      <c r="I35" t="s">
        <v>661</v>
      </c>
      <c r="J35" t="s">
        <v>166</v>
      </c>
      <c r="K35" s="24">
        <f t="shared" si="15"/>
        <v>45915</v>
      </c>
      <c r="L35" s="24">
        <f t="shared" ca="1" si="16"/>
        <v>97</v>
      </c>
      <c r="M35" t="s">
        <v>167</v>
      </c>
      <c r="N35">
        <f t="shared" ca="1" si="17"/>
        <v>0</v>
      </c>
      <c r="O35">
        <f t="shared" ca="1" si="18"/>
        <v>0</v>
      </c>
      <c r="P35" t="s">
        <v>168</v>
      </c>
      <c r="R35" t="s">
        <v>662</v>
      </c>
    </row>
    <row r="36" spans="1:19" x14ac:dyDescent="0.2">
      <c r="A36" t="s">
        <v>418</v>
      </c>
      <c r="B36" t="s">
        <v>419</v>
      </c>
      <c r="C36" t="s">
        <v>420</v>
      </c>
      <c r="D36" t="s">
        <v>182</v>
      </c>
      <c r="E36">
        <f>IF(C36="Yes",0,IF(C36="Unclear",10,IF(C36="No",20,"")))</f>
        <v>10</v>
      </c>
      <c r="F36">
        <f t="shared" si="13"/>
        <v>0.05</v>
      </c>
      <c r="G36">
        <f t="shared" si="14"/>
        <v>10.5</v>
      </c>
      <c r="H36" t="s">
        <v>663</v>
      </c>
      <c r="I36" t="s">
        <v>422</v>
      </c>
      <c r="J36" t="s">
        <v>176</v>
      </c>
      <c r="K36" s="24">
        <f t="shared" si="15"/>
        <v>45960</v>
      </c>
      <c r="L36" s="24">
        <f t="shared" ca="1" si="16"/>
        <v>52</v>
      </c>
      <c r="M36" t="s">
        <v>167</v>
      </c>
      <c r="N36">
        <f t="shared" ca="1" si="17"/>
        <v>0</v>
      </c>
      <c r="O36">
        <f t="shared" ca="1" si="18"/>
        <v>10.5</v>
      </c>
      <c r="P36" t="s">
        <v>168</v>
      </c>
      <c r="R36" t="s">
        <v>664</v>
      </c>
    </row>
    <row r="37" spans="1:19" x14ac:dyDescent="0.2">
      <c r="A37" t="s">
        <v>424</v>
      </c>
      <c r="B37" t="s">
        <v>665</v>
      </c>
      <c r="C37" t="s">
        <v>666</v>
      </c>
      <c r="D37" t="s">
        <v>182</v>
      </c>
      <c r="E37">
        <f>0</f>
        <v>0</v>
      </c>
      <c r="F37">
        <f t="shared" si="13"/>
        <v>0.05</v>
      </c>
      <c r="G37">
        <f t="shared" si="14"/>
        <v>0</v>
      </c>
      <c r="H37" t="s">
        <v>667</v>
      </c>
      <c r="I37" t="s">
        <v>668</v>
      </c>
      <c r="J37" t="s">
        <v>166</v>
      </c>
      <c r="K37" s="24">
        <f t="shared" si="15"/>
        <v>46009</v>
      </c>
      <c r="L37" s="24">
        <f t="shared" ca="1" si="16"/>
        <v>3</v>
      </c>
      <c r="M37" t="s">
        <v>167</v>
      </c>
      <c r="N37">
        <f t="shared" ca="1" si="17"/>
        <v>0</v>
      </c>
      <c r="O37">
        <f t="shared" ca="1" si="18"/>
        <v>0</v>
      </c>
      <c r="P37" t="s">
        <v>168</v>
      </c>
      <c r="Q37" t="s">
        <v>429</v>
      </c>
      <c r="R37" t="s">
        <v>669</v>
      </c>
    </row>
    <row r="38" spans="1:19" x14ac:dyDescent="0.2">
      <c r="A38" s="4"/>
      <c r="B38" s="5" t="s">
        <v>670</v>
      </c>
      <c r="C38" s="4"/>
      <c r="D38" s="4"/>
      <c r="E38" s="4"/>
      <c r="F38" s="4"/>
      <c r="G38" s="4"/>
      <c r="H38" s="4"/>
      <c r="I38" s="4"/>
      <c r="J38" s="4"/>
      <c r="K38" s="23" t="str">
        <f t="shared" si="15"/>
        <v/>
      </c>
      <c r="L38" s="23"/>
      <c r="M38" s="4"/>
      <c r="N38" s="4" t="str">
        <f t="shared" si="17"/>
        <v/>
      </c>
      <c r="O38" s="4"/>
      <c r="P38" s="4"/>
      <c r="Q38" s="4"/>
      <c r="R38" s="4"/>
    </row>
    <row r="39" spans="1:19" x14ac:dyDescent="0.2">
      <c r="A39" s="3"/>
      <c r="B39" s="48"/>
      <c r="C39" s="49"/>
      <c r="D39" s="49"/>
      <c r="E39" s="49"/>
      <c r="F39" s="49"/>
      <c r="G39" s="49"/>
      <c r="H39" s="49"/>
      <c r="I39" s="49"/>
      <c r="J39" s="49"/>
      <c r="K39" s="50"/>
      <c r="L39" s="50"/>
      <c r="M39" s="49"/>
      <c r="N39" s="49"/>
      <c r="O39" s="49"/>
      <c r="P39" s="49"/>
      <c r="Q39" s="49"/>
      <c r="R39" s="49"/>
    </row>
    <row r="40" spans="1:19" x14ac:dyDescent="0.2">
      <c r="A40" t="s">
        <v>432</v>
      </c>
      <c r="B40" t="s">
        <v>671</v>
      </c>
      <c r="C40" t="s">
        <v>672</v>
      </c>
      <c r="D40" t="s">
        <v>182</v>
      </c>
      <c r="E40">
        <f>IF(C40="","",IF(C40="No explicit mention",0,IF(C40="Neutral or technical mention only",5,IF(C40="Mentioned with significant concerns or warnings",20,IF(C40="Unknown",10,"")))))</f>
        <v>0</v>
      </c>
      <c r="F40">
        <f>IF(D40="High",0,IF(D40="Medium",0.05,IF(D40="Low",0.1,IF(D40="Unknown",0.15,""))))</f>
        <v>0.05</v>
      </c>
      <c r="G40">
        <f>E40*(1+F40)</f>
        <v>0</v>
      </c>
      <c r="H40" t="s">
        <v>673</v>
      </c>
      <c r="I40" t="s">
        <v>674</v>
      </c>
      <c r="J40" t="s">
        <v>166</v>
      </c>
      <c r="K40" s="24">
        <f>IF(I40="","",MAX(IFERROR(DATEVALUE(TRIM(MID(SUBSTITUTE(I40,";",REPT(" ",50)),1,50))),0),IFERROR(DATEVALUE(TRIM(MID(SUBSTITUTE(I40,";",REPT(" ",50)),51,50))),0),IFERROR(DATEVALUE(TRIM(MID(SUBSTITUTE(I40,";",REPT(" ",50)),101,50))),0),IFERROR(DATEVALUE(TRIM(MID(SUBSTITUTE(I40,";",REPT(" ",50)),151,50))),0),IFERROR(DATEVALUE(TRIM(MID(SUBSTITUTE(I40,";",REPT(" ",50)),201,50))),0),IFERROR(DATEVALUE(TRIM(MID(SUBSTITUTE(I40,";",REPT(" ",50)),251,50))),0),IFERROR(DATEVALUE(TRIM(MID(SUBSTITUTE(I40,";",REPT(" ",50)),301,50))),0),IFERROR(DATEVALUE(TRIM(MID(SUBSTITUTE(I40,";",REPT(" ",50)),351,50))),0),IFERROR(DATEVALUE(TRIM(MID(SUBSTITUTE(I40,";",REPT(" ",50)),401,50))),0),IFERROR(DATEVALUE(TRIM(MID(SUBSTITUTE(I40,";",REPT(" ",50)),451,50))),0)))</f>
        <v>46009</v>
      </c>
      <c r="L40" s="24">
        <f ca="1">IF(K40="","",TODAY()-K40)</f>
        <v>3</v>
      </c>
      <c r="M40" t="s">
        <v>167</v>
      </c>
      <c r="N40">
        <f ca="1">IF(M40="","",IF(L40="",INDEX($F$59:$F$62,MATCH(M40,$C$59:$C$62,0)),IF(L40&lt;=INDEX($D$59:$D$62,MATCH(M40,$C$59:$C$62,0)),0,IF(L40&lt;=INDEX($E$59:$E$62,MATCH(M40,$C$59:$C$62,0)),INDEX($F$59:$F$62,MATCH(M40,$C$59:$C$62,0)),INDEX($G$59:$G$62,MATCH(M40,$C$59:$C$62,0))))))</f>
        <v>0</v>
      </c>
      <c r="O40">
        <f ca="1">G40+N40</f>
        <v>0</v>
      </c>
      <c r="P40" t="str">
        <f>IF(C40="Mentioned with significant concerns or warnings","Review Required","No Review")</f>
        <v>No Review</v>
      </c>
      <c r="Q40" t="s">
        <v>437</v>
      </c>
      <c r="R40" t="s">
        <v>675</v>
      </c>
    </row>
    <row r="41" spans="1:19" x14ac:dyDescent="0.2">
      <c r="A41" t="s">
        <v>439</v>
      </c>
      <c r="B41" t="s">
        <v>676</v>
      </c>
      <c r="C41" t="s">
        <v>677</v>
      </c>
      <c r="D41" t="s">
        <v>182</v>
      </c>
      <c r="E41">
        <f>IF(C41="","",IF(C41="Multiple consistent analyses",0,IF(C41="Mixed or conflicting analyses",10,IF(C41="Only issuer-aligned or promotional analyses",15,IF(OR(C41="None identified",C41="Unknown"),10,"")))))</f>
        <v>0</v>
      </c>
      <c r="F41">
        <f>IF(D41="High",0,IF(D41="Medium",0.05,IF(D41="Low",0.1,IF(D41="Unknown",0.15,""))))</f>
        <v>0.05</v>
      </c>
      <c r="G41">
        <f>E41*(1+F41)</f>
        <v>0</v>
      </c>
      <c r="H41" t="s">
        <v>678</v>
      </c>
      <c r="I41" t="s">
        <v>679</v>
      </c>
      <c r="J41" t="s">
        <v>166</v>
      </c>
      <c r="K41" s="24">
        <f>IF(I41="","",MAX(IFERROR(DATEVALUE(TRIM(MID(SUBSTITUTE(I41,";",REPT(" ",50)),1,50))),0),IFERROR(DATEVALUE(TRIM(MID(SUBSTITUTE(I41,";",REPT(" ",50)),51,50))),0),IFERROR(DATEVALUE(TRIM(MID(SUBSTITUTE(I41,";",REPT(" ",50)),101,50))),0),IFERROR(DATEVALUE(TRIM(MID(SUBSTITUTE(I41,";",REPT(" ",50)),151,50))),0),IFERROR(DATEVALUE(TRIM(MID(SUBSTITUTE(I41,";",REPT(" ",50)),201,50))),0),IFERROR(DATEVALUE(TRIM(MID(SUBSTITUTE(I41,";",REPT(" ",50)),251,50))),0),IFERROR(DATEVALUE(TRIM(MID(SUBSTITUTE(I41,";",REPT(" ",50)),301,50))),0),IFERROR(DATEVALUE(TRIM(MID(SUBSTITUTE(I41,";",REPT(" ",50)),351,50))),0),IFERROR(DATEVALUE(TRIM(MID(SUBSTITUTE(I41,";",REPT(" ",50)),401,50))),0),IFERROR(DATEVALUE(TRIM(MID(SUBSTITUTE(I41,";",REPT(" ",50)),451,50))),0)))</f>
        <v>45910</v>
      </c>
      <c r="L41" s="24">
        <f ca="1">IF(K41="","",TODAY()-K41)</f>
        <v>102</v>
      </c>
      <c r="M41" t="s">
        <v>167</v>
      </c>
      <c r="N41">
        <f ca="1">IF(M41="","",IF(L41="",INDEX($F$59:$F$62,MATCH(M41,$C$59:$C$62,0)),IF(L41&lt;=INDEX($D$59:$D$62,MATCH(M41,$C$59:$C$62,0)),0,IF(L41&lt;=INDEX($E$59:$E$62,MATCH(M41,$C$59:$C$62,0)),INDEX($F$59:$F$62,MATCH(M41,$C$59:$C$62,0)),INDEX($G$59:$G$62,MATCH(M41,$C$59:$C$62,0))))))</f>
        <v>0</v>
      </c>
      <c r="O41">
        <f ca="1">G41+N41</f>
        <v>0</v>
      </c>
      <c r="P41" t="s">
        <v>168</v>
      </c>
      <c r="R41" t="s">
        <v>680</v>
      </c>
    </row>
    <row r="42" spans="1:19" x14ac:dyDescent="0.2">
      <c r="A42" t="s">
        <v>444</v>
      </c>
      <c r="B42" t="s">
        <v>681</v>
      </c>
      <c r="C42" t="s">
        <v>682</v>
      </c>
      <c r="D42" t="s">
        <v>182</v>
      </c>
      <c r="E42">
        <f>IF(C42="","",IF(C42="Clearly conservative positioning",0,IF(C42="Moderately aggressive or novel",10,IF(C42="Highly aggressive or strained",20,IF(C42="Unknown",10,"")))))</f>
        <v>0</v>
      </c>
      <c r="F42">
        <f>IF(D42="High",0,IF(D42="Medium",0.05,IF(D42="Low",0.1,IF(D42="Unknown",0.15,""))))</f>
        <v>0.05</v>
      </c>
      <c r="G42">
        <f>E42*(1+F42)</f>
        <v>0</v>
      </c>
      <c r="H42" t="s">
        <v>683</v>
      </c>
      <c r="I42" t="s">
        <v>684</v>
      </c>
      <c r="J42" t="s">
        <v>166</v>
      </c>
      <c r="K42" s="24">
        <f>IF(I42="","",MAX(IFERROR(DATEVALUE(TRIM(MID(SUBSTITUTE(I42,";",REPT(" ",50)),1,50))),0),IFERROR(DATEVALUE(TRIM(MID(SUBSTITUTE(I42,";",REPT(" ",50)),51,50))),0),IFERROR(DATEVALUE(TRIM(MID(SUBSTITUTE(I42,";",REPT(" ",50)),101,50))),0),IFERROR(DATEVALUE(TRIM(MID(SUBSTITUTE(I42,";",REPT(" ",50)),151,50))),0),IFERROR(DATEVALUE(TRIM(MID(SUBSTITUTE(I42,";",REPT(" ",50)),201,50))),0),IFERROR(DATEVALUE(TRIM(MID(SUBSTITUTE(I42,";",REPT(" ",50)),251,50))),0),IFERROR(DATEVALUE(TRIM(MID(SUBSTITUTE(I42,";",REPT(" ",50)),301,50))),0),IFERROR(DATEVALUE(TRIM(MID(SUBSTITUTE(I42,";",REPT(" ",50)),351,50))),0),IFERROR(DATEVALUE(TRIM(MID(SUBSTITUTE(I42,";",REPT(" ",50)),401,50))),0),IFERROR(DATEVALUE(TRIM(MID(SUBSTITUTE(I42,";",REPT(" ",50)),451,50))),0)))</f>
        <v>45733</v>
      </c>
      <c r="L42" s="24">
        <f ca="1">IF(K42="","",TODAY()-K42)</f>
        <v>279</v>
      </c>
      <c r="M42" t="s">
        <v>167</v>
      </c>
      <c r="N42">
        <f ca="1">IF(M42="","",IF(L42="",INDEX($F$59:$F$62,MATCH(M42,$C$59:$C$62,0)),IF(L42&lt;=INDEX($D$59:$D$62,MATCH(M42,$C$59:$C$62,0)),0,IF(L42&lt;=INDEX($E$59:$E$62,MATCH(M42,$C$59:$C$62,0)),INDEX($F$59:$F$62,MATCH(M42,$C$59:$C$62,0)),INDEX($G$59:$G$62,MATCH(M42,$C$59:$C$62,0))))))</f>
        <v>0</v>
      </c>
      <c r="O42">
        <f ca="1">G42+N42</f>
        <v>0</v>
      </c>
      <c r="P42" t="str">
        <f>IF(C42="Highly aggressive or strained","Review Required","No Review")</f>
        <v>No Review</v>
      </c>
      <c r="R42" t="s">
        <v>685</v>
      </c>
    </row>
    <row r="43" spans="1:19" x14ac:dyDescent="0.2">
      <c r="A43" t="s">
        <v>449</v>
      </c>
      <c r="B43" t="s">
        <v>686</v>
      </c>
      <c r="C43" t="s">
        <v>687</v>
      </c>
      <c r="D43" t="s">
        <v>182</v>
      </c>
      <c r="E43">
        <f>IF(C43="","",IF(C43="Clearly consistent",0,IF(C43="Mixed or incomplete",10,IF(C43="Clearly inconsistent",20,IF(C43="Unknown",10,"")))))</f>
        <v>0</v>
      </c>
      <c r="F43">
        <f>IF(D43="High",0,IF(D43="Medium",0.05,IF(D43="Low",0.1,IF(D43="Unknown",0.15,""))))</f>
        <v>0.05</v>
      </c>
      <c r="G43">
        <f>E43*(1+F43)</f>
        <v>0</v>
      </c>
      <c r="H43" t="s">
        <v>688</v>
      </c>
      <c r="I43" t="s">
        <v>689</v>
      </c>
      <c r="J43" t="s">
        <v>166</v>
      </c>
      <c r="K43" s="24">
        <f>IF(I43="","",MAX(IFERROR(DATEVALUE(TRIM(MID(SUBSTITUTE(I43,";",REPT(" ",50)),1,50))),0),IFERROR(DATEVALUE(TRIM(MID(SUBSTITUTE(I43,";",REPT(" ",50)),51,50))),0),IFERROR(DATEVALUE(TRIM(MID(SUBSTITUTE(I43,";",REPT(" ",50)),101,50))),0),IFERROR(DATEVALUE(TRIM(MID(SUBSTITUTE(I43,";",REPT(" ",50)),151,50))),0),IFERROR(DATEVALUE(TRIM(MID(SUBSTITUTE(I43,";",REPT(" ",50)),201,50))),0),IFERROR(DATEVALUE(TRIM(MID(SUBSTITUTE(I43,";",REPT(" ",50)),251,50))),0),IFERROR(DATEVALUE(TRIM(MID(SUBSTITUTE(I43,";",REPT(" ",50)),301,50))),0),IFERROR(DATEVALUE(TRIM(MID(SUBSTITUTE(I43,";",REPT(" ",50)),351,50))),0),IFERROR(DATEVALUE(TRIM(MID(SUBSTITUTE(I43,";",REPT(" ",50)),401,50))),0),IFERROR(DATEVALUE(TRIM(MID(SUBSTITUTE(I43,";",REPT(" ",50)),451,50))),0)))</f>
        <v>46012</v>
      </c>
      <c r="L43" s="24">
        <f ca="1">IF(K43="","",TODAY()-K43)</f>
        <v>0</v>
      </c>
      <c r="M43" t="s">
        <v>167</v>
      </c>
      <c r="N43">
        <f ca="1">IF(M43="","",IF(L43="",INDEX($F$59:$F$62,MATCH(M43,$C$59:$C$62,0)),IF(L43&lt;=INDEX($D$59:$D$62,MATCH(M43,$C$59:$C$62,0)),0,IF(L43&lt;=INDEX($E$59:$E$62,MATCH(M43,$C$59:$C$62,0)),INDEX($F$59:$F$62,MATCH(M43,$C$59:$C$62,0)),INDEX($G$59:$G$62,MATCH(M43,$C$59:$C$62,0))))))</f>
        <v>0</v>
      </c>
      <c r="O43">
        <f ca="1">G43+N43</f>
        <v>0</v>
      </c>
      <c r="P43" t="str">
        <f>IF(C43="Clearly inconsistent","Review Required","No Review")</f>
        <v>No Review</v>
      </c>
      <c r="R43" t="s">
        <v>690</v>
      </c>
    </row>
    <row r="44" spans="1:19" x14ac:dyDescent="0.2">
      <c r="A44" t="s">
        <v>454</v>
      </c>
      <c r="B44" t="s">
        <v>691</v>
      </c>
      <c r="C44" t="s">
        <v>263</v>
      </c>
      <c r="D44" t="s">
        <v>263</v>
      </c>
      <c r="E44">
        <v>0</v>
      </c>
      <c r="F44">
        <f>IF(D44="High",0,IF(D44="Medium",0.05,IF(D44="Low",0.1,IF(D44="Unknown",0.15,""))))</f>
        <v>0.15</v>
      </c>
      <c r="G44">
        <f>E44*(1+F44)</f>
        <v>0</v>
      </c>
      <c r="K44" s="24" t="str">
        <f>IF(I44="","",MAX(IFERROR(DATEVALUE(TRIM(MID(SUBSTITUTE(I44,";",REPT(" ",50)),1,50))),0),IFERROR(DATEVALUE(TRIM(MID(SUBSTITUTE(I44,";",REPT(" ",50)),51,50))),0),IFERROR(DATEVALUE(TRIM(MID(SUBSTITUTE(I44,";",REPT(" ",50)),101,50))),0),IFERROR(DATEVALUE(TRIM(MID(SUBSTITUTE(I44,";",REPT(" ",50)),151,50))),0),IFERROR(DATEVALUE(TRIM(MID(SUBSTITUTE(I44,";",REPT(" ",50)),201,50))),0),IFERROR(DATEVALUE(TRIM(MID(SUBSTITUTE(I44,";",REPT(" ",50)),251,50))),0),IFERROR(DATEVALUE(TRIM(MID(SUBSTITUTE(I44,";",REPT(" ",50)),301,50))),0),IFERROR(DATEVALUE(TRIM(MID(SUBSTITUTE(I44,";",REPT(" ",50)),351,50))),0),IFERROR(DATEVALUE(TRIM(MID(SUBSTITUTE(I44,";",REPT(" ",50)),401,50))),0),IFERROR(DATEVALUE(TRIM(MID(SUBSTITUTE(I44,";",REPT(" ",50)),451,50))),0)))</f>
        <v/>
      </c>
      <c r="L44" s="24" t="str">
        <f ca="1">IF(K44="","",TODAY()-K44)</f>
        <v/>
      </c>
      <c r="M44" t="s">
        <v>167</v>
      </c>
      <c r="N44">
        <f ca="1">IF(M44="","",IF(L44="",INDEX($F$59:$F$62,MATCH(M44,$C$59:$C$62,0)),IF(L44&lt;=INDEX($D$59:$D$62,MATCH(M44,$C$59:$C$62,0)),0,IF(L44&lt;=INDEX($E$59:$E$62,MATCH(M44,$C$59:$C$62,0)),INDEX($F$59:$F$62,MATCH(M44,$C$59:$C$62,0)),INDEX($G$59:$G$62,MATCH(M44,$C$59:$C$62,0))))))</f>
        <v>0</v>
      </c>
      <c r="O44">
        <f ca="1">G44+N44</f>
        <v>0</v>
      </c>
      <c r="P44" t="s">
        <v>168</v>
      </c>
      <c r="Q44" t="s">
        <v>340</v>
      </c>
      <c r="R44" t="s">
        <v>296</v>
      </c>
      <c r="S44" t="s">
        <v>692</v>
      </c>
    </row>
    <row r="45" spans="1:19" x14ac:dyDescent="0.2">
      <c r="A45" s="3"/>
      <c r="B45" s="48"/>
      <c r="C45" s="49"/>
      <c r="D45" s="49"/>
      <c r="E45" s="49"/>
      <c r="F45" s="49"/>
      <c r="G45" s="49"/>
      <c r="H45" s="49"/>
      <c r="I45" s="49"/>
      <c r="J45" s="49"/>
      <c r="K45" s="50"/>
      <c r="L45" s="50"/>
      <c r="M45" s="49"/>
      <c r="N45" s="49"/>
      <c r="O45" s="49"/>
      <c r="P45" s="49"/>
      <c r="Q45" s="49"/>
      <c r="R45" s="49"/>
    </row>
    <row r="46" spans="1:19" x14ac:dyDescent="0.2">
      <c r="A46" t="s">
        <v>460</v>
      </c>
      <c r="B46" t="s">
        <v>693</v>
      </c>
      <c r="C46" t="s">
        <v>694</v>
      </c>
      <c r="D46" t="s">
        <v>182</v>
      </c>
      <c r="E46">
        <f>IF(C46="","",IF(C46="None identified",0,IF(C46="Minor or technical action only",10,IF(C46="Serious enforcement action",20,IF(C46="Unknown",10,"")))))</f>
        <v>0</v>
      </c>
      <c r="F46">
        <f>IF(D46="High",0,IF(D46="Medium",0.05,IF(D46="Low",0.1,IF(D46="Unknown",0.15,""))))</f>
        <v>0.05</v>
      </c>
      <c r="G46">
        <f>E46*(1+F46)</f>
        <v>0</v>
      </c>
      <c r="H46" t="s">
        <v>695</v>
      </c>
      <c r="I46" t="s">
        <v>696</v>
      </c>
      <c r="J46" t="s">
        <v>166</v>
      </c>
      <c r="K46" s="24">
        <f>IF(I46="","",MAX(IFERROR(DATEVALUE(TRIM(MID(SUBSTITUTE(I46,";",REPT(" ",50)),1,50))),0),IFERROR(DATEVALUE(TRIM(MID(SUBSTITUTE(I46,";",REPT(" ",50)),51,50))),0),IFERROR(DATEVALUE(TRIM(MID(SUBSTITUTE(I46,";",REPT(" ",50)),101,50))),0),IFERROR(DATEVALUE(TRIM(MID(SUBSTITUTE(I46,";",REPT(" ",50)),151,50))),0),IFERROR(DATEVALUE(TRIM(MID(SUBSTITUTE(I46,";",REPT(" ",50)),201,50))),0),IFERROR(DATEVALUE(TRIM(MID(SUBSTITUTE(I46,";",REPT(" ",50)),251,50))),0),IFERROR(DATEVALUE(TRIM(MID(SUBSTITUTE(I46,";",REPT(" ",50)),301,50))),0),IFERROR(DATEVALUE(TRIM(MID(SUBSTITUTE(I46,";",REPT(" ",50)),351,50))),0),IFERROR(DATEVALUE(TRIM(MID(SUBSTITUTE(I46,";",REPT(" ",50)),401,50))),0),IFERROR(DATEVALUE(TRIM(MID(SUBSTITUTE(I46,";",REPT(" ",50)),451,50))),0)))</f>
        <v>46009</v>
      </c>
      <c r="L46" s="24">
        <f ca="1">IF(K46="","",TODAY()-K46)</f>
        <v>3</v>
      </c>
      <c r="M46" t="s">
        <v>167</v>
      </c>
      <c r="N46">
        <f ca="1">IF(M46="","",IF(L46="",INDEX($F$59:$F$62,MATCH(M46,$C$59:$C$62,0)),IF(L46&lt;=INDEX($D$59:$D$62,MATCH(M46,$C$59:$C$62,0)),0,IF(L46&lt;=INDEX($E$59:$E$62,MATCH(M46,$C$59:$C$62,0)),INDEX($F$59:$F$62,MATCH(M46,$C$59:$C$62,0)),INDEX($G$59:$G$62,MATCH(M46,$C$59:$C$62,0))))))</f>
        <v>0</v>
      </c>
      <c r="O46">
        <f ca="1">G46+N46</f>
        <v>0</v>
      </c>
      <c r="P46" t="str">
        <f>IF(C46="Serious enforcement action","Review Required","No Review")</f>
        <v>No Review</v>
      </c>
      <c r="R46" t="s">
        <v>697</v>
      </c>
    </row>
    <row r="47" spans="1:19" x14ac:dyDescent="0.2">
      <c r="A47" t="s">
        <v>466</v>
      </c>
      <c r="B47" t="s">
        <v>698</v>
      </c>
      <c r="C47" t="s">
        <v>181</v>
      </c>
      <c r="D47" t="s">
        <v>182</v>
      </c>
      <c r="E47">
        <f>IF(C47="","",IF(C47="No",0,IF(C47="Yes – generic or category-level alert",10,IF(C47="Yes – specific to this token or issuer",20,IF(C47="Unknown",10,"")))))</f>
        <v>0</v>
      </c>
      <c r="F47">
        <f>IF(D47="High",0,IF(D47="Medium",0.05,IF(D47="Low",0.1,IF(D47="Unknown",0.15,""))))</f>
        <v>0.05</v>
      </c>
      <c r="G47">
        <f>E47*(1+F47)</f>
        <v>0</v>
      </c>
      <c r="H47" t="s">
        <v>699</v>
      </c>
      <c r="I47" t="s">
        <v>700</v>
      </c>
      <c r="J47" t="s">
        <v>166</v>
      </c>
      <c r="K47" s="24">
        <f>IF(I47="","",MAX(IFERROR(DATEVALUE(TRIM(MID(SUBSTITUTE(I47,";",REPT(" ",50)),1,50))),0),IFERROR(DATEVALUE(TRIM(MID(SUBSTITUTE(I47,";",REPT(" ",50)),51,50))),0),IFERROR(DATEVALUE(TRIM(MID(SUBSTITUTE(I47,";",REPT(" ",50)),101,50))),0),IFERROR(DATEVALUE(TRIM(MID(SUBSTITUTE(I47,";",REPT(" ",50)),151,50))),0),IFERROR(DATEVALUE(TRIM(MID(SUBSTITUTE(I47,";",REPT(" ",50)),201,50))),0),IFERROR(DATEVALUE(TRIM(MID(SUBSTITUTE(I47,";",REPT(" ",50)),251,50))),0),IFERROR(DATEVALUE(TRIM(MID(SUBSTITUTE(I47,";",REPT(" ",50)),301,50))),0),IFERROR(DATEVALUE(TRIM(MID(SUBSTITUTE(I47,";",REPT(" ",50)),351,50))),0),IFERROR(DATEVALUE(TRIM(MID(SUBSTITUTE(I47,";",REPT(" ",50)),401,50))),0),IFERROR(DATEVALUE(TRIM(MID(SUBSTITUTE(I47,";",REPT(" ",50)),451,50))),0)))</f>
        <v>45979</v>
      </c>
      <c r="L47" s="24">
        <f ca="1">IF(K47="","",TODAY()-K47)</f>
        <v>33</v>
      </c>
      <c r="M47" t="s">
        <v>167</v>
      </c>
      <c r="N47">
        <f ca="1">IF(M47="","",IF(L47="",INDEX($F$59:$F$62,MATCH(M47,$C$59:$C$62,0)),IF(L47&lt;=INDEX($D$59:$D$62,MATCH(M47,$C$59:$C$62,0)),0,IF(L47&lt;=INDEX($E$59:$E$62,MATCH(M47,$C$59:$C$62,0)),INDEX($F$59:$F$62,MATCH(M47,$C$59:$C$62,0)),INDEX($G$59:$G$62,MATCH(M47,$C$59:$C$62,0))))))</f>
        <v>0</v>
      </c>
      <c r="O47">
        <f ca="1">G47+N47</f>
        <v>0</v>
      </c>
      <c r="P47" t="str">
        <f>IF(C47="Yes – specific to this token or issuer","Review Required","No Review")</f>
        <v>No Review</v>
      </c>
      <c r="R47" t="s">
        <v>701</v>
      </c>
    </row>
    <row r="48" spans="1:19" x14ac:dyDescent="0.2">
      <c r="A48" t="s">
        <v>472</v>
      </c>
      <c r="B48" t="s">
        <v>702</v>
      </c>
      <c r="C48" t="s">
        <v>694</v>
      </c>
      <c r="D48" t="s">
        <v>182</v>
      </c>
      <c r="E48">
        <f>IF(C48="","",IF(C48="None identified",0,IF(C48="Some minor or settled cases",10,IF(C48="Significant ongoing or unresolved cases",20,IF(C48="Unknown",10,"")))))</f>
        <v>0</v>
      </c>
      <c r="F48">
        <f>IF(D48="High",0,IF(D48="Medium",0.05,IF(D48="Low",0.1,IF(D48="Unknown",0.15,""))))</f>
        <v>0.05</v>
      </c>
      <c r="G48">
        <f>E48*(1+F48)</f>
        <v>0</v>
      </c>
      <c r="H48" t="s">
        <v>703</v>
      </c>
      <c r="I48" t="s">
        <v>704</v>
      </c>
      <c r="J48" t="s">
        <v>166</v>
      </c>
      <c r="K48" s="24">
        <f>IF(I48="","",MAX(IFERROR(DATEVALUE(TRIM(MID(SUBSTITUTE(I48,";",REPT(" ",50)),1,50))),0),IFERROR(DATEVALUE(TRIM(MID(SUBSTITUTE(I48,";",REPT(" ",50)),51,50))),0),IFERROR(DATEVALUE(TRIM(MID(SUBSTITUTE(I48,";",REPT(" ",50)),101,50))),0),IFERROR(DATEVALUE(TRIM(MID(SUBSTITUTE(I48,";",REPT(" ",50)),151,50))),0),IFERROR(DATEVALUE(TRIM(MID(SUBSTITUTE(I48,";",REPT(" ",50)),201,50))),0),IFERROR(DATEVALUE(TRIM(MID(SUBSTITUTE(I48,";",REPT(" ",50)),251,50))),0),IFERROR(DATEVALUE(TRIM(MID(SUBSTITUTE(I48,";",REPT(" ",50)),301,50))),0),IFERROR(DATEVALUE(TRIM(MID(SUBSTITUTE(I48,";",REPT(" ",50)),351,50))),0),IFERROR(DATEVALUE(TRIM(MID(SUBSTITUTE(I48,";",REPT(" ",50)),401,50))),0),IFERROR(DATEVALUE(TRIM(MID(SUBSTITUTE(I48,";",REPT(" ",50)),451,50))),0)))</f>
        <v>45915</v>
      </c>
      <c r="L48" s="24">
        <f ca="1">IF(K48="","",TODAY()-K48)</f>
        <v>97</v>
      </c>
      <c r="M48" t="s">
        <v>167</v>
      </c>
      <c r="N48">
        <f ca="1">IF(M48="","",IF(L48="",INDEX($F$59:$F$62,MATCH(M48,$C$59:$C$62,0)),IF(L48&lt;=INDEX($D$59:$D$62,MATCH(M48,$C$59:$C$62,0)),0,IF(L48&lt;=INDEX($E$59:$E$62,MATCH(M48,$C$59:$C$62,0)),INDEX($F$59:$F$62,MATCH(M48,$C$59:$C$62,0)),INDEX($G$59:$G$62,MATCH(M48,$C$59:$C$62,0))))))</f>
        <v>0</v>
      </c>
      <c r="O48">
        <f ca="1">G48+N48</f>
        <v>0</v>
      </c>
      <c r="P48" t="str">
        <f>IF(C48="Significant ongoing or unresolved cases","Review Required","No Review")</f>
        <v>No Review</v>
      </c>
      <c r="R48" t="s">
        <v>705</v>
      </c>
    </row>
    <row r="49" spans="1:18" x14ac:dyDescent="0.2">
      <c r="A49" t="s">
        <v>488</v>
      </c>
      <c r="B49" t="s">
        <v>706</v>
      </c>
      <c r="C49" t="s">
        <v>707</v>
      </c>
      <c r="D49" t="s">
        <v>182</v>
      </c>
      <c r="E49">
        <v>0</v>
      </c>
      <c r="F49">
        <f>IF(D49="High",0,IF(D49="Medium",0.05,IF(D49="Low",0.1,IF(D49="Unknown",0.15,""))))</f>
        <v>0.05</v>
      </c>
      <c r="G49">
        <f>E49*(1+F49)</f>
        <v>0</v>
      </c>
      <c r="H49" t="s">
        <v>708</v>
      </c>
      <c r="I49" t="s">
        <v>709</v>
      </c>
      <c r="J49" t="s">
        <v>166</v>
      </c>
      <c r="K49" s="24">
        <f>IF(I49="","",MAX(IFERROR(DATEVALUE(TRIM(MID(SUBSTITUTE(I49,";",REPT(" ",50)),1,50))),0),IFERROR(DATEVALUE(TRIM(MID(SUBSTITUTE(I49,";",REPT(" ",50)),51,50))),0),IFERROR(DATEVALUE(TRIM(MID(SUBSTITUTE(I49,";",REPT(" ",50)),101,50))),0),IFERROR(DATEVALUE(TRIM(MID(SUBSTITUTE(I49,";",REPT(" ",50)),151,50))),0),IFERROR(DATEVALUE(TRIM(MID(SUBSTITUTE(I49,";",REPT(" ",50)),201,50))),0),IFERROR(DATEVALUE(TRIM(MID(SUBSTITUTE(I49,";",REPT(" ",50)),251,50))),0),IFERROR(DATEVALUE(TRIM(MID(SUBSTITUTE(I49,";",REPT(" ",50)),301,50))),0),IFERROR(DATEVALUE(TRIM(MID(SUBSTITUTE(I49,";",REPT(" ",50)),351,50))),0),IFERROR(DATEVALUE(TRIM(MID(SUBSTITUTE(I49,";",REPT(" ",50)),401,50))),0),IFERROR(DATEVALUE(TRIM(MID(SUBSTITUTE(I49,";",REPT(" ",50)),451,50))),0)))</f>
        <v>45923</v>
      </c>
      <c r="L49" s="24">
        <f ca="1">IF(K49="","",TODAY()-K49)</f>
        <v>89</v>
      </c>
      <c r="M49" t="s">
        <v>300</v>
      </c>
      <c r="N49">
        <f ca="1">IF(M49="","",IF(L49="",INDEX($F$59:$F$62,MATCH(M49,$C$59:$C$62,0)),IF(L49&lt;=INDEX($D$59:$D$62,MATCH(M49,$C$59:$C$62,0)),0,IF(L49&lt;=INDEX($E$59:$E$62,MATCH(M49,$C$59:$C$62,0)),INDEX($F$59:$F$62,MATCH(M49,$C$59:$C$62,0)),INDEX($G$59:$G$62,MATCH(M49,$C$59:$C$62,0))))))</f>
        <v>0</v>
      </c>
      <c r="O49">
        <f ca="1">G49+N49</f>
        <v>0</v>
      </c>
      <c r="P49" t="s">
        <v>168</v>
      </c>
      <c r="Q49" t="s">
        <v>340</v>
      </c>
      <c r="R49" t="s">
        <v>710</v>
      </c>
    </row>
    <row r="50" spans="1:18" x14ac:dyDescent="0.2">
      <c r="A50" s="3"/>
      <c r="B50" s="48"/>
      <c r="C50" s="49"/>
      <c r="D50" s="49"/>
      <c r="E50" s="49"/>
      <c r="F50" s="49"/>
      <c r="G50" s="49"/>
      <c r="H50" s="49"/>
      <c r="I50" s="49"/>
      <c r="J50" s="49"/>
      <c r="K50" s="50"/>
      <c r="L50" s="50"/>
      <c r="M50" s="49"/>
      <c r="N50" s="49"/>
      <c r="O50" s="49"/>
      <c r="P50" s="49"/>
      <c r="Q50" s="49"/>
      <c r="R50" s="49"/>
    </row>
    <row r="51" spans="1:18" x14ac:dyDescent="0.2">
      <c r="A51" t="s">
        <v>492</v>
      </c>
      <c r="B51" t="s">
        <v>711</v>
      </c>
      <c r="C51" t="s">
        <v>163</v>
      </c>
      <c r="D51" t="s">
        <v>182</v>
      </c>
      <c r="E51">
        <f>IF(C51="","",IF(C51="Low",0,IF(C51="Moderate",10,IF(C51="High",20,IF(C51="Unknown",10,"")))))</f>
        <v>20</v>
      </c>
      <c r="F51">
        <f>IF(D51="High",0,IF(D51="Medium",0.05,IF(D51="Low",0.1,IF(D51="Unknown",0.15,""))))</f>
        <v>0.05</v>
      </c>
      <c r="G51">
        <f>E51*(1+F51)</f>
        <v>21</v>
      </c>
      <c r="H51" t="s">
        <v>712</v>
      </c>
      <c r="I51" t="s">
        <v>713</v>
      </c>
      <c r="J51" t="s">
        <v>166</v>
      </c>
      <c r="K51" s="24">
        <f>IF(I51="","",MAX(IFERROR(DATEVALUE(TRIM(MID(SUBSTITUTE(I51,";",REPT(" ",50)),1,50))),0),IFERROR(DATEVALUE(TRIM(MID(SUBSTITUTE(I51,";",REPT(" ",50)),51,50))),0),IFERROR(DATEVALUE(TRIM(MID(SUBSTITUTE(I51,";",REPT(" ",50)),101,50))),0),IFERROR(DATEVALUE(TRIM(MID(SUBSTITUTE(I51,";",REPT(" ",50)),151,50))),0),IFERROR(DATEVALUE(TRIM(MID(SUBSTITUTE(I51,";",REPT(" ",50)),201,50))),0),IFERROR(DATEVALUE(TRIM(MID(SUBSTITUTE(I51,";",REPT(" ",50)),251,50))),0),IFERROR(DATEVALUE(TRIM(MID(SUBSTITUTE(I51,";",REPT(" ",50)),301,50))),0),IFERROR(DATEVALUE(TRIM(MID(SUBSTITUTE(I51,";",REPT(" ",50)),351,50))),0),IFERROR(DATEVALUE(TRIM(MID(SUBSTITUTE(I51,";",REPT(" ",50)),401,50))),0),IFERROR(DATEVALUE(TRIM(MID(SUBSTITUTE(I51,";",REPT(" ",50)),451,50))),0)))</f>
        <v>45915</v>
      </c>
      <c r="L51" s="24">
        <f ca="1">IF(K51="","",TODAY()-K51)</f>
        <v>97</v>
      </c>
      <c r="M51" t="s">
        <v>185</v>
      </c>
      <c r="N51">
        <f ca="1">IF(M51="","",IF(L51="",INDEX($F$59:$F$62,MATCH(M51,$C$59:$C$62,0)),IF(L51&lt;=INDEX($D$59:$D$62,MATCH(M51,$C$59:$C$62,0)),0,IF(L51&lt;=INDEX($E$59:$E$62,MATCH(M51,$C$59:$C$62,0)),INDEX($F$59:$F$62,MATCH(M51,$C$59:$C$62,0)),INDEX($G$59:$G$62,MATCH(M51,$C$59:$C$62,0))))))</f>
        <v>0</v>
      </c>
      <c r="O51">
        <f ca="1">G51+N51</f>
        <v>21</v>
      </c>
      <c r="P51" t="str">
        <f>IF(C51="High","Review Required","No Review")</f>
        <v>Review Required</v>
      </c>
      <c r="Q51" t="s">
        <v>714</v>
      </c>
      <c r="R51" t="s">
        <v>715</v>
      </c>
    </row>
    <row r="52" spans="1:18" x14ac:dyDescent="0.2">
      <c r="A52" t="s">
        <v>507</v>
      </c>
      <c r="B52" t="s">
        <v>716</v>
      </c>
      <c r="C52" t="s">
        <v>717</v>
      </c>
      <c r="D52" t="s">
        <v>163</v>
      </c>
      <c r="E52">
        <v>0</v>
      </c>
      <c r="F52">
        <f>IF(D52="High",0,IF(D52="Medium",0.05,IF(D52="Low",0.1,IF(D52="Unknown",0.15,""))))</f>
        <v>0</v>
      </c>
      <c r="G52">
        <f>E52*(1+F52)</f>
        <v>0</v>
      </c>
      <c r="H52" t="s">
        <v>718</v>
      </c>
      <c r="I52" t="s">
        <v>719</v>
      </c>
      <c r="J52" t="s">
        <v>166</v>
      </c>
      <c r="K52" s="24">
        <f>IF(I52="","",MAX(IFERROR(DATEVALUE(TRIM(MID(SUBSTITUTE(I52,";",REPT(" ",50)),1,50))),0),IFERROR(DATEVALUE(TRIM(MID(SUBSTITUTE(I52,";",REPT(" ",50)),51,50))),0),IFERROR(DATEVALUE(TRIM(MID(SUBSTITUTE(I52,";",REPT(" ",50)),101,50))),0),IFERROR(DATEVALUE(TRIM(MID(SUBSTITUTE(I52,";",REPT(" ",50)),151,50))),0),IFERROR(DATEVALUE(TRIM(MID(SUBSTITUTE(I52,";",REPT(" ",50)),201,50))),0),IFERROR(DATEVALUE(TRIM(MID(SUBSTITUTE(I52,";",REPT(" ",50)),251,50))),0),IFERROR(DATEVALUE(TRIM(MID(SUBSTITUTE(I52,";",REPT(" ",50)),301,50))),0),IFERROR(DATEVALUE(TRIM(MID(SUBSTITUTE(I52,";",REPT(" ",50)),351,50))),0),IFERROR(DATEVALUE(TRIM(MID(SUBSTITUTE(I52,";",REPT(" ",50)),401,50))),0),IFERROR(DATEVALUE(TRIM(MID(SUBSTITUTE(I52,";",REPT(" ",50)),451,50))),0)))</f>
        <v>45902</v>
      </c>
      <c r="L52" s="24">
        <f ca="1">IF(K52="","",TODAY()-K52)</f>
        <v>110</v>
      </c>
      <c r="M52" t="s">
        <v>300</v>
      </c>
      <c r="N52">
        <f ca="1">IF(M52="","",IF(L52="",INDEX($F$59:$F$62,MATCH(M52,$C$59:$C$62,0)),IF(L52&lt;=INDEX($D$59:$D$62,MATCH(M52,$C$59:$C$62,0)),0,IF(L52&lt;=INDEX($E$59:$E$62,MATCH(M52,$C$59:$C$62,0)),INDEX($F$59:$F$62,MATCH(M52,$C$59:$C$62,0)),INDEX($G$59:$G$62,MATCH(M52,$C$59:$C$62,0))))))</f>
        <v>0</v>
      </c>
      <c r="O52">
        <f ca="1">G52+N52</f>
        <v>0</v>
      </c>
      <c r="P52" t="s">
        <v>168</v>
      </c>
      <c r="Q52" t="s">
        <v>340</v>
      </c>
      <c r="R52" t="s">
        <v>720</v>
      </c>
    </row>
    <row r="57" spans="1:18" x14ac:dyDescent="0.2">
      <c r="C57" s="55" t="s">
        <v>533</v>
      </c>
      <c r="D57" s="41"/>
      <c r="E57" s="41"/>
      <c r="F57" s="41"/>
      <c r="G57" s="42"/>
    </row>
    <row r="58" spans="1:18" x14ac:dyDescent="0.2">
      <c r="C58" s="30" t="s">
        <v>152</v>
      </c>
      <c r="D58" s="30" t="s">
        <v>534</v>
      </c>
      <c r="E58" s="30" t="s">
        <v>535</v>
      </c>
      <c r="F58" s="30" t="s">
        <v>536</v>
      </c>
      <c r="G58" s="28" t="s">
        <v>537</v>
      </c>
    </row>
    <row r="59" spans="1:18" x14ac:dyDescent="0.2">
      <c r="C59" s="7" t="s">
        <v>275</v>
      </c>
      <c r="D59" s="27">
        <v>90</v>
      </c>
      <c r="E59" s="27">
        <v>180</v>
      </c>
      <c r="F59" s="27">
        <v>5</v>
      </c>
      <c r="G59" s="29">
        <v>10</v>
      </c>
    </row>
    <row r="60" spans="1:18" x14ac:dyDescent="0.2">
      <c r="C60" s="8" t="s">
        <v>185</v>
      </c>
      <c r="D60">
        <v>180</v>
      </c>
      <c r="E60">
        <v>365</v>
      </c>
      <c r="F60">
        <v>3</v>
      </c>
      <c r="G60" s="14">
        <v>6</v>
      </c>
    </row>
    <row r="61" spans="1:18" x14ac:dyDescent="0.2">
      <c r="C61" s="8" t="s">
        <v>300</v>
      </c>
      <c r="D61">
        <v>365</v>
      </c>
      <c r="E61">
        <v>730</v>
      </c>
      <c r="F61">
        <v>2</v>
      </c>
      <c r="G61" s="14">
        <v>4</v>
      </c>
    </row>
    <row r="62" spans="1:18" x14ac:dyDescent="0.2">
      <c r="C62" s="9" t="s">
        <v>167</v>
      </c>
      <c r="D62" s="16">
        <v>9999</v>
      </c>
      <c r="E62" s="16">
        <v>9999</v>
      </c>
      <c r="F62" s="16">
        <v>0</v>
      </c>
      <c r="G62" s="17">
        <v>0</v>
      </c>
    </row>
    <row r="66" spans="3:5" ht="16" customHeight="1" thickBot="1" x14ac:dyDescent="0.25"/>
    <row r="67" spans="3:5" ht="16" customHeight="1" thickBot="1" x14ac:dyDescent="0.25">
      <c r="C67" s="52" t="s">
        <v>538</v>
      </c>
      <c r="D67" s="53"/>
      <c r="E67" s="54"/>
    </row>
    <row r="68" spans="3:5" x14ac:dyDescent="0.2">
      <c r="C68" s="44" t="s">
        <v>539</v>
      </c>
      <c r="D68" s="45"/>
      <c r="E68" s="8">
        <f ca="1">IF(COUNTIFS($A$4:$A$52,"A*",$C$4:$C$52,"&lt;&gt;")=0,"",AVERAGEIFS($O$4:$O$52,$A$4:$A$52,"A*",$C$4:$C$52,"&lt;&gt;"))</f>
        <v>10.8</v>
      </c>
    </row>
    <row r="69" spans="3:5" x14ac:dyDescent="0.2">
      <c r="C69" s="44" t="s">
        <v>540</v>
      </c>
      <c r="D69" s="45"/>
      <c r="E69" s="8">
        <f ca="1">IF(COUNTIFS($A$4:$A$52,"B*",$C$4:$C$52,"&lt;&gt;")=0,"",AVERAGEIFS($O$4:$O$52,$A$4:$A$52,"B*",$C$4:$C$52,"&lt;&gt;"))</f>
        <v>5.8571428571428568</v>
      </c>
    </row>
    <row r="70" spans="3:5" x14ac:dyDescent="0.2">
      <c r="C70" s="44" t="s">
        <v>541</v>
      </c>
      <c r="D70" s="45"/>
      <c r="E70" s="8">
        <f ca="1">IF(COUNTIFS($A$4:$A$52,"C*",$C$4:$C$52,"&lt;&gt;")=0,"",AVERAGEIFS($O$4:$O$52,$A$4:$A$52,"C*",$C$4:$C$52,"&lt;&gt;"))</f>
        <v>11.8125</v>
      </c>
    </row>
    <row r="71" spans="3:5" x14ac:dyDescent="0.2">
      <c r="C71" s="44" t="s">
        <v>542</v>
      </c>
      <c r="D71" s="45"/>
      <c r="E71" s="8">
        <f ca="1">IF(COUNTIFS($A$4:$A$52,"D*",$C$4:$C$52,"&lt;&gt;")=0,"",AVERAGEIFS($O$4:$O$52,$A$4:$A$52,"D*",$C$4:$C$52,"&lt;&gt;"))</f>
        <v>3.8125</v>
      </c>
    </row>
    <row r="72" spans="3:5" x14ac:dyDescent="0.2">
      <c r="C72" s="44" t="s">
        <v>543</v>
      </c>
      <c r="D72" s="45"/>
      <c r="E72" s="8">
        <f ca="1">IF(COUNTIFS($A$4:$A$52,"E*",$C$4:$C$52,"&lt;&gt;")=0,"",AVERAGEIFS($O$4:$O$52,$A$4:$A$52,"E*",$C$4:$C$52,"&lt;&gt;"))</f>
        <v>1.9090909090909092</v>
      </c>
    </row>
    <row r="73" spans="3:5" x14ac:dyDescent="0.2">
      <c r="C73" s="44" t="s">
        <v>544</v>
      </c>
      <c r="D73" s="45"/>
      <c r="E73" s="8">
        <f ca="1">IF(COUNTIF($C$4:$C$52,"&lt;&gt;")=0,"",AVERAGEIFS($O$4:$O$52,$C$4:$C$52,"&lt;&gt;"))</f>
        <v>6.1794871794871797</v>
      </c>
    </row>
    <row r="74" spans="3:5" x14ac:dyDescent="0.2">
      <c r="C74" s="44" t="s">
        <v>545</v>
      </c>
      <c r="D74" s="45"/>
      <c r="E74" s="8" t="str">
        <f ca="1">IF(E73="","",IF(E73&lt;3,"Very Low",IF(E73&lt;6,"Low",IF(E73&lt;9,"Medium",IF(E73&lt;12,"Medium-High","High")))))</f>
        <v>Medium</v>
      </c>
    </row>
    <row r="75" spans="3:5" x14ac:dyDescent="0.2">
      <c r="C75" s="46" t="s">
        <v>546</v>
      </c>
      <c r="D75" s="47"/>
      <c r="E75" s="9" t="str">
        <f ca="1">IF(COUNT($E$68:$E$72)=0,"",IF($E$68=MIN($E$68:$E$72),"A",IF($E$69=MIN($E$68:$E$72),"B",IF($E$70=MIN($E$68:$E$72),"C",IF($E$71=MIN($E$68:$E$72),"D","E")))))</f>
        <v>E</v>
      </c>
    </row>
  </sheetData>
  <mergeCells count="17">
    <mergeCell ref="B3:R3"/>
    <mergeCell ref="C57:G57"/>
    <mergeCell ref="C75:D75"/>
    <mergeCell ref="B10:R10"/>
    <mergeCell ref="C74:D74"/>
    <mergeCell ref="C70:D70"/>
    <mergeCell ref="C67:E67"/>
    <mergeCell ref="B45:R45"/>
    <mergeCell ref="C69:D69"/>
    <mergeCell ref="C73:D73"/>
    <mergeCell ref="B50:R50"/>
    <mergeCell ref="B19:D19"/>
    <mergeCell ref="C68:D68"/>
    <mergeCell ref="C72:D72"/>
    <mergeCell ref="B29:R29"/>
    <mergeCell ref="B39:R39"/>
    <mergeCell ref="C71:D71"/>
  </mergeCells>
  <conditionalFormatting sqref="O3:O60">
    <cfRule type="colorScale" priority="3">
      <colorScale>
        <cfvo type="num" val="0"/>
        <cfvo type="percentile" val="50"/>
        <cfvo type="num" val="25"/>
        <color rgb="FF73FB79"/>
        <color rgb="FFFFFD78"/>
        <color rgb="FFFF2600"/>
      </colorScale>
    </cfRule>
  </conditionalFormatting>
  <conditionalFormatting sqref="P4:P52">
    <cfRule type="cellIs" dxfId="21" priority="8" stopIfTrue="1" operator="equal">
      <formula>"No Review"</formula>
    </cfRule>
    <cfRule type="cellIs" dxfId="20" priority="9" operator="equal">
      <formula>"Review Required"</formula>
    </cfRule>
  </conditionalFormatting>
  <dataValidations count="1">
    <dataValidation type="list" showInputMessage="1" showErrorMessage="1" sqref="M3:M8 M10:M17 M19:M27 M30:M37 M39:M52" xr:uid="{00000000-0002-0000-0200-000000000000}">
      <formula1>"Critical–Fast,Operational–Medium,Background–Slow,Evergreen–No Penalty"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26" workbookViewId="0">
      <selection activeCell="K4" sqref="K4"/>
    </sheetView>
  </sheetViews>
  <sheetFormatPr baseColWidth="10" defaultColWidth="8.83203125" defaultRowHeight="15" x14ac:dyDescent="0.2"/>
  <cols>
    <col min="1" max="1" width="13" customWidth="1"/>
    <col min="2" max="2" width="235.5" customWidth="1"/>
    <col min="3" max="5" width="14.1640625" customWidth="1"/>
    <col min="6" max="6" width="17.5" customWidth="1"/>
    <col min="7" max="7" width="23.83203125" customWidth="1"/>
    <col min="8" max="10" width="14.1640625" customWidth="1"/>
    <col min="11" max="11" width="24" style="24" customWidth="1"/>
    <col min="12" max="12" width="18.33203125" customWidth="1"/>
    <col min="13" max="13" width="17.83203125" customWidth="1"/>
    <col min="14" max="14" width="16.33203125" customWidth="1"/>
    <col min="15" max="15" width="14.1640625" customWidth="1"/>
    <col min="16" max="16" width="18.5" customWidth="1"/>
    <col min="17" max="17" width="95.6640625" customWidth="1"/>
    <col min="18" max="18" width="66.6640625" customWidth="1"/>
    <col min="20" max="23" width="17.6640625"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1" t="s">
        <v>151</v>
      </c>
      <c r="M1" s="1" t="s">
        <v>152</v>
      </c>
      <c r="N1" s="1" t="s">
        <v>153</v>
      </c>
      <c r="O1" s="1" t="s">
        <v>154</v>
      </c>
      <c r="P1" s="1" t="s">
        <v>155</v>
      </c>
      <c r="Q1" s="1" t="s">
        <v>156</v>
      </c>
      <c r="R1" s="1" t="s">
        <v>157</v>
      </c>
      <c r="S1" t="s">
        <v>158</v>
      </c>
    </row>
    <row r="2" spans="1:19" x14ac:dyDescent="0.2">
      <c r="A2" s="4"/>
      <c r="B2" s="5" t="s">
        <v>721</v>
      </c>
      <c r="C2" s="4"/>
      <c r="D2" s="4"/>
      <c r="E2" s="4"/>
      <c r="F2" s="4"/>
      <c r="G2" s="4"/>
      <c r="H2" s="4"/>
      <c r="I2" s="4"/>
      <c r="J2" s="4"/>
      <c r="K2" s="23"/>
      <c r="L2" s="4"/>
      <c r="M2" s="4"/>
      <c r="N2" s="4"/>
      <c r="O2" s="4"/>
      <c r="P2" s="4"/>
      <c r="Q2" s="4"/>
      <c r="R2" s="4"/>
    </row>
    <row r="3" spans="1:19" x14ac:dyDescent="0.2">
      <c r="A3" s="3"/>
      <c r="B3" s="48"/>
      <c r="C3" s="49"/>
      <c r="D3" s="49"/>
      <c r="E3" s="49"/>
      <c r="F3" s="49"/>
      <c r="G3" s="49"/>
      <c r="H3" s="49"/>
      <c r="I3" s="49"/>
      <c r="J3" s="49"/>
      <c r="K3" s="50"/>
      <c r="L3" s="49"/>
      <c r="M3" s="49"/>
      <c r="N3" s="49"/>
      <c r="O3" s="49"/>
      <c r="P3" s="49"/>
      <c r="Q3" s="49"/>
      <c r="R3" s="49"/>
    </row>
    <row r="4" spans="1:19" x14ac:dyDescent="0.2">
      <c r="A4" t="s">
        <v>160</v>
      </c>
      <c r="B4" t="s">
        <v>722</v>
      </c>
      <c r="C4" t="s">
        <v>723</v>
      </c>
      <c r="D4" t="s">
        <v>163</v>
      </c>
      <c r="E4">
        <f>IF(C4="Transparent",0,IF(C4="Optional privacy",10,IF(C4="Native privacy coin",20,IF(C4="Unknown",10,""))))</f>
        <v>0</v>
      </c>
      <c r="F4">
        <f>IF(D4="High",0,IF(D4="Medium",0.05,IF(D4="Low",0.1,IF(D4="Unknown",0.15,""))))</f>
        <v>0</v>
      </c>
      <c r="G4">
        <f>E4*(1+F4)</f>
        <v>0</v>
      </c>
      <c r="H4" t="s">
        <v>724</v>
      </c>
      <c r="I4" t="s">
        <v>725</v>
      </c>
      <c r="J4" t="s">
        <v>176</v>
      </c>
      <c r="K4" s="24">
        <f>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45931</v>
      </c>
      <c r="L4">
        <f ca="1">IF(K4="","",TODAY()-K4)</f>
        <v>81</v>
      </c>
      <c r="M4" t="s">
        <v>167</v>
      </c>
      <c r="N4">
        <f ca="1">IF(M4="","",IF(L4="",INDEX($F$63:$F$66,MATCH(M4,$C$63:$C$66,0)),IF(L4&lt;=INDEX($D$63:$D$66,MATCH(M4,$C$63:$C$66,0)),0,IF(L4&lt;=INDEX($E$63:$E$66,MATCH(M4,$C$63:$C$66,0)),INDEX($F$63:$F$66,MATCH(M4,$C$63:$C$66,0)),INDEX($G$63:$G$66,MATCH(M4,$C$63:$C$66,0))))))</f>
        <v>0</v>
      </c>
      <c r="O4">
        <f ca="1">G4+N4</f>
        <v>0</v>
      </c>
      <c r="P4" t="str">
        <f>IF(C4="Native privacy coin","Review Required","No Review")</f>
        <v>No Review</v>
      </c>
      <c r="Q4" t="s">
        <v>726</v>
      </c>
      <c r="R4" t="s">
        <v>727</v>
      </c>
    </row>
    <row r="5" spans="1:19" x14ac:dyDescent="0.2">
      <c r="A5" t="s">
        <v>171</v>
      </c>
      <c r="B5" t="s">
        <v>728</v>
      </c>
      <c r="C5" t="s">
        <v>729</v>
      </c>
      <c r="D5" t="s">
        <v>217</v>
      </c>
      <c r="E5">
        <f>IF(C5="None",0,IF(C5="Limited",10,IF(C5="Structural",20,IF(C5="Unknown",10,""))))</f>
        <v>0</v>
      </c>
      <c r="F5">
        <f>IF(D5="High",0,IF(D5="Medium",0.05,IF(D5="Low",0.1,IF(D5="Unknown",0.15,""))))</f>
        <v>0.1</v>
      </c>
      <c r="G5">
        <f>E5*(1+F5)</f>
        <v>0</v>
      </c>
      <c r="K5" s="24" t="str">
        <f>IF(I5="","",MAX(IFERROR(DATEVALUE(TRIM(MID(SUBSTITUTE(I5,";",REPT(" ",50)),1,50))),0),IFERROR(DATEVALUE(TRIM(MID(SUBSTITUTE(I5,";",REPT(" ",50)),51,50))),0),IFERROR(DATEVALUE(TRIM(MID(SUBSTITUTE(I5,";",REPT(" ",50)),101,50))),0),IFERROR(DATEVALUE(TRIM(MID(SUBSTITUTE(I5,";",REPT(" ",50)),151,50))),0),IFERROR(DATEVALUE(TRIM(MID(SUBSTITUTE(I5,";",REPT(" ",50)),201,50))),0),IFERROR(DATEVALUE(TRIM(MID(SUBSTITUTE(I5,";",REPT(" ",50)),251,50))),0),IFERROR(DATEVALUE(TRIM(MID(SUBSTITUTE(I5,";",REPT(" ",50)),301,50))),0),IFERROR(DATEVALUE(TRIM(MID(SUBSTITUTE(I5,";",REPT(" ",50)),351,50))),0),IFERROR(DATEVALUE(TRIM(MID(SUBSTITUTE(I5,";",REPT(" ",50)),401,50))),0),IFERROR(DATEVALUE(TRIM(MID(SUBSTITUTE(I5,";",REPT(" ",50)),451,50))),0)))</f>
        <v/>
      </c>
      <c r="L5" t="str">
        <f ca="1">IF(K5="","",TODAY()-K5)</f>
        <v/>
      </c>
      <c r="M5" t="s">
        <v>167</v>
      </c>
      <c r="N5">
        <f ca="1">IF(M5="","",IF(L5="",INDEX($F$63:$F$66,MATCH(M5,$C$63:$C$66,0)),IF(L5&lt;=INDEX($D$63:$D$66,MATCH(M5,$C$63:$C$66,0)),0,IF(L5&lt;=INDEX($E$63:$E$66,MATCH(M5,$C$63:$C$66,0)),INDEX($F$63:$F$66,MATCH(M5,$C$63:$C$66,0)),INDEX($G$63:$G$66,MATCH(M5,$C$63:$C$66,0))))))</f>
        <v>0</v>
      </c>
      <c r="O5">
        <f ca="1">G5+N5</f>
        <v>0</v>
      </c>
      <c r="P5" t="str">
        <f>IF(C5="Structural","Review Required","No Review")</f>
        <v>No Review</v>
      </c>
      <c r="Q5" t="s">
        <v>730</v>
      </c>
      <c r="R5" t="s">
        <v>731</v>
      </c>
    </row>
    <row r="6" spans="1:19" x14ac:dyDescent="0.2">
      <c r="A6" t="s">
        <v>179</v>
      </c>
      <c r="B6" t="s">
        <v>732</v>
      </c>
      <c r="C6" t="s">
        <v>733</v>
      </c>
      <c r="D6" t="s">
        <v>163</v>
      </c>
      <c r="E6">
        <f>IF(C6="Full coverage",0,IF(C6="Partial coverage",10,IF(C6="Low coverage",20,IF(C6="Unknown",10,""))))</f>
        <v>0</v>
      </c>
      <c r="F6">
        <f>IF(D6="High",0,IF(D6="Medium",0.05,IF(D6="Low",0.1,IF(D6="Unknown",0.15,""))))</f>
        <v>0</v>
      </c>
      <c r="G6">
        <f>E6*(1+F6)</f>
        <v>0</v>
      </c>
      <c r="H6" t="s">
        <v>734</v>
      </c>
      <c r="J6" t="s">
        <v>176</v>
      </c>
      <c r="K6" s="24" t="str">
        <f>IF(I6="","",MAX(IFERROR(DATEVALUE(TRIM(MID(SUBSTITUTE(I6,";",REPT(" ",50)),1,50))),0),IFERROR(DATEVALUE(TRIM(MID(SUBSTITUTE(I6,";",REPT(" ",50)),51,50))),0),IFERROR(DATEVALUE(TRIM(MID(SUBSTITUTE(I6,";",REPT(" ",50)),101,50))),0),IFERROR(DATEVALUE(TRIM(MID(SUBSTITUTE(I6,";",REPT(" ",50)),151,50))),0),IFERROR(DATEVALUE(TRIM(MID(SUBSTITUTE(I6,";",REPT(" ",50)),201,50))),0),IFERROR(DATEVALUE(TRIM(MID(SUBSTITUTE(I6,";",REPT(" ",50)),251,50))),0),IFERROR(DATEVALUE(TRIM(MID(SUBSTITUTE(I6,";",REPT(" ",50)),301,50))),0),IFERROR(DATEVALUE(TRIM(MID(SUBSTITUTE(I6,";",REPT(" ",50)),351,50))),0),IFERROR(DATEVALUE(TRIM(MID(SUBSTITUTE(I6,";",REPT(" ",50)),401,50))),0),IFERROR(DATEVALUE(TRIM(MID(SUBSTITUTE(I6,";",REPT(" ",50)),451,50))),0)))</f>
        <v/>
      </c>
      <c r="L6" t="str">
        <f ca="1">IF(K6="","",TODAY()-K6)</f>
        <v/>
      </c>
      <c r="M6" t="s">
        <v>185</v>
      </c>
      <c r="N6">
        <f ca="1">IF(M6="","",IF(L6="",INDEX($F$63:$F$66,MATCH(M6,$C$63:$C$66,0)),IF(L6&lt;=INDEX($D$63:$D$66,MATCH(M6,$C$63:$C$66,0)),0,IF(L6&lt;=INDEX($E$63:$E$66,MATCH(M6,$C$63:$C$66,0)),INDEX($F$63:$F$66,MATCH(M6,$C$63:$C$66,0)),INDEX($G$63:$G$66,MATCH(M6,$C$63:$C$66,0))))))</f>
        <v>3</v>
      </c>
      <c r="O6">
        <f ca="1">G6+N6</f>
        <v>3</v>
      </c>
      <c r="P6" t="s">
        <v>168</v>
      </c>
      <c r="R6" t="s">
        <v>735</v>
      </c>
    </row>
    <row r="7" spans="1:19" x14ac:dyDescent="0.2">
      <c r="A7" t="s">
        <v>202</v>
      </c>
      <c r="B7" t="s">
        <v>736</v>
      </c>
      <c r="C7" t="s">
        <v>737</v>
      </c>
      <c r="D7" t="s">
        <v>163</v>
      </c>
      <c r="E7">
        <v>0</v>
      </c>
      <c r="F7">
        <f>IF(D7="High",0,IF(D7="Medium",0.05,IF(D7="Low",0.1,IF(D7="Unknown",0.15,""))))</f>
        <v>0</v>
      </c>
      <c r="G7">
        <f>E7*(1+F7)</f>
        <v>0</v>
      </c>
      <c r="H7" t="s">
        <v>738</v>
      </c>
      <c r="J7" t="s">
        <v>166</v>
      </c>
      <c r="K7" s="24" t="str">
        <f>IF(I7="","",MAX(IFERROR(DATEVALUE(TRIM(MID(SUBSTITUTE(I7,";",REPT(" ",50)),1,50))),0),IFERROR(DATEVALUE(TRIM(MID(SUBSTITUTE(I7,";",REPT(" ",50)),51,50))),0),IFERROR(DATEVALUE(TRIM(MID(SUBSTITUTE(I7,";",REPT(" ",50)),101,50))),0),IFERROR(DATEVALUE(TRIM(MID(SUBSTITUTE(I7,";",REPT(" ",50)),151,50))),0),IFERROR(DATEVALUE(TRIM(MID(SUBSTITUTE(I7,";",REPT(" ",50)),201,50))),0),IFERROR(DATEVALUE(TRIM(MID(SUBSTITUTE(I7,";",REPT(" ",50)),251,50))),0),IFERROR(DATEVALUE(TRIM(MID(SUBSTITUTE(I7,";",REPT(" ",50)),301,50))),0),IFERROR(DATEVALUE(TRIM(MID(SUBSTITUTE(I7,";",REPT(" ",50)),351,50))),0),IFERROR(DATEVALUE(TRIM(MID(SUBSTITUTE(I7,";",REPT(" ",50)),401,50))),0),IFERROR(DATEVALUE(TRIM(MID(SUBSTITUTE(I7,";",REPT(" ",50)),451,50))),0)))</f>
        <v/>
      </c>
      <c r="L7" t="str">
        <f ca="1">IF(K7="","",TODAY()-K7)</f>
        <v/>
      </c>
      <c r="M7" t="s">
        <v>300</v>
      </c>
      <c r="N7">
        <f ca="1">IF(M7="","",IF(L7="",INDEX($F$63:$F$66,MATCH(M7,$C$63:$C$66,0)),IF(L7&lt;=INDEX($D$63:$D$66,MATCH(M7,$C$63:$C$66,0)),0,IF(L7&lt;=INDEX($E$63:$E$66,MATCH(M7,$C$63:$C$66,0)),INDEX($F$63:$F$66,MATCH(M7,$C$63:$C$66,0)),INDEX($G$63:$G$66,MATCH(M7,$C$63:$C$66,0))))))</f>
        <v>2</v>
      </c>
      <c r="O7">
        <f ca="1">G7+N7</f>
        <v>2</v>
      </c>
      <c r="P7" t="s">
        <v>168</v>
      </c>
      <c r="Q7" t="s">
        <v>429</v>
      </c>
      <c r="R7" t="s">
        <v>739</v>
      </c>
    </row>
    <row r="8" spans="1:19" x14ac:dyDescent="0.2">
      <c r="A8" s="3"/>
      <c r="B8" s="48"/>
      <c r="C8" s="49"/>
      <c r="D8" s="49"/>
      <c r="E8" s="49"/>
      <c r="F8" s="49"/>
      <c r="G8" s="49"/>
      <c r="H8" s="49"/>
      <c r="I8" s="49"/>
      <c r="J8" s="49"/>
      <c r="K8" s="50"/>
      <c r="L8" s="49"/>
      <c r="M8" s="49"/>
      <c r="N8" s="49"/>
      <c r="O8" s="49"/>
      <c r="P8" s="49"/>
      <c r="Q8" s="49"/>
      <c r="R8" s="49"/>
    </row>
    <row r="9" spans="1:19" x14ac:dyDescent="0.2">
      <c r="A9" t="s">
        <v>209</v>
      </c>
      <c r="B9" t="s">
        <v>740</v>
      </c>
      <c r="C9" t="s">
        <v>263</v>
      </c>
      <c r="D9" t="s">
        <v>217</v>
      </c>
      <c r="E9">
        <f>IF(C9="On-chain dominant",0,IF(C9="Mixed",10,IF(C9="Off-chain/opaque dominant",20,IF(C9="Unknown",10,""))))</f>
        <v>10</v>
      </c>
      <c r="F9">
        <f>IF(D9="High",0,IF(D9="Medium",0.05,IF(D9="Low",0.1,IF(D9="Unknown",0.15,""))))</f>
        <v>0.1</v>
      </c>
      <c r="G9">
        <f>E9*(1+F9)</f>
        <v>11</v>
      </c>
      <c r="K9" s="24" t="str">
        <f>IF(I9="","",MAX(IFERROR(DATEVALUE(TRIM(MID(SUBSTITUTE(I9,";",REPT(" ",50)),1,50))),0),IFERROR(DATEVALUE(TRIM(MID(SUBSTITUTE(I9,";",REPT(" ",50)),51,50))),0),IFERROR(DATEVALUE(TRIM(MID(SUBSTITUTE(I9,";",REPT(" ",50)),101,50))),0),IFERROR(DATEVALUE(TRIM(MID(SUBSTITUTE(I9,";",REPT(" ",50)),151,50))),0),IFERROR(DATEVALUE(TRIM(MID(SUBSTITUTE(I9,";",REPT(" ",50)),201,50))),0),IFERROR(DATEVALUE(TRIM(MID(SUBSTITUTE(I9,";",REPT(" ",50)),251,50))),0),IFERROR(DATEVALUE(TRIM(MID(SUBSTITUTE(I9,";",REPT(" ",50)),301,50))),0),IFERROR(DATEVALUE(TRIM(MID(SUBSTITUTE(I9,";",REPT(" ",50)),351,50))),0),IFERROR(DATEVALUE(TRIM(MID(SUBSTITUTE(I9,";",REPT(" ",50)),401,50))),0),IFERROR(DATEVALUE(TRIM(MID(SUBSTITUTE(I9,";",REPT(" ",50)),451,50))),0)))</f>
        <v/>
      </c>
      <c r="L9" t="str">
        <f ca="1">IF(K9="","",TODAY()-K9)</f>
        <v/>
      </c>
      <c r="M9" t="s">
        <v>185</v>
      </c>
      <c r="N9">
        <f ca="1">IF(M9="","",IF(L9="",INDEX($F$63:$F$66,MATCH(M9,$C$63:$C$66,0)),IF(L9&lt;=INDEX($D$63:$D$66,MATCH(M9,$C$63:$C$66,0)),0,IF(L9&lt;=INDEX($E$63:$E$66,MATCH(M9,$C$63:$C$66,0)),INDEX($F$63:$F$66,MATCH(M9,$C$63:$C$66,0)),INDEX($G$63:$G$66,MATCH(M9,$C$63:$C$66,0))))))</f>
        <v>3</v>
      </c>
      <c r="O9">
        <f ca="1">G9+N9</f>
        <v>14</v>
      </c>
      <c r="P9" t="s">
        <v>168</v>
      </c>
      <c r="Q9" t="s">
        <v>741</v>
      </c>
      <c r="R9" t="s">
        <v>742</v>
      </c>
    </row>
    <row r="10" spans="1:19" x14ac:dyDescent="0.2">
      <c r="A10" t="s">
        <v>214</v>
      </c>
      <c r="B10" t="s">
        <v>743</v>
      </c>
      <c r="C10" t="s">
        <v>263</v>
      </c>
      <c r="D10" t="s">
        <v>217</v>
      </c>
      <c r="E10">
        <f>IF(C10="Rare",0,IF(C10="Occasional",10,IF(C10="Frequent/structural",20,IF(C10="Unknown",10,""))))</f>
        <v>10</v>
      </c>
      <c r="F10">
        <f>IF(D10="High",0,IF(D10="Medium",0.05,IF(D10="Low",0.1,IF(D10="Unknown",0.15,""))))</f>
        <v>0.1</v>
      </c>
      <c r="G10">
        <f>E10*(1+F10)</f>
        <v>11</v>
      </c>
      <c r="K10" s="24" t="str">
        <f>IF(I10="","",MAX(IFERROR(DATEVALUE(TRIM(MID(SUBSTITUTE(I10,";",REPT(" ",50)),1,50))),0),IFERROR(DATEVALUE(TRIM(MID(SUBSTITUTE(I10,";",REPT(" ",50)),51,50))),0),IFERROR(DATEVALUE(TRIM(MID(SUBSTITUTE(I10,";",REPT(" ",50)),101,50))),0),IFERROR(DATEVALUE(TRIM(MID(SUBSTITUTE(I10,";",REPT(" ",50)),151,50))),0),IFERROR(DATEVALUE(TRIM(MID(SUBSTITUTE(I10,";",REPT(" ",50)),201,50))),0),IFERROR(DATEVALUE(TRIM(MID(SUBSTITUTE(I10,";",REPT(" ",50)),251,50))),0),IFERROR(DATEVALUE(TRIM(MID(SUBSTITUTE(I10,";",REPT(" ",50)),301,50))),0),IFERROR(DATEVALUE(TRIM(MID(SUBSTITUTE(I10,";",REPT(" ",50)),351,50))),0),IFERROR(DATEVALUE(TRIM(MID(SUBSTITUTE(I10,";",REPT(" ",50)),401,50))),0),IFERROR(DATEVALUE(TRIM(MID(SUBSTITUTE(I10,";",REPT(" ",50)),451,50))),0)))</f>
        <v/>
      </c>
      <c r="L10" t="str">
        <f ca="1">IF(K10="","",TODAY()-K10)</f>
        <v/>
      </c>
      <c r="M10" t="s">
        <v>185</v>
      </c>
      <c r="N10">
        <f ca="1">IF(M10="","",IF(L10="",INDEX($F$63:$F$66,MATCH(M10,$C$63:$C$66,0)),IF(L10&lt;=INDEX($D$63:$D$66,MATCH(M10,$C$63:$C$66,0)),0,IF(L10&lt;=INDEX($E$63:$E$66,MATCH(M10,$C$63:$C$66,0)),INDEX($F$63:$F$66,MATCH(M10,$C$63:$C$66,0)),INDEX($G$63:$G$66,MATCH(M10,$C$63:$C$66,0))))))</f>
        <v>3</v>
      </c>
      <c r="O10">
        <f ca="1">G10+N10</f>
        <v>14</v>
      </c>
      <c r="P10" t="s">
        <v>168</v>
      </c>
      <c r="Q10" t="s">
        <v>744</v>
      </c>
      <c r="R10" t="s">
        <v>745</v>
      </c>
    </row>
    <row r="11" spans="1:19" x14ac:dyDescent="0.2">
      <c r="A11" t="s">
        <v>219</v>
      </c>
      <c r="B11" t="s">
        <v>746</v>
      </c>
      <c r="C11" t="s">
        <v>263</v>
      </c>
      <c r="D11" t="s">
        <v>217</v>
      </c>
      <c r="E11">
        <f>IF(C11="No material usage",0,IF(C11="Some usage",10,IF(C11="Heavy/structural usage",20,IF(C11="Unknown",10,""))))</f>
        <v>10</v>
      </c>
      <c r="F11">
        <f>IF(D11="High",0,IF(D11="Medium",0.05,IF(D11="Low",0.1,IF(D11="Unknown",0.15,""))))</f>
        <v>0.1</v>
      </c>
      <c r="G11">
        <f>E11*(1+F11)</f>
        <v>11</v>
      </c>
      <c r="K11" s="24" t="str">
        <f>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
      </c>
      <c r="L11" t="str">
        <f ca="1">IF(K11="","",TODAY()-K11)</f>
        <v/>
      </c>
      <c r="M11" t="s">
        <v>185</v>
      </c>
      <c r="N11">
        <f ca="1">IF(M11="","",IF(L11="",INDEX($F$63:$F$66,MATCH(M11,$C$63:$C$66,0)),IF(L11&lt;=INDEX($D$63:$D$66,MATCH(M11,$C$63:$C$66,0)),0,IF(L11&lt;=INDEX($E$63:$E$66,MATCH(M11,$C$63:$C$66,0)),INDEX($F$63:$F$66,MATCH(M11,$C$63:$C$66,0)),INDEX($G$63:$G$66,MATCH(M11,$C$63:$C$66,0))))))</f>
        <v>3</v>
      </c>
      <c r="O11">
        <f ca="1">G11+N11</f>
        <v>14</v>
      </c>
      <c r="P11" t="str">
        <f>IF(C11="Heavy/structural usage","Review Required","No Review")</f>
        <v>No Review</v>
      </c>
      <c r="Q11" t="s">
        <v>747</v>
      </c>
      <c r="R11" t="s">
        <v>748</v>
      </c>
    </row>
    <row r="12" spans="1:19" x14ac:dyDescent="0.2">
      <c r="A12" t="s">
        <v>224</v>
      </c>
      <c r="B12" t="s">
        <v>749</v>
      </c>
      <c r="C12" t="s">
        <v>750</v>
      </c>
      <c r="D12" t="s">
        <v>163</v>
      </c>
      <c r="E12">
        <v>0</v>
      </c>
      <c r="F12">
        <f>IF(D12="High",0,IF(D12="Medium",0.05,IF(D12="Low",0.1,IF(D12="Unknown",0.15,""))))</f>
        <v>0</v>
      </c>
      <c r="G12">
        <f>E12*(1+F12)</f>
        <v>0</v>
      </c>
      <c r="H12" t="s">
        <v>751</v>
      </c>
      <c r="I12" t="s">
        <v>752</v>
      </c>
      <c r="J12" t="s">
        <v>166</v>
      </c>
      <c r="K12" s="24">
        <f>IF(I12="","",MAX(IFERROR(DATEVALUE(TRIM(MID(SUBSTITUTE(I12,";",REPT(" ",50)),1,50))),0),IFERROR(DATEVALUE(TRIM(MID(SUBSTITUTE(I12,";",REPT(" ",50)),51,50))),0),IFERROR(DATEVALUE(TRIM(MID(SUBSTITUTE(I12,";",REPT(" ",50)),101,50))),0),IFERROR(DATEVALUE(TRIM(MID(SUBSTITUTE(I12,";",REPT(" ",50)),151,50))),0),IFERROR(DATEVALUE(TRIM(MID(SUBSTITUTE(I12,";",REPT(" ",50)),201,50))),0),IFERROR(DATEVALUE(TRIM(MID(SUBSTITUTE(I12,";",REPT(" ",50)),251,50))),0),IFERROR(DATEVALUE(TRIM(MID(SUBSTITUTE(I12,";",REPT(" ",50)),301,50))),0),IFERROR(DATEVALUE(TRIM(MID(SUBSTITUTE(I12,";",REPT(" ",50)),351,50))),0),IFERROR(DATEVALUE(TRIM(MID(SUBSTITUTE(I12,";",REPT(" ",50)),401,50))),0),IFERROR(DATEVALUE(TRIM(MID(SUBSTITUTE(I12,";",REPT(" ",50)),451,50))),0)))</f>
        <v>45845</v>
      </c>
      <c r="L12">
        <f ca="1">IF(K12="","",TODAY()-K12)</f>
        <v>167</v>
      </c>
      <c r="M12" t="s">
        <v>300</v>
      </c>
      <c r="N12">
        <f ca="1">IF(M12="","",IF(L12="",INDEX($F$63:$F$66,MATCH(M12,$C$63:$C$66,0)),IF(L12&lt;=INDEX($D$63:$D$66,MATCH(M12,$C$63:$C$66,0)),0,IF(L12&lt;=INDEX($E$63:$E$66,MATCH(M12,$C$63:$C$66,0)),INDEX($F$63:$F$66,MATCH(M12,$C$63:$C$66,0)),INDEX($G$63:$G$66,MATCH(M12,$C$63:$C$66,0))))))</f>
        <v>0</v>
      </c>
      <c r="O12">
        <f ca="1">G12+N12</f>
        <v>0</v>
      </c>
      <c r="P12" t="s">
        <v>168</v>
      </c>
      <c r="Q12" t="s">
        <v>429</v>
      </c>
      <c r="R12" t="s">
        <v>753</v>
      </c>
    </row>
    <row r="13" spans="1:19" x14ac:dyDescent="0.2">
      <c r="A13" s="4"/>
      <c r="B13" s="5" t="s">
        <v>754</v>
      </c>
      <c r="C13" s="4"/>
      <c r="D13" s="4"/>
      <c r="E13" s="4"/>
      <c r="F13" s="4"/>
      <c r="G13" s="4"/>
      <c r="H13" s="4"/>
      <c r="I13" s="4"/>
      <c r="J13" s="4"/>
      <c r="K13" s="23" t="str">
        <f>IF(I13="","",MAX(IFERROR(DATEVALUE(TRIM(MID(SUBSTITUTE(I13,";",REPT(" ",50)),1,50))),0),IFERROR(DATEVALUE(TRIM(MID(SUBSTITUTE(I13,";",REPT(" ",50)),51,50))),0),IFERROR(DATEVALUE(TRIM(MID(SUBSTITUTE(I13,";",REPT(" ",50)),101,50))),0),IFERROR(DATEVALUE(TRIM(MID(SUBSTITUTE(I13,";",REPT(" ",50)),151,50))),0),IFERROR(DATEVALUE(TRIM(MID(SUBSTITUTE(I13,";",REPT(" ",50)),201,50))),0),IFERROR(DATEVALUE(TRIM(MID(SUBSTITUTE(I13,";",REPT(" ",50)),251,50))),0),IFERROR(DATEVALUE(TRIM(MID(SUBSTITUTE(I13,";",REPT(" ",50)),301,50))),0),IFERROR(DATEVALUE(TRIM(MID(SUBSTITUTE(I13,";",REPT(" ",50)),351,50))),0),IFERROR(DATEVALUE(TRIM(MID(SUBSTITUTE(I13,";",REPT(" ",50)),401,50))),0),IFERROR(DATEVALUE(TRIM(MID(SUBSTITUTE(I13,";",REPT(" ",50)),451,50))),0)))</f>
        <v/>
      </c>
      <c r="L13" s="4"/>
      <c r="M13" s="4"/>
      <c r="N13" s="4" t="str">
        <f>IF(M13="","",IF(L13="",INDEX($F$63:$F$66,MATCH(M13,$C$63:$C$66,0)),IF(L13&lt;=INDEX($D$63:$D$66,MATCH(M13,$C$63:$C$66,0)),0,IF(L13&lt;=INDEX($E$63:$E$66,MATCH(M13,$C$63:$C$66,0)),INDEX($F$63:$F$66,MATCH(M13,$C$63:$C$66,0)),INDEX($G$63:$G$66,MATCH(M13,$C$63:$C$66,0))))))</f>
        <v/>
      </c>
      <c r="O13" s="4"/>
      <c r="P13" s="4"/>
      <c r="Q13" s="4"/>
      <c r="R13" s="4"/>
    </row>
    <row r="14" spans="1:19" x14ac:dyDescent="0.2">
      <c r="A14" s="3"/>
      <c r="B14" s="48"/>
      <c r="C14" s="49"/>
      <c r="D14" s="49"/>
      <c r="E14" s="49"/>
      <c r="F14" s="49"/>
      <c r="G14" s="49"/>
      <c r="H14" s="49"/>
      <c r="I14" s="49"/>
      <c r="J14" s="49"/>
      <c r="K14" s="50"/>
      <c r="L14" s="49"/>
      <c r="M14" s="49"/>
      <c r="N14" s="49"/>
      <c r="O14" s="49"/>
      <c r="P14" s="49"/>
      <c r="Q14" s="49"/>
      <c r="R14" s="49"/>
    </row>
    <row r="15" spans="1:19" x14ac:dyDescent="0.2">
      <c r="A15" t="s">
        <v>244</v>
      </c>
      <c r="B15" t="s">
        <v>755</v>
      </c>
      <c r="C15" t="s">
        <v>181</v>
      </c>
      <c r="D15" t="s">
        <v>182</v>
      </c>
      <c r="E15">
        <f>IF(C15="No",0,IF(C15="Indirect association only",10,IF(C15="Direct listing / designation",20,IF(C15="Unknown",10,""))))</f>
        <v>0</v>
      </c>
      <c r="F15">
        <f>IF(D15="High",0,IF(D15="Medium",0.05,IF(D15="Low",0.1,IF(D15="Unknown",0.15,""))))</f>
        <v>0.05</v>
      </c>
      <c r="G15">
        <f>E15*(1+F15)</f>
        <v>0</v>
      </c>
      <c r="H15" t="s">
        <v>415</v>
      </c>
      <c r="I15" t="s">
        <v>756</v>
      </c>
      <c r="J15" t="s">
        <v>176</v>
      </c>
      <c r="K15" s="24">
        <f>IF(I15="","",MAX(IFERROR(DATEVALUE(TRIM(MID(SUBSTITUTE(I15,";",REPT(" ",50)),1,50))),0),IFERROR(DATEVALUE(TRIM(MID(SUBSTITUTE(I15,";",REPT(" ",50)),51,50))),0),IFERROR(DATEVALUE(TRIM(MID(SUBSTITUTE(I15,";",REPT(" ",50)),101,50))),0),IFERROR(DATEVALUE(TRIM(MID(SUBSTITUTE(I15,";",REPT(" ",50)),151,50))),0),IFERROR(DATEVALUE(TRIM(MID(SUBSTITUTE(I15,";",REPT(" ",50)),201,50))),0),IFERROR(DATEVALUE(TRIM(MID(SUBSTITUTE(I15,";",REPT(" ",50)),251,50))),0),IFERROR(DATEVALUE(TRIM(MID(SUBSTITUTE(I15,";",REPT(" ",50)),301,50))),0),IFERROR(DATEVALUE(TRIM(MID(SUBSTITUTE(I15,";",REPT(" ",50)),351,50))),0),IFERROR(DATEVALUE(TRIM(MID(SUBSTITUTE(I15,";",REPT(" ",50)),401,50))),0),IFERROR(DATEVALUE(TRIM(MID(SUBSTITUTE(I15,";",REPT(" ",50)),451,50))),0)))</f>
        <v>46006</v>
      </c>
      <c r="L15">
        <f ca="1">IF(K15="","",TODAY()-K15)</f>
        <v>6</v>
      </c>
      <c r="M15" t="s">
        <v>275</v>
      </c>
      <c r="N15">
        <f ca="1">IF(M15="","",IF(L15="",INDEX($F$63:$F$66,MATCH(M15,$C$63:$C$66,0)),IF(L15&lt;=INDEX($D$63:$D$66,MATCH(M15,$C$63:$C$66,0)),0,IF(L15&lt;=INDEX($E$63:$E$66,MATCH(M15,$C$63:$C$66,0)),INDEX($F$63:$F$66,MATCH(M15,$C$63:$C$66,0)),INDEX($G$63:$G$66,MATCH(M15,$C$63:$C$66,0))))))</f>
        <v>0</v>
      </c>
      <c r="O15">
        <f ca="1">G15+N15</f>
        <v>0</v>
      </c>
      <c r="P15" t="str">
        <f>IF(C15="Direct listing / designation","Review Required","No Review")</f>
        <v>No Review</v>
      </c>
      <c r="Q15" t="s">
        <v>757</v>
      </c>
      <c r="R15" t="s">
        <v>758</v>
      </c>
    </row>
    <row r="16" spans="1:19" x14ac:dyDescent="0.2">
      <c r="A16" t="s">
        <v>250</v>
      </c>
      <c r="B16" t="s">
        <v>759</v>
      </c>
      <c r="C16" t="s">
        <v>760</v>
      </c>
      <c r="D16" t="s">
        <v>182</v>
      </c>
      <c r="E16">
        <f>IF(C16="None disclosed",0,IF(C16="Under investigation / warning",10,IF(C16="Fined / enforcement for sanctions issues",20,IF(C16="Unknown",10,""))))</f>
        <v>0</v>
      </c>
      <c r="F16">
        <f>IF(D16="High",0,IF(D16="Medium",0.05,IF(D16="Low",0.1,IF(D16="Unknown",0.15,""))))</f>
        <v>0.05</v>
      </c>
      <c r="G16">
        <f>E16*(1+F16)</f>
        <v>0</v>
      </c>
      <c r="H16" t="s">
        <v>761</v>
      </c>
      <c r="I16" t="s">
        <v>762</v>
      </c>
      <c r="J16" t="s">
        <v>166</v>
      </c>
      <c r="K16" s="24">
        <f>IF(I16="","",MAX(IFERROR(DATEVALUE(TRIM(MID(SUBSTITUTE(I16,";",REPT(" ",50)),1,50))),0),IFERROR(DATEVALUE(TRIM(MID(SUBSTITUTE(I16,";",REPT(" ",50)),51,50))),0),IFERROR(DATEVALUE(TRIM(MID(SUBSTITUTE(I16,";",REPT(" ",50)),101,50))),0),IFERROR(DATEVALUE(TRIM(MID(SUBSTITUTE(I16,";",REPT(" ",50)),151,50))),0),IFERROR(DATEVALUE(TRIM(MID(SUBSTITUTE(I16,";",REPT(" ",50)),201,50))),0),IFERROR(DATEVALUE(TRIM(MID(SUBSTITUTE(I16,";",REPT(" ",50)),251,50))),0),IFERROR(DATEVALUE(TRIM(MID(SUBSTITUTE(I16,";",REPT(" ",50)),301,50))),0),IFERROR(DATEVALUE(TRIM(MID(SUBSTITUTE(I16,";",REPT(" ",50)),351,50))),0),IFERROR(DATEVALUE(TRIM(MID(SUBSTITUTE(I16,";",REPT(" ",50)),401,50))),0),IFERROR(DATEVALUE(TRIM(MID(SUBSTITUTE(I16,";",REPT(" ",50)),451,50))),0)))</f>
        <v>45931</v>
      </c>
      <c r="L16">
        <f ca="1">IF(K16="","",TODAY()-K16)</f>
        <v>81</v>
      </c>
      <c r="M16" t="s">
        <v>275</v>
      </c>
      <c r="N16">
        <f ca="1">IF(M16="","",IF(L16="",INDEX($F$63:$F$66,MATCH(M16,$C$63:$C$66,0)),IF(L16&lt;=INDEX($D$63:$D$66,MATCH(M16,$C$63:$C$66,0)),0,IF(L16&lt;=INDEX($E$63:$E$66,MATCH(M16,$C$63:$C$66,0)),INDEX($F$63:$F$66,MATCH(M16,$C$63:$C$66,0)),INDEX($G$63:$G$66,MATCH(M16,$C$63:$C$66,0))))))</f>
        <v>0</v>
      </c>
      <c r="O16">
        <f ca="1">G16+N16</f>
        <v>0</v>
      </c>
      <c r="P16" t="str">
        <f>IF(C16="Fined / enforcement for sanctions issues","Review Required","No Review")</f>
        <v>No Review</v>
      </c>
      <c r="Q16" t="s">
        <v>763</v>
      </c>
      <c r="R16" t="s">
        <v>764</v>
      </c>
    </row>
    <row r="17" spans="1:18" x14ac:dyDescent="0.2">
      <c r="A17" t="s">
        <v>256</v>
      </c>
      <c r="B17" t="s">
        <v>765</v>
      </c>
      <c r="C17" t="s">
        <v>766</v>
      </c>
      <c r="D17" t="s">
        <v>182</v>
      </c>
      <c r="E17">
        <f>IF(C17="No material link",0,IF(C17="Some flagged flows",10,IF(C17="Heavy / structural involvement",20,IF(C17="Unknown",10,""))))</f>
        <v>10</v>
      </c>
      <c r="F17">
        <f>IF(D17="High",0,IF(D17="Medium",0.05,IF(D17="Low",0.1,IF(D17="Unknown",0.15,""))))</f>
        <v>0.05</v>
      </c>
      <c r="G17">
        <f>E17*(1+F17)</f>
        <v>10.5</v>
      </c>
      <c r="H17" t="s">
        <v>767</v>
      </c>
      <c r="I17" t="s">
        <v>638</v>
      </c>
      <c r="J17" t="s">
        <v>176</v>
      </c>
      <c r="K17" s="24">
        <f>IF(I17="","",MAX(IFERROR(DATEVALUE(TRIM(MID(SUBSTITUTE(I17,";",REPT(" ",50)),1,50))),0),IFERROR(DATEVALUE(TRIM(MID(SUBSTITUTE(I17,";",REPT(" ",50)),51,50))),0),IFERROR(DATEVALUE(TRIM(MID(SUBSTITUTE(I17,";",REPT(" ",50)),101,50))),0),IFERROR(DATEVALUE(TRIM(MID(SUBSTITUTE(I17,";",REPT(" ",50)),151,50))),0),IFERROR(DATEVALUE(TRIM(MID(SUBSTITUTE(I17,";",REPT(" ",50)),201,50))),0),IFERROR(DATEVALUE(TRIM(MID(SUBSTITUTE(I17,";",REPT(" ",50)),251,50))),0),IFERROR(DATEVALUE(TRIM(MID(SUBSTITUTE(I17,";",REPT(" ",50)),301,50))),0),IFERROR(DATEVALUE(TRIM(MID(SUBSTITUTE(I17,";",REPT(" ",50)),351,50))),0),IFERROR(DATEVALUE(TRIM(MID(SUBSTITUTE(I17,";",REPT(" ",50)),401,50))),0),IFERROR(DATEVALUE(TRIM(MID(SUBSTITUTE(I17,";",REPT(" ",50)),451,50))),0)))</f>
        <v>45915</v>
      </c>
      <c r="L17">
        <f ca="1">IF(K17="","",TODAY()-K17)</f>
        <v>97</v>
      </c>
      <c r="M17" t="s">
        <v>275</v>
      </c>
      <c r="N17">
        <f ca="1">IF(M17="","",IF(L17="",INDEX($F$63:$F$66,MATCH(M17,$C$63:$C$66,0)),IF(L17&lt;=INDEX($D$63:$D$66,MATCH(M17,$C$63:$C$66,0)),0,IF(L17&lt;=INDEX($E$63:$E$66,MATCH(M17,$C$63:$C$66,0)),INDEX($F$63:$F$66,MATCH(M17,$C$63:$C$66,0)),INDEX($G$63:$G$66,MATCH(M17,$C$63:$C$66,0))))))</f>
        <v>5</v>
      </c>
      <c r="O17">
        <f ca="1">G17+N17</f>
        <v>15.5</v>
      </c>
      <c r="P17" t="str">
        <f>IF(C17="Heavy / structural involvement","Review Required","No Review")</f>
        <v>No Review</v>
      </c>
      <c r="Q17" t="s">
        <v>768</v>
      </c>
      <c r="R17" t="s">
        <v>769</v>
      </c>
    </row>
    <row r="18" spans="1:18" x14ac:dyDescent="0.2">
      <c r="A18" t="s">
        <v>600</v>
      </c>
      <c r="B18" t="s">
        <v>770</v>
      </c>
      <c r="C18" t="s">
        <v>771</v>
      </c>
      <c r="D18" t="s">
        <v>182</v>
      </c>
      <c r="E18">
        <v>0</v>
      </c>
      <c r="F18">
        <f>IF(D18="High",0,IF(D18="Medium",0.05,IF(D18="Low",0.1,IF(D18="Unknown",0.15,""))))</f>
        <v>0.05</v>
      </c>
      <c r="G18">
        <f>E18*(1+F18)</f>
        <v>0</v>
      </c>
      <c r="H18" t="s">
        <v>772</v>
      </c>
      <c r="I18" t="s">
        <v>773</v>
      </c>
      <c r="J18" t="s">
        <v>166</v>
      </c>
      <c r="K18" s="24">
        <f>IF(I18="","",MAX(IFERROR(DATEVALUE(TRIM(MID(SUBSTITUTE(I18,";",REPT(" ",50)),1,50))),0),IFERROR(DATEVALUE(TRIM(MID(SUBSTITUTE(I18,";",REPT(" ",50)),51,50))),0),IFERROR(DATEVALUE(TRIM(MID(SUBSTITUTE(I18,";",REPT(" ",50)),101,50))),0),IFERROR(DATEVALUE(TRIM(MID(SUBSTITUTE(I18,";",REPT(" ",50)),151,50))),0),IFERROR(DATEVALUE(TRIM(MID(SUBSTITUTE(I18,";",REPT(" ",50)),201,50))),0),IFERROR(DATEVALUE(TRIM(MID(SUBSTITUTE(I18,";",REPT(" ",50)),251,50))),0),IFERROR(DATEVALUE(TRIM(MID(SUBSTITUTE(I18,";",REPT(" ",50)),301,50))),0),IFERROR(DATEVALUE(TRIM(MID(SUBSTITUTE(I18,";",REPT(" ",50)),351,50))),0),IFERROR(DATEVALUE(TRIM(MID(SUBSTITUTE(I18,";",REPT(" ",50)),401,50))),0),IFERROR(DATEVALUE(TRIM(MID(SUBSTITUTE(I18,";",REPT(" ",50)),451,50))),0)))</f>
        <v>45986</v>
      </c>
      <c r="L18">
        <f ca="1">IF(K18="","",TODAY()-K18)</f>
        <v>26</v>
      </c>
      <c r="M18" t="s">
        <v>275</v>
      </c>
      <c r="N18">
        <f ca="1">IF(M18="","",IF(L18="",INDEX($F$63:$F$66,MATCH(M18,$C$63:$C$66,0)),IF(L18&lt;=INDEX($D$63:$D$66,MATCH(M18,$C$63:$C$66,0)),0,IF(L18&lt;=INDEX($E$63:$E$66,MATCH(M18,$C$63:$C$66,0)),INDEX($F$63:$F$66,MATCH(M18,$C$63:$C$66,0)),INDEX($G$63:$G$66,MATCH(M18,$C$63:$C$66,0))))))</f>
        <v>0</v>
      </c>
      <c r="O18">
        <f ca="1">G18+N18</f>
        <v>0</v>
      </c>
      <c r="P18" t="s">
        <v>168</v>
      </c>
      <c r="Q18" t="s">
        <v>774</v>
      </c>
      <c r="R18" t="s">
        <v>775</v>
      </c>
    </row>
    <row r="19" spans="1:18" x14ac:dyDescent="0.2">
      <c r="A19" s="3"/>
      <c r="B19" s="48"/>
      <c r="C19" s="49"/>
      <c r="D19" s="49"/>
      <c r="E19" s="49"/>
      <c r="F19" s="49"/>
      <c r="G19" s="49"/>
      <c r="H19" s="49"/>
      <c r="I19" s="49"/>
      <c r="J19" s="49"/>
      <c r="K19" s="50"/>
      <c r="L19" s="49"/>
      <c r="M19" s="49"/>
      <c r="N19" s="49"/>
      <c r="O19" s="49"/>
      <c r="P19" s="49"/>
      <c r="Q19" s="49"/>
      <c r="R19" s="49"/>
    </row>
    <row r="20" spans="1:18" x14ac:dyDescent="0.2">
      <c r="A20" t="s">
        <v>272</v>
      </c>
      <c r="B20" t="s">
        <v>776</v>
      </c>
      <c r="C20" t="s">
        <v>777</v>
      </c>
      <c r="D20" t="s">
        <v>182</v>
      </c>
      <c r="E20">
        <f>IF(C20="Low (&lt;5%)",0,IF(C20="Moderate (5–20%)",10,IF(C20="High (&gt;20%)",20,IF(C20="Unknown",10,""))))</f>
        <v>0</v>
      </c>
      <c r="F20">
        <f>IF(D20="High",0,IF(D20="Medium",0.05,IF(D20="Low",0.1,IF(D20="Unknown",0.15,""))))</f>
        <v>0.05</v>
      </c>
      <c r="G20">
        <f>E20*(1+F20)</f>
        <v>0</v>
      </c>
      <c r="H20" t="s">
        <v>778</v>
      </c>
      <c r="I20" t="s">
        <v>779</v>
      </c>
      <c r="J20" t="s">
        <v>166</v>
      </c>
      <c r="K20" s="24">
        <f>IF(I20="","",MAX(IFERROR(DATEVALUE(TRIM(MID(SUBSTITUTE(I20,";",REPT(" ",50)),1,50))),0),IFERROR(DATEVALUE(TRIM(MID(SUBSTITUTE(I20,";",REPT(" ",50)),51,50))),0),IFERROR(DATEVALUE(TRIM(MID(SUBSTITUTE(I20,";",REPT(" ",50)),101,50))),0),IFERROR(DATEVALUE(TRIM(MID(SUBSTITUTE(I20,";",REPT(" ",50)),151,50))),0),IFERROR(DATEVALUE(TRIM(MID(SUBSTITUTE(I20,";",REPT(" ",50)),201,50))),0),IFERROR(DATEVALUE(TRIM(MID(SUBSTITUTE(I20,";",REPT(" ",50)),251,50))),0),IFERROR(DATEVALUE(TRIM(MID(SUBSTITUTE(I20,";",REPT(" ",50)),301,50))),0),IFERROR(DATEVALUE(TRIM(MID(SUBSTITUTE(I20,";",REPT(" ",50)),351,50))),0),IFERROR(DATEVALUE(TRIM(MID(SUBSTITUTE(I20,";",REPT(" ",50)),401,50))),0),IFERROR(DATEVALUE(TRIM(MID(SUBSTITUTE(I20,";",REPT(" ",50)),451,50))),0)))</f>
        <v>45902</v>
      </c>
      <c r="L20">
        <f ca="1">IF(K20="","",TODAY()-K20)</f>
        <v>110</v>
      </c>
      <c r="M20" t="s">
        <v>185</v>
      </c>
      <c r="N20">
        <f ca="1">IF(M20="","",IF(L20="",INDEX($F$63:$F$66,MATCH(M20,$C$63:$C$66,0)),IF(L20&lt;=INDEX($D$63:$D$66,MATCH(M20,$C$63:$C$66,0)),0,IF(L20&lt;=INDEX($E$63:$E$66,MATCH(M20,$C$63:$C$66,0)),INDEX($F$63:$F$66,MATCH(M20,$C$63:$C$66,0)),INDEX($G$63:$G$66,MATCH(M20,$C$63:$C$66,0))))))</f>
        <v>0</v>
      </c>
      <c r="O20">
        <f ca="1">G20+N20</f>
        <v>0</v>
      </c>
      <c r="P20" t="str">
        <f>IF(C20="High (&gt;20%)","Review Required","No Review")</f>
        <v>No Review</v>
      </c>
      <c r="Q20" t="s">
        <v>780</v>
      </c>
      <c r="R20" t="s">
        <v>781</v>
      </c>
    </row>
    <row r="21" spans="1:18" x14ac:dyDescent="0.2">
      <c r="A21" t="s">
        <v>278</v>
      </c>
      <c r="B21" t="s">
        <v>782</v>
      </c>
      <c r="C21" t="s">
        <v>783</v>
      </c>
      <c r="D21" t="s">
        <v>182</v>
      </c>
      <c r="E21">
        <f>IF(C21="No material presence",0,IF(C21="Some presence",10,IF(C21="Primary base / heavy presence",20,IF(C21="Unknown",10,""))))</f>
        <v>0</v>
      </c>
      <c r="F21">
        <f>IF(D21="High",0,IF(D21="Medium",0.05,IF(D21="Low",0.1,IF(D21="Unknown",0.15,""))))</f>
        <v>0.05</v>
      </c>
      <c r="G21">
        <f>E21*(1+F21)</f>
        <v>0</v>
      </c>
      <c r="H21" t="s">
        <v>784</v>
      </c>
      <c r="I21" t="s">
        <v>785</v>
      </c>
      <c r="J21" t="s">
        <v>176</v>
      </c>
      <c r="K21" s="24">
        <f>IF(I21="","",MAX(IFERROR(DATEVALUE(TRIM(MID(SUBSTITUTE(I21,";",REPT(" ",50)),1,50))),0),IFERROR(DATEVALUE(TRIM(MID(SUBSTITUTE(I21,";",REPT(" ",50)),51,50))),0),IFERROR(DATEVALUE(TRIM(MID(SUBSTITUTE(I21,";",REPT(" ",50)),101,50))),0),IFERROR(DATEVALUE(TRIM(MID(SUBSTITUTE(I21,";",REPT(" ",50)),151,50))),0),IFERROR(DATEVALUE(TRIM(MID(SUBSTITUTE(I21,";",REPT(" ",50)),201,50))),0),IFERROR(DATEVALUE(TRIM(MID(SUBSTITUTE(I21,";",REPT(" ",50)),251,50))),0),IFERROR(DATEVALUE(TRIM(MID(SUBSTITUTE(I21,";",REPT(" ",50)),301,50))),0),IFERROR(DATEVALUE(TRIM(MID(SUBSTITUTE(I21,";",REPT(" ",50)),351,50))),0),IFERROR(DATEVALUE(TRIM(MID(SUBSTITUTE(I21,";",REPT(" ",50)),401,50))),0),IFERROR(DATEVALUE(TRIM(MID(SUBSTITUTE(I21,";",REPT(" ",50)),451,50))),0)))</f>
        <v>45880</v>
      </c>
      <c r="L21">
        <f ca="1">IF(K21="","",TODAY()-K21)</f>
        <v>132</v>
      </c>
      <c r="M21" t="s">
        <v>185</v>
      </c>
      <c r="N21">
        <f ca="1">IF(M21="","",IF(L21="",INDEX($F$63:$F$66,MATCH(M21,$C$63:$C$66,0)),IF(L21&lt;=INDEX($D$63:$D$66,MATCH(M21,$C$63:$C$66,0)),0,IF(L21&lt;=INDEX($E$63:$E$66,MATCH(M21,$C$63:$C$66,0)),INDEX($F$63:$F$66,MATCH(M21,$C$63:$C$66,0)),INDEX($G$63:$G$66,MATCH(M21,$C$63:$C$66,0))))))</f>
        <v>0</v>
      </c>
      <c r="O21">
        <f ca="1">G21+N21</f>
        <v>0</v>
      </c>
      <c r="P21" t="str">
        <f>IF(C21="Primary base / heavy presence","Review Required","No Review")</f>
        <v>No Review</v>
      </c>
      <c r="Q21" t="s">
        <v>786</v>
      </c>
      <c r="R21" t="s">
        <v>787</v>
      </c>
    </row>
    <row r="22" spans="1:18" x14ac:dyDescent="0.2">
      <c r="A22" t="s">
        <v>284</v>
      </c>
      <c r="B22" t="s">
        <v>788</v>
      </c>
      <c r="C22" t="s">
        <v>789</v>
      </c>
      <c r="D22" t="s">
        <v>182</v>
      </c>
      <c r="E22">
        <f>IF(C22="Limited / none",0,IF(C22="Moderate exposure",10,IF(C22="High / structural exposure",20,IF(C22="Unknown",10,""))))</f>
        <v>0</v>
      </c>
      <c r="F22">
        <f>IF(D22="High",0,IF(D22="Medium",0.05,IF(D22="Low",0.1,IF(D22="Unknown",0.15,""))))</f>
        <v>0.05</v>
      </c>
      <c r="G22">
        <f>E22*(1+F22)</f>
        <v>0</v>
      </c>
      <c r="H22" t="s">
        <v>790</v>
      </c>
      <c r="I22" t="s">
        <v>791</v>
      </c>
      <c r="J22" t="s">
        <v>166</v>
      </c>
      <c r="K22" s="24">
        <f>IF(I22="","",MAX(IFERROR(DATEVALUE(TRIM(MID(SUBSTITUTE(I22,";",REPT(" ",50)),1,50))),0),IFERROR(DATEVALUE(TRIM(MID(SUBSTITUTE(I22,";",REPT(" ",50)),51,50))),0),IFERROR(DATEVALUE(TRIM(MID(SUBSTITUTE(I22,";",REPT(" ",50)),101,50))),0),IFERROR(DATEVALUE(TRIM(MID(SUBSTITUTE(I22,";",REPT(" ",50)),151,50))),0),IFERROR(DATEVALUE(TRIM(MID(SUBSTITUTE(I22,";",REPT(" ",50)),201,50))),0),IFERROR(DATEVALUE(TRIM(MID(SUBSTITUTE(I22,";",REPT(" ",50)),251,50))),0),IFERROR(DATEVALUE(TRIM(MID(SUBSTITUTE(I22,";",REPT(" ",50)),301,50))),0),IFERROR(DATEVALUE(TRIM(MID(SUBSTITUTE(I22,";",REPT(" ",50)),351,50))),0),IFERROR(DATEVALUE(TRIM(MID(SUBSTITUTE(I22,";",REPT(" ",50)),401,50))),0),IFERROR(DATEVALUE(TRIM(MID(SUBSTITUTE(I22,";",REPT(" ",50)),451,50))),0)))</f>
        <v>46011</v>
      </c>
      <c r="L22">
        <f ca="1">IF(K22="","",TODAY()-K22)</f>
        <v>1</v>
      </c>
      <c r="M22" t="s">
        <v>185</v>
      </c>
      <c r="N22">
        <f ca="1">IF(M22="","",IF(L22="",INDEX($F$63:$F$66,MATCH(M22,$C$63:$C$66,0)),IF(L22&lt;=INDEX($D$63:$D$66,MATCH(M22,$C$63:$C$66,0)),0,IF(L22&lt;=INDEX($E$63:$E$66,MATCH(M22,$C$63:$C$66,0)),INDEX($F$63:$F$66,MATCH(M22,$C$63:$C$66,0)),INDEX($G$63:$G$66,MATCH(M22,$C$63:$C$66,0))))))</f>
        <v>0</v>
      </c>
      <c r="O22">
        <f ca="1">G22+N22</f>
        <v>0</v>
      </c>
      <c r="P22" t="s">
        <v>168</v>
      </c>
      <c r="Q22" t="s">
        <v>792</v>
      </c>
      <c r="R22" t="s">
        <v>793</v>
      </c>
    </row>
    <row r="23" spans="1:18" x14ac:dyDescent="0.2">
      <c r="A23" t="s">
        <v>794</v>
      </c>
      <c r="B23" t="s">
        <v>795</v>
      </c>
      <c r="C23" t="s">
        <v>796</v>
      </c>
      <c r="D23" t="s">
        <v>182</v>
      </c>
      <c r="E23">
        <v>0</v>
      </c>
      <c r="F23">
        <f>IF(D23="High",0,IF(D23="Medium",0.05,IF(D23="Low",0.1,IF(D23="Unknown",0.15,""))))</f>
        <v>0.05</v>
      </c>
      <c r="G23">
        <f>E23*(1+F23)</f>
        <v>0</v>
      </c>
      <c r="H23" t="s">
        <v>797</v>
      </c>
      <c r="I23" t="s">
        <v>798</v>
      </c>
      <c r="J23" t="s">
        <v>166</v>
      </c>
      <c r="K23" s="24">
        <f>IF(I23="","",MAX(IFERROR(DATEVALUE(TRIM(MID(SUBSTITUTE(I23,";",REPT(" ",50)),1,50))),0),IFERROR(DATEVALUE(TRIM(MID(SUBSTITUTE(I23,";",REPT(" ",50)),51,50))),0),IFERROR(DATEVALUE(TRIM(MID(SUBSTITUTE(I23,";",REPT(" ",50)),101,50))),0),IFERROR(DATEVALUE(TRIM(MID(SUBSTITUTE(I23,";",REPT(" ",50)),151,50))),0),IFERROR(DATEVALUE(TRIM(MID(SUBSTITUTE(I23,";",REPT(" ",50)),201,50))),0),IFERROR(DATEVALUE(TRIM(MID(SUBSTITUTE(I23,";",REPT(" ",50)),251,50))),0),IFERROR(DATEVALUE(TRIM(MID(SUBSTITUTE(I23,";",REPT(" ",50)),301,50))),0),IFERROR(DATEVALUE(TRIM(MID(SUBSTITUTE(I23,";",REPT(" ",50)),351,50))),0),IFERROR(DATEVALUE(TRIM(MID(SUBSTITUTE(I23,";",REPT(" ",50)),401,50))),0),IFERROR(DATEVALUE(TRIM(MID(SUBSTITUTE(I23,";",REPT(" ",50)),451,50))),0)))</f>
        <v>45967</v>
      </c>
      <c r="L23">
        <f ca="1">IF(K23="","",TODAY()-K23)</f>
        <v>45</v>
      </c>
      <c r="M23" t="s">
        <v>300</v>
      </c>
      <c r="N23">
        <f ca="1">IF(M23="","",IF(L23="",INDEX($F$63:$F$66,MATCH(M23,$C$63:$C$66,0)),IF(L23&lt;=INDEX($D$63:$D$66,MATCH(M23,$C$63:$C$66,0)),0,IF(L23&lt;=INDEX($E$63:$E$66,MATCH(M23,$C$63:$C$66,0)),INDEX($F$63:$F$66,MATCH(M23,$C$63:$C$66,0)),INDEX($G$63:$G$66,MATCH(M23,$C$63:$C$66,0))))))</f>
        <v>0</v>
      </c>
      <c r="O23">
        <f ca="1">G23+N23</f>
        <v>0</v>
      </c>
      <c r="P23" t="s">
        <v>168</v>
      </c>
      <c r="Q23" t="s">
        <v>774</v>
      </c>
      <c r="R23" t="s">
        <v>799</v>
      </c>
    </row>
    <row r="24" spans="1:18" x14ac:dyDescent="0.2">
      <c r="A24" s="4"/>
      <c r="B24" s="5" t="s">
        <v>800</v>
      </c>
      <c r="C24" s="4"/>
      <c r="D24" s="4"/>
      <c r="E24" s="4"/>
      <c r="F24" s="4"/>
      <c r="G24" s="4"/>
      <c r="H24" s="4"/>
      <c r="I24" s="4"/>
      <c r="J24" s="4"/>
      <c r="K24" s="23" t="str">
        <f>IF(I24="","",MAX(IFERROR(DATEVALUE(TRIM(MID(SUBSTITUTE(I24,";",REPT(" ",50)),1,50))),0),IFERROR(DATEVALUE(TRIM(MID(SUBSTITUTE(I24,";",REPT(" ",50)),51,50))),0),IFERROR(DATEVALUE(TRIM(MID(SUBSTITUTE(I24,";",REPT(" ",50)),101,50))),0),IFERROR(DATEVALUE(TRIM(MID(SUBSTITUTE(I24,";",REPT(" ",50)),151,50))),0),IFERROR(DATEVALUE(TRIM(MID(SUBSTITUTE(I24,";",REPT(" ",50)),201,50))),0),IFERROR(DATEVALUE(TRIM(MID(SUBSTITUTE(I24,";",REPT(" ",50)),251,50))),0),IFERROR(DATEVALUE(TRIM(MID(SUBSTITUTE(I24,";",REPT(" ",50)),301,50))),0),IFERROR(DATEVALUE(TRIM(MID(SUBSTITUTE(I24,";",REPT(" ",50)),351,50))),0),IFERROR(DATEVALUE(TRIM(MID(SUBSTITUTE(I24,";",REPT(" ",50)),401,50))),0),IFERROR(DATEVALUE(TRIM(MID(SUBSTITUTE(I24,";",REPT(" ",50)),451,50))),0)))</f>
        <v/>
      </c>
      <c r="L24" s="4"/>
      <c r="M24" s="4"/>
      <c r="N24" s="4" t="str">
        <f>IF(M24="","",IF(L24="",INDEX($F$63:$F$66,MATCH(M24,$C$63:$C$66,0)),IF(L24&lt;=INDEX($D$63:$D$66,MATCH(M24,$C$63:$C$66,0)),0,IF(L24&lt;=INDEX($E$63:$E$66,MATCH(M24,$C$63:$C$66,0)),INDEX($F$63:$F$66,MATCH(M24,$C$63:$C$66,0)),INDEX($G$63:$G$66,MATCH(M24,$C$63:$C$66,0))))))</f>
        <v/>
      </c>
      <c r="O24" s="4"/>
      <c r="P24" s="4"/>
      <c r="Q24" s="4"/>
      <c r="R24" s="4"/>
    </row>
    <row r="25" spans="1:18" x14ac:dyDescent="0.2">
      <c r="A25" s="3"/>
      <c r="B25" s="48"/>
      <c r="C25" s="49"/>
      <c r="D25" s="49"/>
      <c r="E25" s="49"/>
      <c r="F25" s="49"/>
      <c r="G25" s="49"/>
      <c r="H25" s="49"/>
      <c r="I25" s="49"/>
      <c r="J25" s="49"/>
      <c r="K25" s="50"/>
      <c r="L25" s="49"/>
      <c r="M25" s="49"/>
      <c r="N25" s="49"/>
      <c r="O25" s="49"/>
      <c r="P25" s="49"/>
      <c r="Q25" s="49"/>
      <c r="R25" s="49"/>
    </row>
    <row r="26" spans="1:18" x14ac:dyDescent="0.2">
      <c r="A26" t="s">
        <v>607</v>
      </c>
      <c r="B26" t="s">
        <v>801</v>
      </c>
      <c r="C26" t="s">
        <v>802</v>
      </c>
      <c r="D26" t="s">
        <v>182</v>
      </c>
      <c r="E26">
        <f>IF(C26="Not mentioned",0,IF(C26="Minor / incidental mentions",10,IF(C26="Frequently highlighted as an illicit-usage asset",20,IF(C26="Unknown",10,""))))</f>
        <v>0</v>
      </c>
      <c r="F26">
        <f>IF(D26="High",0,IF(D26="Medium",0.05,IF(D26="Low",0.1,IF(D26="Unknown",0.15,""))))</f>
        <v>0.05</v>
      </c>
      <c r="G26">
        <f>E26*(1+F26)</f>
        <v>0</v>
      </c>
      <c r="H26" t="s">
        <v>803</v>
      </c>
      <c r="I26" t="s">
        <v>804</v>
      </c>
      <c r="J26" t="s">
        <v>166</v>
      </c>
      <c r="K26" s="24">
        <f>IF(I26="","",MAX(IFERROR(DATEVALUE(TRIM(MID(SUBSTITUTE(I26,";",REPT(" ",50)),1,50))),0),IFERROR(DATEVALUE(TRIM(MID(SUBSTITUTE(I26,";",REPT(" ",50)),51,50))),0),IFERROR(DATEVALUE(TRIM(MID(SUBSTITUTE(I26,";",REPT(" ",50)),101,50))),0),IFERROR(DATEVALUE(TRIM(MID(SUBSTITUTE(I26,";",REPT(" ",50)),151,50))),0),IFERROR(DATEVALUE(TRIM(MID(SUBSTITUTE(I26,";",REPT(" ",50)),201,50))),0),IFERROR(DATEVALUE(TRIM(MID(SUBSTITUTE(I26,";",REPT(" ",50)),251,50))),0),IFERROR(DATEVALUE(TRIM(MID(SUBSTITUTE(I26,";",REPT(" ",50)),301,50))),0),IFERROR(DATEVALUE(TRIM(MID(SUBSTITUTE(I26,";",REPT(" ",50)),351,50))),0),IFERROR(DATEVALUE(TRIM(MID(SUBSTITUTE(I26,";",REPT(" ",50)),401,50))),0),IFERROR(DATEVALUE(TRIM(MID(SUBSTITUTE(I26,";",REPT(" ",50)),451,50))),0)))</f>
        <v>45855</v>
      </c>
      <c r="L26">
        <f ca="1">IF(K26="","",TODAY()-K26)</f>
        <v>157</v>
      </c>
      <c r="M26" t="s">
        <v>185</v>
      </c>
      <c r="N26">
        <f ca="1">IF(M26="","",IF(L26="",INDEX($F$63:$F$66,MATCH(M26,$C$63:$C$66,0)),IF(L26&lt;=INDEX($D$63:$D$66,MATCH(M26,$C$63:$C$66,0)),0,IF(L26&lt;=INDEX($E$63:$E$66,MATCH(M26,$C$63:$C$66,0)),INDEX($F$63:$F$66,MATCH(M26,$C$63:$C$66,0)),INDEX($G$63:$G$66,MATCH(M26,$C$63:$C$66,0))))))</f>
        <v>0</v>
      </c>
      <c r="O26">
        <f ca="1">G26+N26</f>
        <v>0</v>
      </c>
      <c r="P26" t="str">
        <f>IF(C26="Frequently highlighted as an illicit-usage asset","Review Required","No Review")</f>
        <v>No Review</v>
      </c>
      <c r="Q26" t="s">
        <v>805</v>
      </c>
      <c r="R26" t="s">
        <v>806</v>
      </c>
    </row>
    <row r="27" spans="1:18" x14ac:dyDescent="0.2">
      <c r="A27" t="s">
        <v>612</v>
      </c>
      <c r="B27" t="s">
        <v>807</v>
      </c>
      <c r="C27" t="s">
        <v>808</v>
      </c>
      <c r="D27" t="s">
        <v>182</v>
      </c>
      <c r="E27">
        <f>IF(C27="Limited / unexceptional",0,IF(C27="Some notable schemes",10,IF(C27="Frequently used in fraud / rug-pull typologies",20,IF(C27="Unknown",10,""))))</f>
        <v>10</v>
      </c>
      <c r="F27">
        <f>IF(D27="High",0,IF(D27="Medium",0.05,IF(D27="Low",0.1,IF(D27="Unknown",0.15,""))))</f>
        <v>0.05</v>
      </c>
      <c r="G27">
        <f>E27*(1+F27)</f>
        <v>10.5</v>
      </c>
      <c r="H27" t="s">
        <v>809</v>
      </c>
      <c r="I27" t="s">
        <v>810</v>
      </c>
      <c r="J27" t="s">
        <v>166</v>
      </c>
      <c r="K27" s="24">
        <f>IF(I27="","",MAX(IFERROR(DATEVALUE(TRIM(MID(SUBSTITUTE(I27,";",REPT(" ",50)),1,50))),0),IFERROR(DATEVALUE(TRIM(MID(SUBSTITUTE(I27,";",REPT(" ",50)),51,50))),0),IFERROR(DATEVALUE(TRIM(MID(SUBSTITUTE(I27,";",REPT(" ",50)),101,50))),0),IFERROR(DATEVALUE(TRIM(MID(SUBSTITUTE(I27,";",REPT(" ",50)),151,50))),0),IFERROR(DATEVALUE(TRIM(MID(SUBSTITUTE(I27,";",REPT(" ",50)),201,50))),0),IFERROR(DATEVALUE(TRIM(MID(SUBSTITUTE(I27,";",REPT(" ",50)),251,50))),0),IFERROR(DATEVALUE(TRIM(MID(SUBSTITUTE(I27,";",REPT(" ",50)),301,50))),0),IFERROR(DATEVALUE(TRIM(MID(SUBSTITUTE(I27,";",REPT(" ",50)),351,50))),0),IFERROR(DATEVALUE(TRIM(MID(SUBSTITUTE(I27,";",REPT(" ",50)),401,50))),0),IFERROR(DATEVALUE(TRIM(MID(SUBSTITUTE(I27,";",REPT(" ",50)),451,50))),0)))</f>
        <v>45845</v>
      </c>
      <c r="L27">
        <f ca="1">IF(K27="","",TODAY()-K27)</f>
        <v>167</v>
      </c>
      <c r="M27" t="s">
        <v>185</v>
      </c>
      <c r="N27">
        <f ca="1">IF(M27="","",IF(L27="",INDEX($F$63:$F$66,MATCH(M27,$C$63:$C$66,0)),IF(L27&lt;=INDEX($D$63:$D$66,MATCH(M27,$C$63:$C$66,0)),0,IF(L27&lt;=INDEX($E$63:$E$66,MATCH(M27,$C$63:$C$66,0)),INDEX($F$63:$F$66,MATCH(M27,$C$63:$C$66,0)),INDEX($G$63:$G$66,MATCH(M27,$C$63:$C$66,0))))))</f>
        <v>0</v>
      </c>
      <c r="O27">
        <f ca="1">G27+N27</f>
        <v>10.5</v>
      </c>
      <c r="P27" t="str">
        <f>IF(C27="Frequently used in fraud / rug-pull typologies","Review Required","No Review")</f>
        <v>No Review</v>
      </c>
      <c r="Q27" t="s">
        <v>811</v>
      </c>
      <c r="R27" t="s">
        <v>812</v>
      </c>
    </row>
    <row r="28" spans="1:18" x14ac:dyDescent="0.2">
      <c r="A28" t="s">
        <v>617</v>
      </c>
      <c r="B28" t="s">
        <v>813</v>
      </c>
      <c r="C28" t="s">
        <v>814</v>
      </c>
      <c r="D28" t="s">
        <v>182</v>
      </c>
      <c r="E28">
        <f>IF(C28="No specific association",0,IF(C28="Some reported use",10,IF(C28="Significant / recurring association",20,IF(C28="Unknown",10,""))))</f>
        <v>0</v>
      </c>
      <c r="F28">
        <f>IF(D28="High",0,IF(D28="Medium",0.05,IF(D28="Low",0.1,IF(D28="Unknown",0.15,""))))</f>
        <v>0.05</v>
      </c>
      <c r="G28">
        <f>E28*(1+F28)</f>
        <v>0</v>
      </c>
      <c r="H28" t="s">
        <v>815</v>
      </c>
      <c r="I28" t="s">
        <v>816</v>
      </c>
      <c r="J28" t="s">
        <v>166</v>
      </c>
      <c r="K28" s="24">
        <f>IF(I28="","",MAX(IFERROR(DATEVALUE(TRIM(MID(SUBSTITUTE(I28,";",REPT(" ",50)),1,50))),0),IFERROR(DATEVALUE(TRIM(MID(SUBSTITUTE(I28,";",REPT(" ",50)),51,50))),0),IFERROR(DATEVALUE(TRIM(MID(SUBSTITUTE(I28,";",REPT(" ",50)),101,50))),0),IFERROR(DATEVALUE(TRIM(MID(SUBSTITUTE(I28,";",REPT(" ",50)),151,50))),0),IFERROR(DATEVALUE(TRIM(MID(SUBSTITUTE(I28,";",REPT(" ",50)),201,50))),0),IFERROR(DATEVALUE(TRIM(MID(SUBSTITUTE(I28,";",REPT(" ",50)),251,50))),0),IFERROR(DATEVALUE(TRIM(MID(SUBSTITUTE(I28,";",REPT(" ",50)),301,50))),0),IFERROR(DATEVALUE(TRIM(MID(SUBSTITUTE(I28,";",REPT(" ",50)),351,50))),0),IFERROR(DATEVALUE(TRIM(MID(SUBSTITUTE(I28,";",REPT(" ",50)),401,50))),0),IFERROR(DATEVALUE(TRIM(MID(SUBSTITUTE(I28,";",REPT(" ",50)),451,50))),0)))</f>
        <v>45985</v>
      </c>
      <c r="L28">
        <f ca="1">IF(K28="","",TODAY()-K28)</f>
        <v>27</v>
      </c>
      <c r="M28" t="s">
        <v>275</v>
      </c>
      <c r="N28">
        <f ca="1">IF(M28="","",IF(L28="",INDEX($F$63:$F$66,MATCH(M28,$C$63:$C$66,0)),IF(L28&lt;=INDEX($D$63:$D$66,MATCH(M28,$C$63:$C$66,0)),0,IF(L28&lt;=INDEX($E$63:$E$66,MATCH(M28,$C$63:$C$66,0)),INDEX($F$63:$F$66,MATCH(M28,$C$63:$C$66,0)),INDEX($G$63:$G$66,MATCH(M28,$C$63:$C$66,0))))))</f>
        <v>0</v>
      </c>
      <c r="O28">
        <f ca="1">G28+N28</f>
        <v>0</v>
      </c>
      <c r="P28" t="str">
        <f>IF(C28="Significant / recurring association","Review Required","No Review")</f>
        <v>No Review</v>
      </c>
      <c r="Q28" t="s">
        <v>817</v>
      </c>
      <c r="R28" t="s">
        <v>818</v>
      </c>
    </row>
    <row r="29" spans="1:18" x14ac:dyDescent="0.2">
      <c r="A29" t="s">
        <v>640</v>
      </c>
      <c r="B29" t="s">
        <v>819</v>
      </c>
      <c r="C29" t="s">
        <v>820</v>
      </c>
      <c r="D29" t="s">
        <v>182</v>
      </c>
      <c r="E29">
        <v>0</v>
      </c>
      <c r="F29">
        <f>IF(D29="High",0,IF(D29="Medium",0.05,IF(D29="Low",0.1,IF(D29="Unknown",0.15,""))))</f>
        <v>0.05</v>
      </c>
      <c r="G29">
        <f>E29*(1+F29)</f>
        <v>0</v>
      </c>
      <c r="H29" t="s">
        <v>821</v>
      </c>
      <c r="I29" t="s">
        <v>822</v>
      </c>
      <c r="J29" t="s">
        <v>166</v>
      </c>
      <c r="K29" s="24">
        <f>IF(I29="","",MAX(IFERROR(DATEVALUE(TRIM(MID(SUBSTITUTE(I29,";",REPT(" ",50)),1,50))),0),IFERROR(DATEVALUE(TRIM(MID(SUBSTITUTE(I29,";",REPT(" ",50)),51,50))),0),IFERROR(DATEVALUE(TRIM(MID(SUBSTITUTE(I29,";",REPT(" ",50)),101,50))),0),IFERROR(DATEVALUE(TRIM(MID(SUBSTITUTE(I29,";",REPT(" ",50)),151,50))),0),IFERROR(DATEVALUE(TRIM(MID(SUBSTITUTE(I29,";",REPT(" ",50)),201,50))),0),IFERROR(DATEVALUE(TRIM(MID(SUBSTITUTE(I29,";",REPT(" ",50)),251,50))),0),IFERROR(DATEVALUE(TRIM(MID(SUBSTITUTE(I29,";",REPT(" ",50)),301,50))),0),IFERROR(DATEVALUE(TRIM(MID(SUBSTITUTE(I29,";",REPT(" ",50)),351,50))),0),IFERROR(DATEVALUE(TRIM(MID(SUBSTITUTE(I29,";",REPT(" ",50)),401,50))),0),IFERROR(DATEVALUE(TRIM(MID(SUBSTITUTE(I29,";",REPT(" ",50)),451,50))),0)))</f>
        <v>45902</v>
      </c>
      <c r="L29">
        <f ca="1">IF(K29="","",TODAY()-K29)</f>
        <v>110</v>
      </c>
      <c r="M29" t="s">
        <v>185</v>
      </c>
      <c r="N29">
        <f ca="1">IF(M29="","",IF(L29="",INDEX($F$63:$F$66,MATCH(M29,$C$63:$C$66,0)),IF(L29&lt;=INDEX($D$63:$D$66,MATCH(M29,$C$63:$C$66,0)),0,IF(L29&lt;=INDEX($E$63:$E$66,MATCH(M29,$C$63:$C$66,0)),INDEX($F$63:$F$66,MATCH(M29,$C$63:$C$66,0)),INDEX($G$63:$G$66,MATCH(M29,$C$63:$C$66,0))))))</f>
        <v>0</v>
      </c>
      <c r="O29">
        <f ca="1">G29+N29</f>
        <v>0</v>
      </c>
      <c r="P29" t="s">
        <v>168</v>
      </c>
      <c r="Q29" t="s">
        <v>823</v>
      </c>
      <c r="R29" t="s">
        <v>824</v>
      </c>
    </row>
    <row r="30" spans="1:18" x14ac:dyDescent="0.2">
      <c r="A30" s="3"/>
      <c r="B30" s="48"/>
      <c r="C30" s="49"/>
      <c r="D30" s="49"/>
      <c r="E30" s="49"/>
      <c r="F30" s="49"/>
      <c r="G30" s="49"/>
      <c r="H30" s="49"/>
      <c r="I30" s="49"/>
      <c r="J30" s="49"/>
      <c r="K30" s="50"/>
      <c r="L30" s="49"/>
      <c r="M30" s="49"/>
      <c r="N30" s="49"/>
      <c r="O30" s="49"/>
      <c r="P30" s="49"/>
      <c r="Q30" s="49"/>
      <c r="R30" s="49"/>
    </row>
    <row r="31" spans="1:18" x14ac:dyDescent="0.2">
      <c r="A31" t="s">
        <v>825</v>
      </c>
      <c r="B31" t="s">
        <v>826</v>
      </c>
      <c r="C31" t="s">
        <v>827</v>
      </c>
      <c r="D31" t="s">
        <v>182</v>
      </c>
      <c r="E31">
        <f>IF(C31="Not explicitly named",0,IF(C31="Named in isolated / incidental cases",10,IF(C31="Repeatedly named as relevant to typologies or cases",20,IF(C31="Unknown",10,""))))</f>
        <v>0</v>
      </c>
      <c r="F31">
        <f>IF(D31="High",0,IF(D31="Medium",0.05,IF(D31="Low",0.1,IF(D31="Unknown",0.15,""))))</f>
        <v>0.05</v>
      </c>
      <c r="G31">
        <f>E31*(1+F31)</f>
        <v>0</v>
      </c>
      <c r="H31" t="s">
        <v>828</v>
      </c>
      <c r="I31" t="s">
        <v>829</v>
      </c>
      <c r="J31" t="s">
        <v>166</v>
      </c>
      <c r="K31" s="24">
        <f>IF(I31="","",MAX(IFERROR(DATEVALUE(TRIM(MID(SUBSTITUTE(I31,";",REPT(" ",50)),1,50))),0),IFERROR(DATEVALUE(TRIM(MID(SUBSTITUTE(I31,";",REPT(" ",50)),51,50))),0),IFERROR(DATEVALUE(TRIM(MID(SUBSTITUTE(I31,";",REPT(" ",50)),101,50))),0),IFERROR(DATEVALUE(TRIM(MID(SUBSTITUTE(I31,";",REPT(" ",50)),151,50))),0),IFERROR(DATEVALUE(TRIM(MID(SUBSTITUTE(I31,";",REPT(" ",50)),201,50))),0),IFERROR(DATEVALUE(TRIM(MID(SUBSTITUTE(I31,";",REPT(" ",50)),251,50))),0),IFERROR(DATEVALUE(TRIM(MID(SUBSTITUTE(I31,";",REPT(" ",50)),301,50))),0),IFERROR(DATEVALUE(TRIM(MID(SUBSTITUTE(I31,";",REPT(" ",50)),351,50))),0),IFERROR(DATEVALUE(TRIM(MID(SUBSTITUTE(I31,";",REPT(" ",50)),401,50))),0),IFERROR(DATEVALUE(TRIM(MID(SUBSTITUTE(I31,";",REPT(" ",50)),451,50))),0)))</f>
        <v>45979</v>
      </c>
      <c r="L31">
        <f ca="1">IF(K31="","",TODAY()-K31)</f>
        <v>33</v>
      </c>
      <c r="M31" t="s">
        <v>185</v>
      </c>
      <c r="N31">
        <f ca="1">IF(M31="","",IF(L31="",INDEX($F$63:$F$66,MATCH(M31,$C$63:$C$66,0)),IF(L31&lt;=INDEX($D$63:$D$66,MATCH(M31,$C$63:$C$66,0)),0,IF(L31&lt;=INDEX($E$63:$E$66,MATCH(M31,$C$63:$C$66,0)),INDEX($F$63:$F$66,MATCH(M31,$C$63:$C$66,0)),INDEX($G$63:$G$66,MATCH(M31,$C$63:$C$66,0))))))</f>
        <v>0</v>
      </c>
      <c r="O31">
        <f ca="1">G31+N31</f>
        <v>0</v>
      </c>
      <c r="P31" t="str">
        <f>IF(C31="Repeatedly named as relevant to typologies or cases","Review Required","No Review")</f>
        <v>No Review</v>
      </c>
      <c r="Q31" t="s">
        <v>830</v>
      </c>
      <c r="R31" t="s">
        <v>831</v>
      </c>
    </row>
    <row r="32" spans="1:18" x14ac:dyDescent="0.2">
      <c r="A32" t="s">
        <v>832</v>
      </c>
      <c r="B32" t="s">
        <v>833</v>
      </c>
      <c r="C32" t="s">
        <v>834</v>
      </c>
      <c r="D32" t="s">
        <v>182</v>
      </c>
      <c r="E32">
        <f>IF(C32="No significant seizures",0,IF(C32="Some notable seizures",10,IF(C32="Large / high-profile multi-case seizures",20,IF(C32="Unknown",10,""))))</f>
        <v>0</v>
      </c>
      <c r="F32">
        <f>IF(D32="High",0,IF(D32="Medium",0.05,IF(D32="Low",0.1,IF(D32="Unknown",0.15,""))))</f>
        <v>0.05</v>
      </c>
      <c r="G32">
        <f>E32*(1+F32)</f>
        <v>0</v>
      </c>
      <c r="H32" t="s">
        <v>835</v>
      </c>
      <c r="I32" t="s">
        <v>836</v>
      </c>
      <c r="J32" t="s">
        <v>176</v>
      </c>
      <c r="K32" s="24">
        <f>IF(I32="","",MAX(IFERROR(DATEVALUE(TRIM(MID(SUBSTITUTE(I32,";",REPT(" ",50)),1,50))),0),IFERROR(DATEVALUE(TRIM(MID(SUBSTITUTE(I32,";",REPT(" ",50)),51,50))),0),IFERROR(DATEVALUE(TRIM(MID(SUBSTITUTE(I32,";",REPT(" ",50)),101,50))),0),IFERROR(DATEVALUE(TRIM(MID(SUBSTITUTE(I32,";",REPT(" ",50)),151,50))),0),IFERROR(DATEVALUE(TRIM(MID(SUBSTITUTE(I32,";",REPT(" ",50)),201,50))),0),IFERROR(DATEVALUE(TRIM(MID(SUBSTITUTE(I32,";",REPT(" ",50)),251,50))),0),IFERROR(DATEVALUE(TRIM(MID(SUBSTITUTE(I32,";",REPT(" ",50)),301,50))),0),IFERROR(DATEVALUE(TRIM(MID(SUBSTITUTE(I32,";",REPT(" ",50)),351,50))),0),IFERROR(DATEVALUE(TRIM(MID(SUBSTITUTE(I32,";",REPT(" ",50)),401,50))),0),IFERROR(DATEVALUE(TRIM(MID(SUBSTITUTE(I32,";",REPT(" ",50)),451,50))),0)))</f>
        <v>45924</v>
      </c>
      <c r="L32">
        <f ca="1">IF(K32="","",TODAY()-K32)</f>
        <v>88</v>
      </c>
      <c r="M32" t="s">
        <v>185</v>
      </c>
      <c r="N32">
        <f ca="1">IF(M32="","",IF(L32="",INDEX($F$63:$F$66,MATCH(M32,$C$63:$C$66,0)),IF(L32&lt;=INDEX($D$63:$D$66,MATCH(M32,$C$63:$C$66,0)),0,IF(L32&lt;=INDEX($E$63:$E$66,MATCH(M32,$C$63:$C$66,0)),INDEX($F$63:$F$66,MATCH(M32,$C$63:$C$66,0)),INDEX($G$63:$G$66,MATCH(M32,$C$63:$C$66,0))))))</f>
        <v>0</v>
      </c>
      <c r="O32">
        <f ca="1">G32+N32</f>
        <v>0</v>
      </c>
      <c r="P32" t="s">
        <v>168</v>
      </c>
      <c r="Q32" t="s">
        <v>837</v>
      </c>
      <c r="R32" t="s">
        <v>838</v>
      </c>
    </row>
    <row r="33" spans="1:18" x14ac:dyDescent="0.2">
      <c r="A33" t="s">
        <v>839</v>
      </c>
      <c r="B33" t="s">
        <v>840</v>
      </c>
      <c r="C33" t="s">
        <v>841</v>
      </c>
      <c r="D33" t="s">
        <v>182</v>
      </c>
      <c r="E33">
        <f>IF(C33="No TF-specific reference",0,IF(C33="Some TF-related references",10,IF(C33="Significant TF-related designation / repeated references",20,IF(C33="Unknown",10,""))))</f>
        <v>0</v>
      </c>
      <c r="F33">
        <f>IF(D33="High",0,IF(D33="Medium",0.05,IF(D33="Low",0.1,IF(D33="Unknown",0.15,""))))</f>
        <v>0.05</v>
      </c>
      <c r="G33">
        <f>E33*(1+F33)</f>
        <v>0</v>
      </c>
      <c r="H33" t="s">
        <v>842</v>
      </c>
      <c r="I33" t="s">
        <v>843</v>
      </c>
      <c r="J33" t="s">
        <v>176</v>
      </c>
      <c r="K33" s="24">
        <f>IF(I33="","",MAX(IFERROR(DATEVALUE(TRIM(MID(SUBSTITUTE(I33,";",REPT(" ",50)),1,50))),0),IFERROR(DATEVALUE(TRIM(MID(SUBSTITUTE(I33,";",REPT(" ",50)),51,50))),0),IFERROR(DATEVALUE(TRIM(MID(SUBSTITUTE(I33,";",REPT(" ",50)),101,50))),0),IFERROR(DATEVALUE(TRIM(MID(SUBSTITUTE(I33,";",REPT(" ",50)),151,50))),0),IFERROR(DATEVALUE(TRIM(MID(SUBSTITUTE(I33,";",REPT(" ",50)),201,50))),0),IFERROR(DATEVALUE(TRIM(MID(SUBSTITUTE(I33,";",REPT(" ",50)),251,50))),0),IFERROR(DATEVALUE(TRIM(MID(SUBSTITUTE(I33,";",REPT(" ",50)),301,50))),0),IFERROR(DATEVALUE(TRIM(MID(SUBSTITUTE(I33,";",REPT(" ",50)),351,50))),0),IFERROR(DATEVALUE(TRIM(MID(SUBSTITUTE(I33,";",REPT(" ",50)),401,50))),0),IFERROR(DATEVALUE(TRIM(MID(SUBSTITUTE(I33,";",REPT(" ",50)),451,50))),0)))</f>
        <v>46009</v>
      </c>
      <c r="L33">
        <f ca="1">IF(K33="","",TODAY()-K33)</f>
        <v>3</v>
      </c>
      <c r="M33" t="s">
        <v>275</v>
      </c>
      <c r="N33">
        <f ca="1">IF(M33="","",IF(L33="",INDEX($F$63:$F$66,MATCH(M33,$C$63:$C$66,0)),IF(L33&lt;=INDEX($D$63:$D$66,MATCH(M33,$C$63:$C$66,0)),0,IF(L33&lt;=INDEX($E$63:$E$66,MATCH(M33,$C$63:$C$66,0)),INDEX($F$63:$F$66,MATCH(M33,$C$63:$C$66,0)),INDEX($G$63:$G$66,MATCH(M33,$C$63:$C$66,0))))))</f>
        <v>0</v>
      </c>
      <c r="O33">
        <f ca="1">G33+N33</f>
        <v>0</v>
      </c>
      <c r="P33" t="str">
        <f>IF(C33="Significant TF-related designation / repeated references","Review Required","No Review")</f>
        <v>No Review</v>
      </c>
      <c r="Q33" t="s">
        <v>844</v>
      </c>
      <c r="R33" t="s">
        <v>845</v>
      </c>
    </row>
    <row r="34" spans="1:18" x14ac:dyDescent="0.2">
      <c r="A34" t="s">
        <v>846</v>
      </c>
      <c r="B34" t="s">
        <v>847</v>
      </c>
      <c r="C34" t="s">
        <v>848</v>
      </c>
      <c r="D34" t="s">
        <v>182</v>
      </c>
      <c r="E34">
        <v>0</v>
      </c>
      <c r="F34">
        <f>IF(D34="High",0,IF(D34="Medium",0.05,IF(D34="Low",0.1,IF(D34="Unknown",0.15,""))))</f>
        <v>0.05</v>
      </c>
      <c r="G34">
        <f>E34*(1+F34)</f>
        <v>0</v>
      </c>
      <c r="H34" t="s">
        <v>849</v>
      </c>
      <c r="I34" t="s">
        <v>850</v>
      </c>
      <c r="J34" t="s">
        <v>166</v>
      </c>
      <c r="K34" s="24">
        <f>IF(I34="","",MAX(IFERROR(DATEVALUE(TRIM(MID(SUBSTITUTE(I34,";",REPT(" ",50)),1,50))),0),IFERROR(DATEVALUE(TRIM(MID(SUBSTITUTE(I34,";",REPT(" ",50)),51,50))),0),IFERROR(DATEVALUE(TRIM(MID(SUBSTITUTE(I34,";",REPT(" ",50)),101,50))),0),IFERROR(DATEVALUE(TRIM(MID(SUBSTITUTE(I34,";",REPT(" ",50)),151,50))),0),IFERROR(DATEVALUE(TRIM(MID(SUBSTITUTE(I34,";",REPT(" ",50)),201,50))),0),IFERROR(DATEVALUE(TRIM(MID(SUBSTITUTE(I34,";",REPT(" ",50)),251,50))),0),IFERROR(DATEVALUE(TRIM(MID(SUBSTITUTE(I34,";",REPT(" ",50)),301,50))),0),IFERROR(DATEVALUE(TRIM(MID(SUBSTITUTE(I34,";",REPT(" ",50)),351,50))),0),IFERROR(DATEVALUE(TRIM(MID(SUBSTITUTE(I34,";",REPT(" ",50)),401,50))),0),IFERROR(DATEVALUE(TRIM(MID(SUBSTITUTE(I34,";",REPT(" ",50)),451,50))),0)))</f>
        <v>45981</v>
      </c>
      <c r="L34">
        <f ca="1">IF(K34="","",TODAY()-K34)</f>
        <v>31</v>
      </c>
      <c r="M34" t="s">
        <v>275</v>
      </c>
      <c r="N34">
        <f ca="1">IF(M34="","",IF(L34="",INDEX($F$63:$F$66,MATCH(M34,$C$63:$C$66,0)),IF(L34&lt;=INDEX($D$63:$D$66,MATCH(M34,$C$63:$C$66,0)),0,IF(L34&lt;=INDEX($E$63:$E$66,MATCH(M34,$C$63:$C$66,0)),INDEX($F$63:$F$66,MATCH(M34,$C$63:$C$66,0)),INDEX($G$63:$G$66,MATCH(M34,$C$63:$C$66,0))))))</f>
        <v>0</v>
      </c>
      <c r="O34">
        <f ca="1">G34+N34</f>
        <v>0</v>
      </c>
      <c r="P34" t="s">
        <v>168</v>
      </c>
      <c r="Q34" t="s">
        <v>823</v>
      </c>
      <c r="R34" t="s">
        <v>851</v>
      </c>
    </row>
    <row r="35" spans="1:18" x14ac:dyDescent="0.2">
      <c r="A35" s="4"/>
      <c r="B35" s="5" t="s">
        <v>852</v>
      </c>
      <c r="C35" s="4"/>
      <c r="D35" s="4"/>
      <c r="E35" s="4"/>
      <c r="F35" s="4"/>
      <c r="G35" s="4"/>
      <c r="H35" s="4"/>
      <c r="I35" s="4"/>
      <c r="J35" s="4"/>
      <c r="K35" s="23" t="str">
        <f>IF(I35="","",MAX(IFERROR(DATEVALUE(TRIM(MID(SUBSTITUTE(I35,";",REPT(" ",50)),1,50))),0),IFERROR(DATEVALUE(TRIM(MID(SUBSTITUTE(I35,";",REPT(" ",50)),51,50))),0),IFERROR(DATEVALUE(TRIM(MID(SUBSTITUTE(I35,";",REPT(" ",50)),101,50))),0),IFERROR(DATEVALUE(TRIM(MID(SUBSTITUTE(I35,";",REPT(" ",50)),151,50))),0),IFERROR(DATEVALUE(TRIM(MID(SUBSTITUTE(I35,";",REPT(" ",50)),201,50))),0),IFERROR(DATEVALUE(TRIM(MID(SUBSTITUTE(I35,";",REPT(" ",50)),251,50))),0),IFERROR(DATEVALUE(TRIM(MID(SUBSTITUTE(I35,";",REPT(" ",50)),301,50))),0),IFERROR(DATEVALUE(TRIM(MID(SUBSTITUTE(I35,";",REPT(" ",50)),351,50))),0),IFERROR(DATEVALUE(TRIM(MID(SUBSTITUTE(I35,";",REPT(" ",50)),401,50))),0),IFERROR(DATEVALUE(TRIM(MID(SUBSTITUTE(I35,";",REPT(" ",50)),451,50))),0)))</f>
        <v/>
      </c>
      <c r="L35" s="4"/>
      <c r="M35" s="4"/>
      <c r="N35" s="4" t="str">
        <f>IF(M35="","",IF(L35="",INDEX($F$63:$F$66,MATCH(M35,$C$63:$C$66,0)),IF(L35&lt;=INDEX($D$63:$D$66,MATCH(M35,$C$63:$C$66,0)),0,IF(L35&lt;=INDEX($E$63:$E$66,MATCH(M35,$C$63:$C$66,0)),INDEX($F$63:$F$66,MATCH(M35,$C$63:$C$66,0)),INDEX($G$63:$G$66,MATCH(M35,$C$63:$C$66,0))))))</f>
        <v/>
      </c>
      <c r="O35" s="4"/>
      <c r="P35" s="4"/>
      <c r="Q35" s="4"/>
      <c r="R35" s="4"/>
    </row>
    <row r="36" spans="1:18" x14ac:dyDescent="0.2">
      <c r="A36" s="3"/>
      <c r="B36" s="48"/>
      <c r="C36" s="49"/>
      <c r="D36" s="49"/>
      <c r="E36" s="49"/>
      <c r="F36" s="49"/>
      <c r="G36" s="49"/>
      <c r="H36" s="49"/>
      <c r="I36" s="49"/>
      <c r="J36" s="49"/>
      <c r="K36" s="50"/>
      <c r="L36" s="49"/>
      <c r="M36" s="49"/>
      <c r="N36" s="49"/>
      <c r="O36" s="49"/>
      <c r="P36" s="49"/>
      <c r="Q36" s="49"/>
      <c r="R36" s="49"/>
    </row>
    <row r="37" spans="1:18" x14ac:dyDescent="0.2">
      <c r="A37" t="s">
        <v>853</v>
      </c>
      <c r="B37" t="s">
        <v>854</v>
      </c>
      <c r="C37" t="s">
        <v>855</v>
      </c>
      <c r="D37" t="s">
        <v>163</v>
      </c>
      <c r="E37">
        <f>IF(C37="Integrated as a core feature",0,IF(C37="Some integrations via partners",10,IF(C37="No integration",20,IF(C37="Unknown",10,""))))</f>
        <v>10</v>
      </c>
      <c r="F37">
        <f>IF(D37="High",0,IF(D37="Medium",0.05,IF(D37="Low",0.1,IF(D37="Unknown",0.15,""))))</f>
        <v>0</v>
      </c>
      <c r="G37">
        <f>E37*(1+F37)</f>
        <v>10</v>
      </c>
      <c r="H37" t="s">
        <v>856</v>
      </c>
      <c r="I37" t="s">
        <v>857</v>
      </c>
      <c r="J37" t="s">
        <v>176</v>
      </c>
      <c r="K37" s="24">
        <f>IF(I37="","",MAX(IFERROR(DATEVALUE(TRIM(MID(SUBSTITUTE(I37,";",REPT(" ",50)),1,50))),0),IFERROR(DATEVALUE(TRIM(MID(SUBSTITUTE(I37,";",REPT(" ",50)),51,50))),0),IFERROR(DATEVALUE(TRIM(MID(SUBSTITUTE(I37,";",REPT(" ",50)),101,50))),0),IFERROR(DATEVALUE(TRIM(MID(SUBSTITUTE(I37,";",REPT(" ",50)),151,50))),0),IFERROR(DATEVALUE(TRIM(MID(SUBSTITUTE(I37,";",REPT(" ",50)),201,50))),0),IFERROR(DATEVALUE(TRIM(MID(SUBSTITUTE(I37,";",REPT(" ",50)),251,50))),0),IFERROR(DATEVALUE(TRIM(MID(SUBSTITUTE(I37,";",REPT(" ",50)),301,50))),0),IFERROR(DATEVALUE(TRIM(MID(SUBSTITUTE(I37,";",REPT(" ",50)),351,50))),0),IFERROR(DATEVALUE(TRIM(MID(SUBSTITUTE(I37,";",REPT(" ",50)),401,50))),0),IFERROR(DATEVALUE(TRIM(MID(SUBSTITUTE(I37,";",REPT(" ",50)),451,50))),0)))</f>
        <v>45981</v>
      </c>
      <c r="L37">
        <f ca="1">IF(K37="","",TODAY()-K37)</f>
        <v>31</v>
      </c>
      <c r="M37" t="s">
        <v>185</v>
      </c>
      <c r="N37">
        <f ca="1">IF(M37="","",IF(L37="",INDEX($F$63:$F$66,MATCH(M37,$C$63:$C$66,0)),IF(L37&lt;=INDEX($D$63:$D$66,MATCH(M37,$C$63:$C$66,0)),0,IF(L37&lt;=INDEX($E$63:$E$66,MATCH(M37,$C$63:$C$66,0)),INDEX($F$63:$F$66,MATCH(M37,$C$63:$C$66,0)),INDEX($G$63:$G$66,MATCH(M37,$C$63:$C$66,0))))))</f>
        <v>0</v>
      </c>
      <c r="O37">
        <f ca="1">G37+N37</f>
        <v>10</v>
      </c>
      <c r="P37" t="s">
        <v>168</v>
      </c>
      <c r="Q37" t="s">
        <v>858</v>
      </c>
      <c r="R37" t="s">
        <v>859</v>
      </c>
    </row>
    <row r="38" spans="1:18" x14ac:dyDescent="0.2">
      <c r="A38" t="s">
        <v>860</v>
      </c>
      <c r="B38" t="s">
        <v>861</v>
      </c>
      <c r="C38" t="s">
        <v>862</v>
      </c>
      <c r="D38" t="s">
        <v>163</v>
      </c>
      <c r="E38">
        <f>IF(C38="Native / enforced screening",0,IF(C38="Partial screening via partners",10,IF(C38="No screening",20,IF(C38="Unknown",10,""))))</f>
        <v>0</v>
      </c>
      <c r="F38">
        <f>IF(D38="High",0,IF(D38="Medium",0.05,IF(D38="Low",0.1,IF(D38="Unknown",0.15,""))))</f>
        <v>0</v>
      </c>
      <c r="G38">
        <f>E38*(1+F38)</f>
        <v>0</v>
      </c>
      <c r="H38" t="s">
        <v>863</v>
      </c>
      <c r="I38" t="s">
        <v>864</v>
      </c>
      <c r="J38" t="s">
        <v>166</v>
      </c>
      <c r="K38" s="24">
        <f>IF(I38="","",MAX(IFERROR(DATEVALUE(TRIM(MID(SUBSTITUTE(I38,";",REPT(" ",50)),1,50))),0),IFERROR(DATEVALUE(TRIM(MID(SUBSTITUTE(I38,";",REPT(" ",50)),51,50))),0),IFERROR(DATEVALUE(TRIM(MID(SUBSTITUTE(I38,";",REPT(" ",50)),101,50))),0),IFERROR(DATEVALUE(TRIM(MID(SUBSTITUTE(I38,";",REPT(" ",50)),151,50))),0),IFERROR(DATEVALUE(TRIM(MID(SUBSTITUTE(I38,";",REPT(" ",50)),201,50))),0),IFERROR(DATEVALUE(TRIM(MID(SUBSTITUTE(I38,";",REPT(" ",50)),251,50))),0),IFERROR(DATEVALUE(TRIM(MID(SUBSTITUTE(I38,";",REPT(" ",50)),301,50))),0),IFERROR(DATEVALUE(TRIM(MID(SUBSTITUTE(I38,";",REPT(" ",50)),351,50))),0),IFERROR(DATEVALUE(TRIM(MID(SUBSTITUTE(I38,";",REPT(" ",50)),401,50))),0),IFERROR(DATEVALUE(TRIM(MID(SUBSTITUTE(I38,";",REPT(" ",50)),451,50))),0)))</f>
        <v>45924</v>
      </c>
      <c r="L38">
        <f ca="1">IF(K38="","",TODAY()-K38)</f>
        <v>88</v>
      </c>
      <c r="M38" t="s">
        <v>275</v>
      </c>
      <c r="N38">
        <f ca="1">IF(M38="","",IF(L38="",INDEX($F$63:$F$66,MATCH(M38,$C$63:$C$66,0)),IF(L38&lt;=INDEX($D$63:$D$66,MATCH(M38,$C$63:$C$66,0)),0,IF(L38&lt;=INDEX($E$63:$E$66,MATCH(M38,$C$63:$C$66,0)),INDEX($F$63:$F$66,MATCH(M38,$C$63:$C$66,0)),INDEX($G$63:$G$66,MATCH(M38,$C$63:$C$66,0))))))</f>
        <v>0</v>
      </c>
      <c r="O38">
        <f ca="1">G38+N38</f>
        <v>0</v>
      </c>
      <c r="P38" t="s">
        <v>168</v>
      </c>
      <c r="Q38" t="s">
        <v>865</v>
      </c>
      <c r="R38" t="s">
        <v>866</v>
      </c>
    </row>
    <row r="39" spans="1:18" x14ac:dyDescent="0.2">
      <c r="A39" t="s">
        <v>867</v>
      </c>
      <c r="B39" t="s">
        <v>868</v>
      </c>
      <c r="C39" t="s">
        <v>729</v>
      </c>
      <c r="D39" t="s">
        <v>182</v>
      </c>
      <c r="E39">
        <f>IF(C39="Native / real-time monitoring",0,IF(C39="Partial / ecosystem-level",10,IF(C39="None",20,IF(C39="Unknown",10,""))))</f>
        <v>20</v>
      </c>
      <c r="F39">
        <f>IF(D39="High",0,IF(D39="Medium",0.05,IF(D39="Low",0.1,IF(D39="Unknown",0.15,""))))</f>
        <v>0.05</v>
      </c>
      <c r="G39">
        <f>E39*(1+F39)</f>
        <v>21</v>
      </c>
      <c r="H39" t="s">
        <v>869</v>
      </c>
      <c r="I39" t="s">
        <v>870</v>
      </c>
      <c r="J39" t="s">
        <v>166</v>
      </c>
      <c r="K39" s="24">
        <f>IF(I39="","",MAX(IFERROR(DATEVALUE(TRIM(MID(SUBSTITUTE(I39,";",REPT(" ",50)),1,50))),0),IFERROR(DATEVALUE(TRIM(MID(SUBSTITUTE(I39,";",REPT(" ",50)),51,50))),0),IFERROR(DATEVALUE(TRIM(MID(SUBSTITUTE(I39,";",REPT(" ",50)),101,50))),0),IFERROR(DATEVALUE(TRIM(MID(SUBSTITUTE(I39,";",REPT(" ",50)),151,50))),0),IFERROR(DATEVALUE(TRIM(MID(SUBSTITUTE(I39,";",REPT(" ",50)),201,50))),0),IFERROR(DATEVALUE(TRIM(MID(SUBSTITUTE(I39,";",REPT(" ",50)),251,50))),0),IFERROR(DATEVALUE(TRIM(MID(SUBSTITUTE(I39,";",REPT(" ",50)),301,50))),0),IFERROR(DATEVALUE(TRIM(MID(SUBSTITUTE(I39,";",REPT(" ",50)),351,50))),0),IFERROR(DATEVALUE(TRIM(MID(SUBSTITUTE(I39,";",REPT(" ",50)),401,50))),0),IFERROR(DATEVALUE(TRIM(MID(SUBSTITUTE(I39,";",REPT(" ",50)),451,50))),0)))</f>
        <v>46012</v>
      </c>
      <c r="L39">
        <f ca="1">IF(K39="","",TODAY()-K39)</f>
        <v>0</v>
      </c>
      <c r="M39" t="s">
        <v>185</v>
      </c>
      <c r="N39">
        <f ca="1">IF(M39="","",IF(L39="",INDEX($F$63:$F$66,MATCH(M39,$C$63:$C$66,0)),IF(L39&lt;=INDEX($D$63:$D$66,MATCH(M39,$C$63:$C$66,0)),0,IF(L39&lt;=INDEX($E$63:$E$66,MATCH(M39,$C$63:$C$66,0)),INDEX($F$63:$F$66,MATCH(M39,$C$63:$C$66,0)),INDEX($G$63:$G$66,MATCH(M39,$C$63:$C$66,0))))))</f>
        <v>0</v>
      </c>
      <c r="O39">
        <f ca="1">G39+N39</f>
        <v>21</v>
      </c>
      <c r="P39" t="s">
        <v>168</v>
      </c>
      <c r="Q39" t="s">
        <v>871</v>
      </c>
      <c r="R39" t="s">
        <v>872</v>
      </c>
    </row>
    <row r="40" spans="1:18" x14ac:dyDescent="0.2">
      <c r="A40" t="s">
        <v>873</v>
      </c>
      <c r="B40" t="s">
        <v>874</v>
      </c>
      <c r="C40" t="s">
        <v>875</v>
      </c>
      <c r="D40" t="s">
        <v>217</v>
      </c>
      <c r="E40">
        <v>0</v>
      </c>
      <c r="F40">
        <f>IF(D40="High",0,IF(D40="Medium",0.05,IF(D40="Low",0.1,IF(D40="Unknown",0.15,""))))</f>
        <v>0.1</v>
      </c>
      <c r="G40">
        <f>E40*(1+F40)</f>
        <v>0</v>
      </c>
      <c r="K40" s="24" t="str">
        <f>IF(I40="","",MAX(IFERROR(DATEVALUE(TRIM(MID(SUBSTITUTE(I40,";",REPT(" ",50)),1,50))),0),IFERROR(DATEVALUE(TRIM(MID(SUBSTITUTE(I40,";",REPT(" ",50)),51,50))),0),IFERROR(DATEVALUE(TRIM(MID(SUBSTITUTE(I40,";",REPT(" ",50)),101,50))),0),IFERROR(DATEVALUE(TRIM(MID(SUBSTITUTE(I40,";",REPT(" ",50)),151,50))),0),IFERROR(DATEVALUE(TRIM(MID(SUBSTITUTE(I40,";",REPT(" ",50)),201,50))),0),IFERROR(DATEVALUE(TRIM(MID(SUBSTITUTE(I40,";",REPT(" ",50)),251,50))),0),IFERROR(DATEVALUE(TRIM(MID(SUBSTITUTE(I40,";",REPT(" ",50)),301,50))),0),IFERROR(DATEVALUE(TRIM(MID(SUBSTITUTE(I40,";",REPT(" ",50)),351,50))),0),IFERROR(DATEVALUE(TRIM(MID(SUBSTITUTE(I40,";",REPT(" ",50)),401,50))),0),IFERROR(DATEVALUE(TRIM(MID(SUBSTITUTE(I40,";",REPT(" ",50)),451,50))),0)))</f>
        <v/>
      </c>
      <c r="L40" t="str">
        <f ca="1">IF(K40="","",TODAY()-K40)</f>
        <v/>
      </c>
      <c r="M40" t="s">
        <v>185</v>
      </c>
      <c r="N40">
        <f ca="1">IF(M40="","",IF(L40="",INDEX($F$63:$F$66,MATCH(M40,$C$63:$C$66,0)),IF(L40&lt;=INDEX($D$63:$D$66,MATCH(M40,$C$63:$C$66,0)),0,IF(L40&lt;=INDEX($E$63:$E$66,MATCH(M40,$C$63:$C$66,0)),INDEX($F$63:$F$66,MATCH(M40,$C$63:$C$66,0)),INDEX($G$63:$G$66,MATCH(M40,$C$63:$C$66,0))))))</f>
        <v>3</v>
      </c>
      <c r="O40">
        <f ca="1">G40+N40</f>
        <v>3</v>
      </c>
      <c r="P40" t="s">
        <v>168</v>
      </c>
      <c r="Q40" t="s">
        <v>429</v>
      </c>
      <c r="R40" t="s">
        <v>876</v>
      </c>
    </row>
    <row r="41" spans="1:18" x14ac:dyDescent="0.2">
      <c r="A41" s="3"/>
      <c r="B41" s="48"/>
      <c r="C41" s="49"/>
      <c r="D41" s="49"/>
      <c r="E41" s="49"/>
      <c r="F41" s="49"/>
      <c r="G41" s="49"/>
      <c r="H41" s="49"/>
      <c r="I41" s="49"/>
      <c r="J41" s="49"/>
      <c r="K41" s="50"/>
      <c r="L41" s="49"/>
      <c r="M41" s="49"/>
      <c r="N41" s="49"/>
      <c r="O41" s="49"/>
      <c r="P41" s="49"/>
      <c r="Q41" s="49"/>
      <c r="R41" s="49"/>
    </row>
    <row r="42" spans="1:18" x14ac:dyDescent="0.2">
      <c r="A42" t="s">
        <v>877</v>
      </c>
      <c r="B42" t="s">
        <v>878</v>
      </c>
      <c r="C42" t="s">
        <v>879</v>
      </c>
      <c r="D42" t="s">
        <v>182</v>
      </c>
      <c r="E42">
        <f>IF(C42="Detailed / comprehensive policy",0,IF(C42="High-level policy only",10,IF(C42="None published",20,IF(C42="Unknown",10,""))))</f>
        <v>10</v>
      </c>
      <c r="F42">
        <f>IF(D42="High",0,IF(D42="Medium",0.05,IF(D42="Low",0.1,IF(D42="Unknown",0.15,""))))</f>
        <v>0.05</v>
      </c>
      <c r="G42">
        <f>E42*(1+F42)</f>
        <v>10.5</v>
      </c>
      <c r="H42" t="s">
        <v>880</v>
      </c>
      <c r="I42" t="s">
        <v>881</v>
      </c>
      <c r="J42" t="s">
        <v>176</v>
      </c>
      <c r="K42" s="24">
        <f>IF(I42="","",MAX(IFERROR(DATEVALUE(TRIM(MID(SUBSTITUTE(I42,";",REPT(" ",50)),1,50))),0),IFERROR(DATEVALUE(TRIM(MID(SUBSTITUTE(I42,";",REPT(" ",50)),51,50))),0),IFERROR(DATEVALUE(TRIM(MID(SUBSTITUTE(I42,";",REPT(" ",50)),101,50))),0),IFERROR(DATEVALUE(TRIM(MID(SUBSTITUTE(I42,";",REPT(" ",50)),151,50))),0),IFERROR(DATEVALUE(TRIM(MID(SUBSTITUTE(I42,";",REPT(" ",50)),201,50))),0),IFERROR(DATEVALUE(TRIM(MID(SUBSTITUTE(I42,";",REPT(" ",50)),251,50))),0),IFERROR(DATEVALUE(TRIM(MID(SUBSTITUTE(I42,";",REPT(" ",50)),301,50))),0),IFERROR(DATEVALUE(TRIM(MID(SUBSTITUTE(I42,";",REPT(" ",50)),351,50))),0),IFERROR(DATEVALUE(TRIM(MID(SUBSTITUTE(I42,";",REPT(" ",50)),401,50))),0),IFERROR(DATEVALUE(TRIM(MID(SUBSTITUTE(I42,";",REPT(" ",50)),451,50))),0)))</f>
        <v>45986</v>
      </c>
      <c r="L42">
        <f ca="1">IF(K42="","",TODAY()-K42)</f>
        <v>26</v>
      </c>
      <c r="M42" t="s">
        <v>300</v>
      </c>
      <c r="N42">
        <f ca="1">IF(M42="","",IF(L42="",INDEX($F$63:$F$66,MATCH(M42,$C$63:$C$66,0)),IF(L42&lt;=INDEX($D$63:$D$66,MATCH(M42,$C$63:$C$66,0)),0,IF(L42&lt;=INDEX($E$63:$E$66,MATCH(M42,$C$63:$C$66,0)),INDEX($F$63:$F$66,MATCH(M42,$C$63:$C$66,0)),INDEX($G$63:$G$66,MATCH(M42,$C$63:$C$66,0))))))</f>
        <v>0</v>
      </c>
      <c r="O42">
        <f ca="1">G42+N42</f>
        <v>10.5</v>
      </c>
      <c r="P42" t="s">
        <v>168</v>
      </c>
      <c r="Q42" t="s">
        <v>882</v>
      </c>
      <c r="R42" t="s">
        <v>883</v>
      </c>
    </row>
    <row r="43" spans="1:18" x14ac:dyDescent="0.2">
      <c r="A43" t="s">
        <v>884</v>
      </c>
      <c r="B43" t="s">
        <v>885</v>
      </c>
      <c r="C43" t="s">
        <v>886</v>
      </c>
      <c r="D43" t="s">
        <v>182</v>
      </c>
      <c r="E43">
        <f>IF(C43="Full / enforced geo-fencing",0,IF(C43="Partial geo-fencing",10,IF(C43="No geo-fencing",20,IF(C43="Unknown",10,""))))</f>
        <v>10</v>
      </c>
      <c r="F43">
        <f>IF(D43="High",0,IF(D43="Medium",0.05,IF(D43="Low",0.1,IF(D43="Unknown",0.15,""))))</f>
        <v>0.05</v>
      </c>
      <c r="G43">
        <f>E43*(1+F43)</f>
        <v>10.5</v>
      </c>
      <c r="H43" t="s">
        <v>887</v>
      </c>
      <c r="I43" t="s">
        <v>254</v>
      </c>
      <c r="J43" t="s">
        <v>176</v>
      </c>
      <c r="K43" s="24">
        <f>IF(I43="","",MAX(IFERROR(DATEVALUE(TRIM(MID(SUBSTITUTE(I43,";",REPT(" ",50)),1,50))),0),IFERROR(DATEVALUE(TRIM(MID(SUBSTITUTE(I43,";",REPT(" ",50)),51,50))),0),IFERROR(DATEVALUE(TRIM(MID(SUBSTITUTE(I43,";",REPT(" ",50)),101,50))),0),IFERROR(DATEVALUE(TRIM(MID(SUBSTITUTE(I43,";",REPT(" ",50)),151,50))),0),IFERROR(DATEVALUE(TRIM(MID(SUBSTITUTE(I43,";",REPT(" ",50)),201,50))),0),IFERROR(DATEVALUE(TRIM(MID(SUBSTITUTE(I43,";",REPT(" ",50)),251,50))),0),IFERROR(DATEVALUE(TRIM(MID(SUBSTITUTE(I43,";",REPT(" ",50)),301,50))),0),IFERROR(DATEVALUE(TRIM(MID(SUBSTITUTE(I43,";",REPT(" ",50)),351,50))),0),IFERROR(DATEVALUE(TRIM(MID(SUBSTITUTE(I43,";",REPT(" ",50)),401,50))),0),IFERROR(DATEVALUE(TRIM(MID(SUBSTITUTE(I43,";",REPT(" ",50)),451,50))),0)))</f>
        <v>45901</v>
      </c>
      <c r="L43">
        <f ca="1">IF(K43="","",TODAY()-K43)</f>
        <v>111</v>
      </c>
      <c r="M43" t="s">
        <v>185</v>
      </c>
      <c r="N43">
        <f ca="1">IF(M43="","",IF(L43="",INDEX($F$63:$F$66,MATCH(M43,$C$63:$C$66,0)),IF(L43&lt;=INDEX($D$63:$D$66,MATCH(M43,$C$63:$C$66,0)),0,IF(L43&lt;=INDEX($E$63:$E$66,MATCH(M43,$C$63:$C$66,0)),INDEX($F$63:$F$66,MATCH(M43,$C$63:$C$66,0)),INDEX($G$63:$G$66,MATCH(M43,$C$63:$C$66,0))))))</f>
        <v>0</v>
      </c>
      <c r="O43">
        <f ca="1">G43+N43</f>
        <v>10.5</v>
      </c>
      <c r="P43" t="s">
        <v>168</v>
      </c>
      <c r="Q43" t="s">
        <v>888</v>
      </c>
      <c r="R43" t="s">
        <v>889</v>
      </c>
    </row>
    <row r="44" spans="1:18" x14ac:dyDescent="0.2">
      <c r="A44" t="s">
        <v>890</v>
      </c>
      <c r="B44" t="s">
        <v>891</v>
      </c>
      <c r="C44" t="s">
        <v>892</v>
      </c>
      <c r="D44" t="s">
        <v>182</v>
      </c>
      <c r="E44">
        <f>IF(C44="Multiple validated partnerships",0,IF(C44="Some partnerships",10,IF(C44="None disclosed",20,IF(C44="Unknown",10,""))))</f>
        <v>0</v>
      </c>
      <c r="F44">
        <f>IF(D44="High",0,IF(D44="Medium",0.05,IF(D44="Low",0.1,IF(D44="Unknown",0.15,""))))</f>
        <v>0.05</v>
      </c>
      <c r="G44">
        <f>E44*(1+F44)</f>
        <v>0</v>
      </c>
      <c r="H44" t="s">
        <v>893</v>
      </c>
      <c r="I44" t="s">
        <v>894</v>
      </c>
      <c r="J44" t="s">
        <v>166</v>
      </c>
      <c r="K44" s="24">
        <f>IF(I44="","",MAX(IFERROR(DATEVALUE(TRIM(MID(SUBSTITUTE(I44,";",REPT(" ",50)),1,50))),0),IFERROR(DATEVALUE(TRIM(MID(SUBSTITUTE(I44,";",REPT(" ",50)),51,50))),0),IFERROR(DATEVALUE(TRIM(MID(SUBSTITUTE(I44,";",REPT(" ",50)),101,50))),0),IFERROR(DATEVALUE(TRIM(MID(SUBSTITUTE(I44,";",REPT(" ",50)),151,50))),0),IFERROR(DATEVALUE(TRIM(MID(SUBSTITUTE(I44,";",REPT(" ",50)),201,50))),0),IFERROR(DATEVALUE(TRIM(MID(SUBSTITUTE(I44,";",REPT(" ",50)),251,50))),0),IFERROR(DATEVALUE(TRIM(MID(SUBSTITUTE(I44,";",REPT(" ",50)),301,50))),0),IFERROR(DATEVALUE(TRIM(MID(SUBSTITUTE(I44,";",REPT(" ",50)),351,50))),0),IFERROR(DATEVALUE(TRIM(MID(SUBSTITUTE(I44,";",REPT(" ",50)),401,50))),0),IFERROR(DATEVALUE(TRIM(MID(SUBSTITUTE(I44,";",REPT(" ",50)),451,50))),0)))</f>
        <v>45933</v>
      </c>
      <c r="L44">
        <f ca="1">IF(K44="","",TODAY()-K44)</f>
        <v>79</v>
      </c>
      <c r="M44" t="s">
        <v>300</v>
      </c>
      <c r="N44">
        <f ca="1">IF(M44="","",IF(L44="",INDEX($F$63:$F$66,MATCH(M44,$C$63:$C$66,0)),IF(L44&lt;=INDEX($D$63:$D$66,MATCH(M44,$C$63:$C$66,0)),0,IF(L44&lt;=INDEX($E$63:$E$66,MATCH(M44,$C$63:$C$66,0)),INDEX($F$63:$F$66,MATCH(M44,$C$63:$C$66,0)),INDEX($G$63:$G$66,MATCH(M44,$C$63:$C$66,0))))))</f>
        <v>0</v>
      </c>
      <c r="O44">
        <f ca="1">G44+N44</f>
        <v>0</v>
      </c>
      <c r="P44" t="s">
        <v>168</v>
      </c>
      <c r="Q44" t="s">
        <v>895</v>
      </c>
      <c r="R44" t="s">
        <v>896</v>
      </c>
    </row>
    <row r="45" spans="1:18" x14ac:dyDescent="0.2">
      <c r="A45" t="s">
        <v>897</v>
      </c>
      <c r="B45" t="s">
        <v>898</v>
      </c>
      <c r="C45" t="s">
        <v>899</v>
      </c>
      <c r="D45" t="s">
        <v>163</v>
      </c>
      <c r="E45">
        <v>0</v>
      </c>
      <c r="F45">
        <f>IF(D45="High",0,IF(D45="Medium",0.05,IF(D45="Low",0.1,IF(D45="Unknown",0.15,""))))</f>
        <v>0</v>
      </c>
      <c r="G45">
        <f>E45*(1+F45)</f>
        <v>0</v>
      </c>
      <c r="H45" t="s">
        <v>900</v>
      </c>
      <c r="I45" t="s">
        <v>339</v>
      </c>
      <c r="J45" t="s">
        <v>166</v>
      </c>
      <c r="K45" s="24">
        <f>IF(I45="","",MAX(IFERROR(DATEVALUE(TRIM(MID(SUBSTITUTE(I45,";",REPT(" ",50)),1,50))),0),IFERROR(DATEVALUE(TRIM(MID(SUBSTITUTE(I45,";",REPT(" ",50)),51,50))),0),IFERROR(DATEVALUE(TRIM(MID(SUBSTITUTE(I45,";",REPT(" ",50)),101,50))),0),IFERROR(DATEVALUE(TRIM(MID(SUBSTITUTE(I45,";",REPT(" ",50)),151,50))),0),IFERROR(DATEVALUE(TRIM(MID(SUBSTITUTE(I45,";",REPT(" ",50)),201,50))),0),IFERROR(DATEVALUE(TRIM(MID(SUBSTITUTE(I45,";",REPT(" ",50)),251,50))),0),IFERROR(DATEVALUE(TRIM(MID(SUBSTITUTE(I45,";",REPT(" ",50)),301,50))),0),IFERROR(DATEVALUE(TRIM(MID(SUBSTITUTE(I45,";",REPT(" ",50)),351,50))),0),IFERROR(DATEVALUE(TRIM(MID(SUBSTITUTE(I45,";",REPT(" ",50)),401,50))),0),IFERROR(DATEVALUE(TRIM(MID(SUBSTITUTE(I45,";",REPT(" ",50)),451,50))),0)))</f>
        <v>45924</v>
      </c>
      <c r="L45">
        <f ca="1">IF(K45="","",TODAY()-K45)</f>
        <v>88</v>
      </c>
      <c r="M45" t="s">
        <v>300</v>
      </c>
      <c r="N45">
        <f ca="1">IF(M45="","",IF(L45="",INDEX($F$63:$F$66,MATCH(M45,$C$63:$C$66,0)),IF(L45&lt;=INDEX($D$63:$D$66,MATCH(M45,$C$63:$C$66,0)),0,IF(L45&lt;=INDEX($E$63:$E$66,MATCH(M45,$C$63:$C$66,0)),INDEX($F$63:$F$66,MATCH(M45,$C$63:$C$66,0)),INDEX($G$63:$G$66,MATCH(M45,$C$63:$C$66,0))))))</f>
        <v>0</v>
      </c>
      <c r="O45">
        <f ca="1">G45+N45</f>
        <v>0</v>
      </c>
      <c r="P45" t="s">
        <v>168</v>
      </c>
      <c r="Q45" t="s">
        <v>429</v>
      </c>
      <c r="R45" t="s">
        <v>901</v>
      </c>
    </row>
    <row r="46" spans="1:18" x14ac:dyDescent="0.2">
      <c r="A46" s="4"/>
      <c r="B46" s="5" t="s">
        <v>902</v>
      </c>
      <c r="C46" s="4"/>
      <c r="D46" s="4"/>
      <c r="E46" s="4"/>
      <c r="F46" s="4"/>
      <c r="G46" s="4"/>
      <c r="H46" s="4"/>
      <c r="I46" s="4"/>
      <c r="J46" s="4"/>
      <c r="K46" s="23" t="str">
        <f>IF(I46="","",MAX(IFERROR(DATEVALUE(TRIM(MID(SUBSTITUTE(I46,";",REPT(" ",50)),1,50))),0),IFERROR(DATEVALUE(TRIM(MID(SUBSTITUTE(I46,";",REPT(" ",50)),51,50))),0),IFERROR(DATEVALUE(TRIM(MID(SUBSTITUTE(I46,";",REPT(" ",50)),101,50))),0),IFERROR(DATEVALUE(TRIM(MID(SUBSTITUTE(I46,";",REPT(" ",50)),151,50))),0),IFERROR(DATEVALUE(TRIM(MID(SUBSTITUTE(I46,";",REPT(" ",50)),201,50))),0),IFERROR(DATEVALUE(TRIM(MID(SUBSTITUTE(I46,";",REPT(" ",50)),251,50))),0),IFERROR(DATEVALUE(TRIM(MID(SUBSTITUTE(I46,";",REPT(" ",50)),301,50))),0),IFERROR(DATEVALUE(TRIM(MID(SUBSTITUTE(I46,";",REPT(" ",50)),351,50))),0),IFERROR(DATEVALUE(TRIM(MID(SUBSTITUTE(I46,";",REPT(" ",50)),401,50))),0),IFERROR(DATEVALUE(TRIM(MID(SUBSTITUTE(I46,";",REPT(" ",50)),451,50))),0)))</f>
        <v/>
      </c>
      <c r="L46" s="4"/>
      <c r="M46" s="4"/>
      <c r="N46" s="4" t="str">
        <f>IF(M46="","",IF(L46="",INDEX($F$63:$F$66,MATCH(M46,$C$63:$C$66,0)),IF(L46&lt;=INDEX($D$63:$D$66,MATCH(M46,$C$63:$C$66,0)),0,IF(L46&lt;=INDEX($E$63:$E$66,MATCH(M46,$C$63:$C$66,0)),INDEX($F$63:$F$66,MATCH(M46,$C$63:$C$66,0)),INDEX($G$63:$G$66,MATCH(M46,$C$63:$C$66,0))))))</f>
        <v/>
      </c>
      <c r="O46" s="4"/>
      <c r="P46" s="4"/>
      <c r="Q46" s="4"/>
      <c r="R46" s="4"/>
    </row>
    <row r="47" spans="1:18" x14ac:dyDescent="0.2">
      <c r="A47" s="3"/>
      <c r="B47" s="48"/>
      <c r="C47" s="49"/>
      <c r="D47" s="49"/>
      <c r="E47" s="49"/>
      <c r="F47" s="49"/>
      <c r="G47" s="49"/>
      <c r="H47" s="49"/>
      <c r="I47" s="49"/>
      <c r="J47" s="49"/>
      <c r="K47" s="50"/>
      <c r="L47" s="49"/>
      <c r="M47" s="49"/>
      <c r="N47" s="49"/>
      <c r="O47" s="49"/>
      <c r="P47" s="49"/>
      <c r="Q47" s="49"/>
      <c r="R47" s="49"/>
    </row>
    <row r="48" spans="1:18" x14ac:dyDescent="0.2">
      <c r="A48" t="s">
        <v>432</v>
      </c>
      <c r="B48" t="s">
        <v>903</v>
      </c>
      <c r="C48" t="s">
        <v>904</v>
      </c>
      <c r="D48" t="s">
        <v>182</v>
      </c>
      <c r="E48">
        <f>IF(C48="Mostly regulated (&gt;70%)",0,IF(C48="Mixed (30–70%)",10,IF(C48="Mostly unregulated (&gt;70%)",20,IF(C48="Unknown",10,""))))</f>
        <v>0</v>
      </c>
      <c r="F48">
        <f>IF(D48="High",0,IF(D48="Medium",0.05,IF(D48="Low",0.1,IF(D48="Unknown",0.15,""))))</f>
        <v>0.05</v>
      </c>
      <c r="G48">
        <f>E48*(1+F48)</f>
        <v>0</v>
      </c>
      <c r="H48" t="s">
        <v>905</v>
      </c>
      <c r="I48" t="s">
        <v>906</v>
      </c>
      <c r="J48" t="s">
        <v>166</v>
      </c>
      <c r="K48" s="24">
        <f>IF(I48="","",MAX(IFERROR(DATEVALUE(TRIM(MID(SUBSTITUTE(I48,";",REPT(" ",50)),1,50))),0),IFERROR(DATEVALUE(TRIM(MID(SUBSTITUTE(I48,";",REPT(" ",50)),51,50))),0),IFERROR(DATEVALUE(TRIM(MID(SUBSTITUTE(I48,";",REPT(" ",50)),101,50))),0),IFERROR(DATEVALUE(TRIM(MID(SUBSTITUTE(I48,";",REPT(" ",50)),151,50))),0),IFERROR(DATEVALUE(TRIM(MID(SUBSTITUTE(I48,";",REPT(" ",50)),201,50))),0),IFERROR(DATEVALUE(TRIM(MID(SUBSTITUTE(I48,";",REPT(" ",50)),251,50))),0),IFERROR(DATEVALUE(TRIM(MID(SUBSTITUTE(I48,";",REPT(" ",50)),301,50))),0),IFERROR(DATEVALUE(TRIM(MID(SUBSTITUTE(I48,";",REPT(" ",50)),351,50))),0),IFERROR(DATEVALUE(TRIM(MID(SUBSTITUTE(I48,";",REPT(" ",50)),401,50))),0),IFERROR(DATEVALUE(TRIM(MID(SUBSTITUTE(I48,";",REPT(" ",50)),451,50))),0)))</f>
        <v>46012</v>
      </c>
      <c r="L48">
        <f ca="1">IF(K48="","",TODAY()-K48)</f>
        <v>0</v>
      </c>
      <c r="M48" t="s">
        <v>185</v>
      </c>
      <c r="N48">
        <f ca="1">IF(M48="","",IF(L48="",INDEX($F$63:$F$66,MATCH(M48,$C$63:$C$66,0)),IF(L48&lt;=INDEX($D$63:$D$66,MATCH(M48,$C$63:$C$66,0)),0,IF(L48&lt;=INDEX($E$63:$E$66,MATCH(M48,$C$63:$C$66,0)),INDEX($F$63:$F$66,MATCH(M48,$C$63:$C$66,0)),INDEX($G$63:$G$66,MATCH(M48,$C$63:$C$66,0))))))</f>
        <v>0</v>
      </c>
      <c r="O48">
        <f ca="1">G48+N48</f>
        <v>0</v>
      </c>
      <c r="P48" t="s">
        <v>168</v>
      </c>
      <c r="Q48" t="s">
        <v>907</v>
      </c>
      <c r="R48" t="s">
        <v>908</v>
      </c>
    </row>
    <row r="49" spans="1:18" x14ac:dyDescent="0.2">
      <c r="A49" t="s">
        <v>439</v>
      </c>
      <c r="B49" t="s">
        <v>909</v>
      </c>
      <c r="C49" t="s">
        <v>910</v>
      </c>
      <c r="D49" t="s">
        <v>182</v>
      </c>
      <c r="E49">
        <f>IF(C49="Limited (&lt;20%)",0,IF(C49="Moderate (20–60%)",10,IF(C49="High (&gt;60%) or privacy-DEX dominant",20,IF(C49="Unknown",10,""))))</f>
        <v>0</v>
      </c>
      <c r="F49">
        <f>IF(D49="High",0,IF(D49="Medium",0.05,IF(D49="Low",0.1,IF(D49="Unknown",0.15,""))))</f>
        <v>0.05</v>
      </c>
      <c r="G49">
        <f>E49*(1+F49)</f>
        <v>0</v>
      </c>
      <c r="H49" t="s">
        <v>911</v>
      </c>
      <c r="I49" t="s">
        <v>912</v>
      </c>
      <c r="J49" t="s">
        <v>176</v>
      </c>
      <c r="K49" s="24">
        <f>IF(I49="","",MAX(IFERROR(DATEVALUE(TRIM(MID(SUBSTITUTE(I49,";",REPT(" ",50)),1,50))),0),IFERROR(DATEVALUE(TRIM(MID(SUBSTITUTE(I49,";",REPT(" ",50)),51,50))),0),IFERROR(DATEVALUE(TRIM(MID(SUBSTITUTE(I49,";",REPT(" ",50)),101,50))),0),IFERROR(DATEVALUE(TRIM(MID(SUBSTITUTE(I49,";",REPT(" ",50)),151,50))),0),IFERROR(DATEVALUE(TRIM(MID(SUBSTITUTE(I49,";",REPT(" ",50)),201,50))),0),IFERROR(DATEVALUE(TRIM(MID(SUBSTITUTE(I49,";",REPT(" ",50)),251,50))),0),IFERROR(DATEVALUE(TRIM(MID(SUBSTITUTE(I49,";",REPT(" ",50)),301,50))),0),IFERROR(DATEVALUE(TRIM(MID(SUBSTITUTE(I49,";",REPT(" ",50)),351,50))),0),IFERROR(DATEVALUE(TRIM(MID(SUBSTITUTE(I49,";",REPT(" ",50)),401,50))),0),IFERROR(DATEVALUE(TRIM(MID(SUBSTITUTE(I49,";",REPT(" ",50)),451,50))),0)))</f>
        <v>45904</v>
      </c>
      <c r="L49">
        <f ca="1">IF(K49="","",TODAY()-K49)</f>
        <v>108</v>
      </c>
      <c r="M49" t="s">
        <v>185</v>
      </c>
      <c r="N49">
        <f ca="1">IF(M49="","",IF(L49="",INDEX($F$63:$F$66,MATCH(M49,$C$63:$C$66,0)),IF(L49&lt;=INDEX($D$63:$D$66,MATCH(M49,$C$63:$C$66,0)),0,IF(L49&lt;=INDEX($E$63:$E$66,MATCH(M49,$C$63:$C$66,0)),INDEX($F$63:$F$66,MATCH(M49,$C$63:$C$66,0)),INDEX($G$63:$G$66,MATCH(M49,$C$63:$C$66,0))))))</f>
        <v>0</v>
      </c>
      <c r="O49">
        <f ca="1">G49+N49</f>
        <v>0</v>
      </c>
      <c r="P49" t="s">
        <v>168</v>
      </c>
      <c r="Q49" t="s">
        <v>913</v>
      </c>
      <c r="R49" t="s">
        <v>914</v>
      </c>
    </row>
    <row r="50" spans="1:18" x14ac:dyDescent="0.2">
      <c r="A50" t="s">
        <v>444</v>
      </c>
      <c r="B50" t="s">
        <v>915</v>
      </c>
      <c r="C50" t="s">
        <v>916</v>
      </c>
      <c r="D50" t="s">
        <v>163</v>
      </c>
      <c r="E50">
        <f>IF(C50="High quality / regulated ramps",0,IF(C50="Mixed quality",10,IF(C50="Mostly unregulated / crypto-only ramps",20,IF(C50="Unknown",10,""))))</f>
        <v>0</v>
      </c>
      <c r="F50">
        <f>IF(D50="High",0,IF(D50="Medium",0.05,IF(D50="Low",0.1,IF(D50="Unknown",0.15,""))))</f>
        <v>0</v>
      </c>
      <c r="G50">
        <f>E50*(1+F50)</f>
        <v>0</v>
      </c>
      <c r="H50" t="s">
        <v>917</v>
      </c>
      <c r="I50" t="s">
        <v>918</v>
      </c>
      <c r="J50" t="s">
        <v>166</v>
      </c>
      <c r="K50" s="24">
        <f>IF(I50="","",MAX(IFERROR(DATEVALUE(TRIM(MID(SUBSTITUTE(I50,";",REPT(" ",50)),1,50))),0),IFERROR(DATEVALUE(TRIM(MID(SUBSTITUTE(I50,";",REPT(" ",50)),51,50))),0),IFERROR(DATEVALUE(TRIM(MID(SUBSTITUTE(I50,";",REPT(" ",50)),101,50))),0),IFERROR(DATEVALUE(TRIM(MID(SUBSTITUTE(I50,";",REPT(" ",50)),151,50))),0),IFERROR(DATEVALUE(TRIM(MID(SUBSTITUTE(I50,";",REPT(" ",50)),201,50))),0),IFERROR(DATEVALUE(TRIM(MID(SUBSTITUTE(I50,";",REPT(" ",50)),251,50))),0),IFERROR(DATEVALUE(TRIM(MID(SUBSTITUTE(I50,";",REPT(" ",50)),301,50))),0),IFERROR(DATEVALUE(TRIM(MID(SUBSTITUTE(I50,";",REPT(" ",50)),351,50))),0),IFERROR(DATEVALUE(TRIM(MID(SUBSTITUTE(I50,";",REPT(" ",50)),401,50))),0),IFERROR(DATEVALUE(TRIM(MID(SUBSTITUTE(I50,";",REPT(" ",50)),451,50))),0)))</f>
        <v>45901</v>
      </c>
      <c r="L50">
        <f ca="1">IF(K50="","",TODAY()-K50)</f>
        <v>111</v>
      </c>
      <c r="M50" t="s">
        <v>185</v>
      </c>
      <c r="N50">
        <f ca="1">IF(M50="","",IF(L50="",INDEX($F$63:$F$66,MATCH(M50,$C$63:$C$66,0)),IF(L50&lt;=INDEX($D$63:$D$66,MATCH(M50,$C$63:$C$66,0)),0,IF(L50&lt;=INDEX($E$63:$E$66,MATCH(M50,$C$63:$C$66,0)),INDEX($F$63:$F$66,MATCH(M50,$C$63:$C$66,0)),INDEX($G$63:$G$66,MATCH(M50,$C$63:$C$66,0))))))</f>
        <v>0</v>
      </c>
      <c r="O50">
        <f ca="1">G50+N50</f>
        <v>0</v>
      </c>
      <c r="P50" t="s">
        <v>168</v>
      </c>
      <c r="Q50" t="s">
        <v>919</v>
      </c>
      <c r="R50" t="s">
        <v>920</v>
      </c>
    </row>
    <row r="51" spans="1:18" x14ac:dyDescent="0.2">
      <c r="A51" t="s">
        <v>454</v>
      </c>
      <c r="B51" t="s">
        <v>921</v>
      </c>
      <c r="C51" t="s">
        <v>922</v>
      </c>
      <c r="D51" t="s">
        <v>182</v>
      </c>
      <c r="E51">
        <v>0</v>
      </c>
      <c r="F51">
        <f>IF(D51="High",0,IF(D51="Medium",0.05,IF(D51="Low",0.1,IF(D51="Unknown",0.15,""))))</f>
        <v>0.05</v>
      </c>
      <c r="G51">
        <f>E51*(1+F51)</f>
        <v>0</v>
      </c>
      <c r="H51" t="s">
        <v>923</v>
      </c>
      <c r="I51" t="s">
        <v>924</v>
      </c>
      <c r="J51" t="s">
        <v>166</v>
      </c>
      <c r="K51" s="24">
        <f>IF(I51="","",MAX(IFERROR(DATEVALUE(TRIM(MID(SUBSTITUTE(I51,";",REPT(" ",50)),1,50))),0),IFERROR(DATEVALUE(TRIM(MID(SUBSTITUTE(I51,";",REPT(" ",50)),51,50))),0),IFERROR(DATEVALUE(TRIM(MID(SUBSTITUTE(I51,";",REPT(" ",50)),101,50))),0),IFERROR(DATEVALUE(TRIM(MID(SUBSTITUTE(I51,";",REPT(" ",50)),151,50))),0),IFERROR(DATEVALUE(TRIM(MID(SUBSTITUTE(I51,";",REPT(" ",50)),201,50))),0),IFERROR(DATEVALUE(TRIM(MID(SUBSTITUTE(I51,";",REPT(" ",50)),251,50))),0),IFERROR(DATEVALUE(TRIM(MID(SUBSTITUTE(I51,";",REPT(" ",50)),301,50))),0),IFERROR(DATEVALUE(TRIM(MID(SUBSTITUTE(I51,";",REPT(" ",50)),351,50))),0),IFERROR(DATEVALUE(TRIM(MID(SUBSTITUTE(I51,";",REPT(" ",50)),401,50))),0),IFERROR(DATEVALUE(TRIM(MID(SUBSTITUTE(I51,";",REPT(" ",50)),451,50))),0)))</f>
        <v>45902</v>
      </c>
      <c r="L51">
        <f ca="1">IF(K51="","",TODAY()-K51)</f>
        <v>110</v>
      </c>
      <c r="M51" t="s">
        <v>300</v>
      </c>
      <c r="N51">
        <f ca="1">IF(M51="","",IF(L51="",INDEX($F$63:$F$66,MATCH(M51,$C$63:$C$66,0)),IF(L51&lt;=INDEX($D$63:$D$66,MATCH(M51,$C$63:$C$66,0)),0,IF(L51&lt;=INDEX($E$63:$E$66,MATCH(M51,$C$63:$C$66,0)),INDEX($F$63:$F$66,MATCH(M51,$C$63:$C$66,0)),INDEX($G$63:$G$66,MATCH(M51,$C$63:$C$66,0))))))</f>
        <v>0</v>
      </c>
      <c r="O51">
        <f ca="1">G51+N51</f>
        <v>0</v>
      </c>
      <c r="P51" t="s">
        <v>168</v>
      </c>
      <c r="Q51" t="s">
        <v>774</v>
      </c>
      <c r="R51" t="s">
        <v>925</v>
      </c>
    </row>
    <row r="52" spans="1:18" x14ac:dyDescent="0.2">
      <c r="A52" s="3"/>
      <c r="B52" s="48"/>
      <c r="C52" s="49"/>
      <c r="D52" s="49"/>
      <c r="E52" s="49"/>
      <c r="F52" s="49"/>
      <c r="G52" s="49"/>
      <c r="H52" s="49"/>
      <c r="I52" s="49"/>
      <c r="J52" s="49"/>
      <c r="K52" s="50"/>
      <c r="L52" s="49"/>
      <c r="M52" s="49"/>
      <c r="N52" s="49"/>
      <c r="O52" s="49"/>
      <c r="P52" s="49"/>
      <c r="Q52" s="49"/>
      <c r="R52" s="49"/>
    </row>
    <row r="53" spans="1:18" x14ac:dyDescent="0.2">
      <c r="A53" t="s">
        <v>460</v>
      </c>
      <c r="B53" t="s">
        <v>926</v>
      </c>
      <c r="C53" t="s">
        <v>181</v>
      </c>
      <c r="D53" t="s">
        <v>182</v>
      </c>
      <c r="E53">
        <f>IF(C53="No",0,IF(C53="Rumoured / uncertain",10,IF(C53="Yes – explicitly AML/CTF-related",20,IF(C53="Unknown",10,""))))</f>
        <v>0</v>
      </c>
      <c r="F53">
        <f>IF(D53="High",0,IF(D53="Medium",0.05,IF(D53="Low",0.1,IF(D53="Unknown",0.15,""))))</f>
        <v>0.05</v>
      </c>
      <c r="G53">
        <f>E53*(1+F53)</f>
        <v>0</v>
      </c>
      <c r="H53" t="s">
        <v>927</v>
      </c>
      <c r="I53" t="s">
        <v>928</v>
      </c>
      <c r="J53" t="s">
        <v>166</v>
      </c>
      <c r="K53" s="24">
        <f>IF(I53="","",MAX(IFERROR(DATEVALUE(TRIM(MID(SUBSTITUTE(I53,";",REPT(" ",50)),1,50))),0),IFERROR(DATEVALUE(TRIM(MID(SUBSTITUTE(I53,";",REPT(" ",50)),51,50))),0),IFERROR(DATEVALUE(TRIM(MID(SUBSTITUTE(I53,";",REPT(" ",50)),101,50))),0),IFERROR(DATEVALUE(TRIM(MID(SUBSTITUTE(I53,";",REPT(" ",50)),151,50))),0),IFERROR(DATEVALUE(TRIM(MID(SUBSTITUTE(I53,";",REPT(" ",50)),201,50))),0),IFERROR(DATEVALUE(TRIM(MID(SUBSTITUTE(I53,";",REPT(" ",50)),251,50))),0),IFERROR(DATEVALUE(TRIM(MID(SUBSTITUTE(I53,";",REPT(" ",50)),301,50))),0),IFERROR(DATEVALUE(TRIM(MID(SUBSTITUTE(I53,";",REPT(" ",50)),351,50))),0),IFERROR(DATEVALUE(TRIM(MID(SUBSTITUTE(I53,";",REPT(" ",50)),401,50))),0),IFERROR(DATEVALUE(TRIM(MID(SUBSTITUTE(I53,";",REPT(" ",50)),451,50))),0)))</f>
        <v>45992</v>
      </c>
      <c r="L53">
        <f ca="1">IF(K53="","",TODAY()-K53)</f>
        <v>20</v>
      </c>
      <c r="M53" t="s">
        <v>275</v>
      </c>
      <c r="N53">
        <f ca="1">IF(M53="","",IF(L53="",INDEX($F$63:$F$66,MATCH(M53,$C$63:$C$66,0)),IF(L53&lt;=INDEX($D$63:$D$66,MATCH(M53,$C$63:$C$66,0)),0,IF(L53&lt;=INDEX($E$63:$E$66,MATCH(M53,$C$63:$C$66,0)),INDEX($F$63:$F$66,MATCH(M53,$C$63:$C$66,0)),INDEX($G$63:$G$66,MATCH(M53,$C$63:$C$66,0))))))</f>
        <v>0</v>
      </c>
      <c r="O53">
        <f ca="1">G53+N53</f>
        <v>0</v>
      </c>
      <c r="P53" t="str">
        <f>IF(C53="Yes – explicitly AML/CTF-related","Review Required","No Review")</f>
        <v>No Review</v>
      </c>
      <c r="Q53" t="s">
        <v>929</v>
      </c>
      <c r="R53" t="s">
        <v>930</v>
      </c>
    </row>
    <row r="54" spans="1:18" x14ac:dyDescent="0.2">
      <c r="A54" t="s">
        <v>466</v>
      </c>
      <c r="B54" t="s">
        <v>931</v>
      </c>
      <c r="C54" t="s">
        <v>932</v>
      </c>
      <c r="D54" t="s">
        <v>182</v>
      </c>
      <c r="E54">
        <f>IF(C54="Limited presence",0,IF(C54="Some presence",10,IF(C54="Heavy / structural presence",20,IF(C54="Unknown",10,""))))</f>
        <v>10</v>
      </c>
      <c r="F54">
        <f>IF(D54="High",0,IF(D54="Medium",0.05,IF(D54="Low",0.1,IF(D54="Unknown",0.15,""))))</f>
        <v>0.05</v>
      </c>
      <c r="G54">
        <f>E54*(1+F54)</f>
        <v>10.5</v>
      </c>
      <c r="H54" t="s">
        <v>933</v>
      </c>
      <c r="I54" t="s">
        <v>934</v>
      </c>
      <c r="J54" t="s">
        <v>166</v>
      </c>
      <c r="K54" s="24">
        <f>IF(I54="","",MAX(IFERROR(DATEVALUE(TRIM(MID(SUBSTITUTE(I54,";",REPT(" ",50)),1,50))),0),IFERROR(DATEVALUE(TRIM(MID(SUBSTITUTE(I54,";",REPT(" ",50)),51,50))),0),IFERROR(DATEVALUE(TRIM(MID(SUBSTITUTE(I54,";",REPT(" ",50)),101,50))),0),IFERROR(DATEVALUE(TRIM(MID(SUBSTITUTE(I54,";",REPT(" ",50)),151,50))),0),IFERROR(DATEVALUE(TRIM(MID(SUBSTITUTE(I54,";",REPT(" ",50)),201,50))),0),IFERROR(DATEVALUE(TRIM(MID(SUBSTITUTE(I54,";",REPT(" ",50)),251,50))),0),IFERROR(DATEVALUE(TRIM(MID(SUBSTITUTE(I54,";",REPT(" ",50)),301,50))),0),IFERROR(DATEVALUE(TRIM(MID(SUBSTITUTE(I54,";",REPT(" ",50)),351,50))),0),IFERROR(DATEVALUE(TRIM(MID(SUBSTITUTE(I54,";",REPT(" ",50)),401,50))),0),IFERROR(DATEVALUE(TRIM(MID(SUBSTITUTE(I54,";",REPT(" ",50)),451,50))),0)))</f>
        <v>45915</v>
      </c>
      <c r="L54">
        <f ca="1">IF(K54="","",TODAY()-K54)</f>
        <v>97</v>
      </c>
      <c r="M54" t="s">
        <v>185</v>
      </c>
      <c r="N54">
        <f ca="1">IF(M54="","",IF(L54="",INDEX($F$63:$F$66,MATCH(M54,$C$63:$C$66,0)),IF(L54&lt;=INDEX($D$63:$D$66,MATCH(M54,$C$63:$C$66,0)),0,IF(L54&lt;=INDEX($E$63:$E$66,MATCH(M54,$C$63:$C$66,0)),INDEX($F$63:$F$66,MATCH(M54,$C$63:$C$66,0)),INDEX($G$63:$G$66,MATCH(M54,$C$63:$C$66,0))))))</f>
        <v>0</v>
      </c>
      <c r="O54">
        <f ca="1">G54+N54</f>
        <v>10.5</v>
      </c>
      <c r="P54" t="s">
        <v>168</v>
      </c>
      <c r="Q54" t="s">
        <v>935</v>
      </c>
      <c r="R54" t="s">
        <v>936</v>
      </c>
    </row>
    <row r="55" spans="1:18" x14ac:dyDescent="0.2">
      <c r="A55" t="s">
        <v>472</v>
      </c>
      <c r="B55" t="s">
        <v>937</v>
      </c>
      <c r="C55" t="s">
        <v>232</v>
      </c>
      <c r="D55" t="s">
        <v>182</v>
      </c>
      <c r="E55">
        <f>IF(C55="Strong / regulated",0,IF(C55="Mixed",10,IF(C55="Weak",20,IF(C55="Unknown",10,""))))</f>
        <v>10</v>
      </c>
      <c r="F55">
        <f>IF(D55="High",0,IF(D55="Medium",0.05,IF(D55="Low",0.1,IF(D55="Unknown",0.15,""))))</f>
        <v>0.05</v>
      </c>
      <c r="G55">
        <f>E55*(1+F55)</f>
        <v>10.5</v>
      </c>
      <c r="H55" t="s">
        <v>938</v>
      </c>
      <c r="I55" t="s">
        <v>939</v>
      </c>
      <c r="J55" t="s">
        <v>166</v>
      </c>
      <c r="K55" s="24">
        <f>IF(I55="","",MAX(IFERROR(DATEVALUE(TRIM(MID(SUBSTITUTE(I55,";",REPT(" ",50)),1,50))),0),IFERROR(DATEVALUE(TRIM(MID(SUBSTITUTE(I55,";",REPT(" ",50)),51,50))),0),IFERROR(DATEVALUE(TRIM(MID(SUBSTITUTE(I55,";",REPT(" ",50)),101,50))),0),IFERROR(DATEVALUE(TRIM(MID(SUBSTITUTE(I55,";",REPT(" ",50)),151,50))),0),IFERROR(DATEVALUE(TRIM(MID(SUBSTITUTE(I55,";",REPT(" ",50)),201,50))),0),IFERROR(DATEVALUE(TRIM(MID(SUBSTITUTE(I55,";",REPT(" ",50)),251,50))),0),IFERROR(DATEVALUE(TRIM(MID(SUBSTITUTE(I55,";",REPT(" ",50)),301,50))),0),IFERROR(DATEVALUE(TRIM(MID(SUBSTITUTE(I55,";",REPT(" ",50)),351,50))),0),IFERROR(DATEVALUE(TRIM(MID(SUBSTITUTE(I55,";",REPT(" ",50)),401,50))),0),IFERROR(DATEVALUE(TRIM(MID(SUBSTITUTE(I55,";",REPT(" ",50)),451,50))),0)))</f>
        <v>45901</v>
      </c>
      <c r="L55">
        <f ca="1">IF(K55="","",TODAY()-K55)</f>
        <v>111</v>
      </c>
      <c r="M55" t="s">
        <v>185</v>
      </c>
      <c r="N55">
        <f ca="1">IF(M55="","",IF(L55="",INDEX($F$63:$F$66,MATCH(M55,$C$63:$C$66,0)),IF(L55&lt;=INDEX($D$63:$D$66,MATCH(M55,$C$63:$C$66,0)),0,IF(L55&lt;=INDEX($E$63:$E$66,MATCH(M55,$C$63:$C$66,0)),INDEX($F$63:$F$66,MATCH(M55,$C$63:$C$66,0)),INDEX($G$63:$G$66,MATCH(M55,$C$63:$C$66,0))))))</f>
        <v>0</v>
      </c>
      <c r="O55">
        <f ca="1">G55+N55</f>
        <v>10.5</v>
      </c>
      <c r="P55" t="s">
        <v>168</v>
      </c>
      <c r="Q55" t="s">
        <v>940</v>
      </c>
      <c r="R55" t="s">
        <v>941</v>
      </c>
    </row>
    <row r="56" spans="1:18" x14ac:dyDescent="0.2">
      <c r="A56" t="s">
        <v>488</v>
      </c>
      <c r="B56" t="s">
        <v>942</v>
      </c>
      <c r="C56" t="s">
        <v>943</v>
      </c>
      <c r="D56" t="s">
        <v>182</v>
      </c>
      <c r="E56">
        <v>0</v>
      </c>
      <c r="F56">
        <f>IF(D56="High",0,IF(D56="Medium",0.05,IF(D56="Low",0.1,IF(D56="Unknown",0.15,""))))</f>
        <v>0.05</v>
      </c>
      <c r="G56">
        <f>E56*(1+F56)</f>
        <v>0</v>
      </c>
      <c r="H56" t="s">
        <v>944</v>
      </c>
      <c r="I56" t="s">
        <v>945</v>
      </c>
      <c r="J56" t="s">
        <v>166</v>
      </c>
      <c r="K56" s="24">
        <f>IF(I56="","",MAX(IFERROR(DATEVALUE(TRIM(MID(SUBSTITUTE(I56,";",REPT(" ",50)),1,50))),0),IFERROR(DATEVALUE(TRIM(MID(SUBSTITUTE(I56,";",REPT(" ",50)),51,50))),0),IFERROR(DATEVALUE(TRIM(MID(SUBSTITUTE(I56,";",REPT(" ",50)),101,50))),0),IFERROR(DATEVALUE(TRIM(MID(SUBSTITUTE(I56,";",REPT(" ",50)),151,50))),0),IFERROR(DATEVALUE(TRIM(MID(SUBSTITUTE(I56,";",REPT(" ",50)),201,50))),0),IFERROR(DATEVALUE(TRIM(MID(SUBSTITUTE(I56,";",REPT(" ",50)),251,50))),0),IFERROR(DATEVALUE(TRIM(MID(SUBSTITUTE(I56,";",REPT(" ",50)),301,50))),0),IFERROR(DATEVALUE(TRIM(MID(SUBSTITUTE(I56,";",REPT(" ",50)),351,50))),0),IFERROR(DATEVALUE(TRIM(MID(SUBSTITUTE(I56,";",REPT(" ",50)),401,50))),0),IFERROR(DATEVALUE(TRIM(MID(SUBSTITUTE(I56,";",REPT(" ",50)),451,50))),0)))</f>
        <v>45904</v>
      </c>
      <c r="L56">
        <f ca="1">IF(K56="","",TODAY()-K56)</f>
        <v>108</v>
      </c>
      <c r="M56" t="s">
        <v>185</v>
      </c>
      <c r="N56">
        <f ca="1">IF(M56="","",IF(L56="",INDEX($F$63:$F$66,MATCH(M56,$C$63:$C$66,0)),IF(L56&lt;=INDEX($D$63:$D$66,MATCH(M56,$C$63:$C$66,0)),0,IF(L56&lt;=INDEX($E$63:$E$66,MATCH(M56,$C$63:$C$66,0)),INDEX($F$63:$F$66,MATCH(M56,$C$63:$C$66,0)),INDEX($G$63:$G$66,MATCH(M56,$C$63:$C$66,0))))))</f>
        <v>0</v>
      </c>
      <c r="O56">
        <f ca="1">G56+N56</f>
        <v>0</v>
      </c>
      <c r="P56" t="s">
        <v>168</v>
      </c>
      <c r="Q56" t="s">
        <v>774</v>
      </c>
      <c r="R56" t="s">
        <v>946</v>
      </c>
    </row>
    <row r="61" spans="1:18" x14ac:dyDescent="0.2">
      <c r="C61" s="55" t="s">
        <v>533</v>
      </c>
      <c r="D61" s="41"/>
      <c r="E61" s="41"/>
      <c r="F61" s="41"/>
      <c r="G61" s="42"/>
    </row>
    <row r="62" spans="1:18" x14ac:dyDescent="0.2">
      <c r="C62" s="30" t="s">
        <v>152</v>
      </c>
      <c r="D62" s="30" t="s">
        <v>534</v>
      </c>
      <c r="E62" s="30" t="s">
        <v>535</v>
      </c>
      <c r="F62" s="30" t="s">
        <v>536</v>
      </c>
      <c r="G62" s="28" t="s">
        <v>537</v>
      </c>
    </row>
    <row r="63" spans="1:18" x14ac:dyDescent="0.2">
      <c r="C63" s="7" t="s">
        <v>275</v>
      </c>
      <c r="D63" s="27">
        <v>90</v>
      </c>
      <c r="E63" s="27">
        <v>180</v>
      </c>
      <c r="F63" s="27">
        <v>5</v>
      </c>
      <c r="G63" s="29">
        <v>10</v>
      </c>
    </row>
    <row r="64" spans="1:18" x14ac:dyDescent="0.2">
      <c r="C64" s="8" t="s">
        <v>185</v>
      </c>
      <c r="D64">
        <v>180</v>
      </c>
      <c r="E64">
        <v>365</v>
      </c>
      <c r="F64">
        <v>3</v>
      </c>
      <c r="G64" s="14">
        <v>6</v>
      </c>
    </row>
    <row r="65" spans="3:7" x14ac:dyDescent="0.2">
      <c r="C65" s="8" t="s">
        <v>300</v>
      </c>
      <c r="D65">
        <v>365</v>
      </c>
      <c r="E65">
        <v>730</v>
      </c>
      <c r="F65">
        <v>2</v>
      </c>
      <c r="G65" s="14">
        <v>4</v>
      </c>
    </row>
    <row r="66" spans="3:7" x14ac:dyDescent="0.2">
      <c r="C66" s="9" t="s">
        <v>167</v>
      </c>
      <c r="D66" s="16">
        <v>9999</v>
      </c>
      <c r="E66" s="16">
        <v>9999</v>
      </c>
      <c r="F66" s="16">
        <v>0</v>
      </c>
      <c r="G66" s="17">
        <v>0</v>
      </c>
    </row>
    <row r="70" spans="3:7" ht="16" customHeight="1" thickBot="1" x14ac:dyDescent="0.25"/>
    <row r="71" spans="3:7" ht="16" customHeight="1" thickBot="1" x14ac:dyDescent="0.25">
      <c r="C71" s="52" t="s">
        <v>538</v>
      </c>
      <c r="D71" s="53"/>
      <c r="E71" s="54"/>
    </row>
    <row r="72" spans="3:7" x14ac:dyDescent="0.2">
      <c r="C72" s="44" t="s">
        <v>539</v>
      </c>
      <c r="D72" s="45"/>
      <c r="E72" s="8">
        <f ca="1">IF(COUNTIFS($A$4:$A$56,"A*",$C$4:$C$56,"&lt;&gt;")=0,"",AVERAGEIFS($O$4:$O$56,$A$4:$A$56,"A*",$C$4:$C$56,"&lt;&gt;"))</f>
        <v>5.875</v>
      </c>
    </row>
    <row r="73" spans="3:7" x14ac:dyDescent="0.2">
      <c r="C73" s="44" t="s">
        <v>540</v>
      </c>
      <c r="D73" s="45"/>
      <c r="E73" s="8">
        <f ca="1">IF(COUNTIFS($A$4:$A$56,"B*",$C$4:$C$56,"&lt;&gt;")=0,"",AVERAGEIFS($O$4:$O$56,$A$4:$A$56,"B*",$C$4:$C$56,"&lt;&gt;"))</f>
        <v>1.9375</v>
      </c>
    </row>
    <row r="74" spans="3:7" x14ac:dyDescent="0.2">
      <c r="C74" s="44" t="s">
        <v>541</v>
      </c>
      <c r="D74" s="45"/>
      <c r="E74" s="8">
        <f ca="1">IF(COUNTIFS($A$4:$A$56,"C*",$C$4:$C$56,"&lt;&gt;")=0,"",AVERAGEIFS($O$4:$O$56,$A$4:$A$56,"C*",$C$4:$C$56,"&lt;&gt;"))</f>
        <v>1.3125</v>
      </c>
    </row>
    <row r="75" spans="3:7" x14ac:dyDescent="0.2">
      <c r="C75" s="44" t="s">
        <v>542</v>
      </c>
      <c r="D75" s="45"/>
      <c r="E75" s="8">
        <f ca="1">IF(COUNTIFS($A$4:$A$56,"D*",$C$4:$C$56,"&lt;&gt;")=0,"",AVERAGEIFS($O$4:$O$56,$A$4:$A$56,"D*",$C$4:$C$56,"&lt;&gt;"))</f>
        <v>6.875</v>
      </c>
    </row>
    <row r="76" spans="3:7" x14ac:dyDescent="0.2">
      <c r="C76" s="44" t="s">
        <v>543</v>
      </c>
      <c r="D76" s="45"/>
      <c r="E76" s="8">
        <f ca="1">IF(COUNTIFS($A$4:$A$56,"E*",$C$4:$C$56,"&lt;&gt;")=0,"",AVERAGEIFS($O$4:$O$56,$A$4:$A$56,"E*",$C$4:$C$56,"&lt;&gt;"))</f>
        <v>2.625</v>
      </c>
    </row>
    <row r="77" spans="3:7" x14ac:dyDescent="0.2">
      <c r="C77" s="44" t="s">
        <v>544</v>
      </c>
      <c r="D77" s="45"/>
      <c r="E77" s="8">
        <f ca="1">IF(COUNTIF($C$4:$C$56,"&lt;&gt;")=0,"",AVERAGEIFS($O$4:$O$56,$C$4:$C$56,"&lt;&gt;"))</f>
        <v>3.7250000000000001</v>
      </c>
    </row>
    <row r="78" spans="3:7" x14ac:dyDescent="0.2">
      <c r="C78" s="44" t="s">
        <v>545</v>
      </c>
      <c r="D78" s="45"/>
      <c r="E78" s="8" t="str">
        <f ca="1">IF(E77="","",IF(E77&lt;3,"Very Low",IF(E77&lt;6,"Low",IF(E77&lt;9,"Medium",IF(E77&lt;12,"Medium-High","High")))))</f>
        <v>Low</v>
      </c>
    </row>
    <row r="79" spans="3:7" x14ac:dyDescent="0.2">
      <c r="C79" s="46" t="s">
        <v>546</v>
      </c>
      <c r="D79" s="47"/>
      <c r="E79" s="9" t="str">
        <f ca="1">IF(COUNT($E$72:$E$76)=0,"",IF($E$72=MIN($E$72:$E$76),"A",IF($E$73=MIN($E$72:$E$76),"B",IF($E$74=MIN($E$72:$E$76),"C",IF($E$75=MIN($E$72:$E$76),"D","E")))))</f>
        <v>C</v>
      </c>
    </row>
  </sheetData>
  <mergeCells count="20">
    <mergeCell ref="C79:D79"/>
    <mergeCell ref="C73:D73"/>
    <mergeCell ref="C71:E71"/>
    <mergeCell ref="B52:R52"/>
    <mergeCell ref="C75:D75"/>
    <mergeCell ref="C76:D76"/>
    <mergeCell ref="C61:G61"/>
    <mergeCell ref="C72:D72"/>
    <mergeCell ref="C78:D78"/>
    <mergeCell ref="C77:D77"/>
    <mergeCell ref="B47:R47"/>
    <mergeCell ref="C74:D74"/>
    <mergeCell ref="B25:R25"/>
    <mergeCell ref="B3:R3"/>
    <mergeCell ref="B8:R8"/>
    <mergeCell ref="B14:R14"/>
    <mergeCell ref="B19:R19"/>
    <mergeCell ref="B30:R30"/>
    <mergeCell ref="B41:R41"/>
    <mergeCell ref="B36:R36"/>
  </mergeCells>
  <conditionalFormatting sqref="O4:O56">
    <cfRule type="colorScale" priority="11">
      <colorScale>
        <cfvo type="num" val="0"/>
        <cfvo type="percentile" val="50"/>
        <cfvo type="num" val="25"/>
        <color rgb="FF73FB79"/>
        <color rgb="FFFFFD78"/>
        <color rgb="FFFF2600"/>
      </colorScale>
    </cfRule>
  </conditionalFormatting>
  <conditionalFormatting sqref="P4:P56">
    <cfRule type="cellIs" dxfId="19" priority="12" operator="equal">
      <formula>"No Review"</formula>
    </cfRule>
    <cfRule type="cellIs" dxfId="18" priority="13" operator="equal">
      <formula>"Review Required"</formula>
    </cfRule>
  </conditionalFormatting>
  <dataValidations count="1">
    <dataValidation type="list" showInputMessage="1" showErrorMessage="1" sqref="M3:M66" xr:uid="{00000000-0002-0000-0300-000000000000}">
      <formula1>"Critical–Fast,Operational–Medium,Background–Slow,Evergreen–No Penalty"</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26"/>
  <sheetViews>
    <sheetView topLeftCell="A19" workbookViewId="0">
      <selection activeCell="S13" sqref="S13"/>
    </sheetView>
  </sheetViews>
  <sheetFormatPr baseColWidth="10" defaultColWidth="8.83203125" defaultRowHeight="15" x14ac:dyDescent="0.2"/>
  <cols>
    <col min="1" max="1" width="13.5" customWidth="1"/>
    <col min="2" max="2" width="180.33203125" customWidth="1"/>
    <col min="3" max="6" width="16.5" customWidth="1"/>
    <col min="7" max="7" width="23" customWidth="1"/>
    <col min="8" max="10" width="16.5" customWidth="1"/>
    <col min="11" max="11" width="22.33203125" style="24" customWidth="1"/>
    <col min="12" max="15" width="16.5" customWidth="1"/>
    <col min="16" max="16" width="18.6640625" customWidth="1"/>
    <col min="17" max="17" width="85.6640625" customWidth="1"/>
    <col min="18" max="18" width="66.33203125" customWidth="1"/>
    <col min="20" max="23" width="16.83203125"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1" t="s">
        <v>151</v>
      </c>
      <c r="M1" s="1" t="s">
        <v>152</v>
      </c>
      <c r="N1" s="1" t="s">
        <v>153</v>
      </c>
      <c r="O1" s="1" t="s">
        <v>154</v>
      </c>
      <c r="P1" s="1" t="s">
        <v>155</v>
      </c>
      <c r="Q1" s="1" t="s">
        <v>156</v>
      </c>
      <c r="R1" s="1" t="s">
        <v>157</v>
      </c>
      <c r="S1" t="s">
        <v>158</v>
      </c>
    </row>
    <row r="2" spans="1:19" x14ac:dyDescent="0.2">
      <c r="A2" s="4"/>
      <c r="B2" s="5" t="s">
        <v>947</v>
      </c>
      <c r="C2" s="4"/>
      <c r="D2" s="4"/>
      <c r="E2" s="4"/>
      <c r="F2" s="4"/>
      <c r="G2" s="4"/>
      <c r="H2" s="4"/>
      <c r="I2" s="4"/>
      <c r="J2" s="4"/>
      <c r="K2" s="23"/>
      <c r="L2" s="4"/>
      <c r="M2" s="4"/>
      <c r="N2" s="4"/>
      <c r="O2" s="4"/>
      <c r="P2" s="4"/>
      <c r="Q2" s="4"/>
      <c r="R2" s="4"/>
    </row>
    <row r="3" spans="1:19" x14ac:dyDescent="0.2">
      <c r="A3" s="3"/>
      <c r="B3" s="48"/>
      <c r="C3" s="49"/>
      <c r="D3" s="49"/>
      <c r="E3" s="49"/>
      <c r="F3" s="49"/>
      <c r="G3" s="49"/>
      <c r="H3" s="49"/>
      <c r="I3" s="49"/>
      <c r="J3" s="49"/>
      <c r="K3" s="50"/>
      <c r="L3" s="49"/>
      <c r="M3" s="49"/>
      <c r="N3" s="49"/>
      <c r="O3" s="49"/>
      <c r="P3" s="49"/>
      <c r="Q3" s="49"/>
      <c r="R3" s="49"/>
    </row>
    <row r="4" spans="1:19" x14ac:dyDescent="0.2">
      <c r="A4" t="s">
        <v>160</v>
      </c>
      <c r="B4" t="s">
        <v>948</v>
      </c>
      <c r="C4" t="s">
        <v>949</v>
      </c>
      <c r="D4" t="s">
        <v>182</v>
      </c>
      <c r="E4">
        <f>IF(C4="Multiple audits",0,IF(C4="Single audit",10,IF(C4="No audit",20,IF(C4="Unknown",10,""))))</f>
        <v>10</v>
      </c>
      <c r="F4">
        <f t="shared" ref="F4:F9" si="0">IF(D4="High",0,IF(D4="Medium",0.05,IF(D4="Low",0.1,IF(D4="Unknown",0.15,""))))</f>
        <v>0.05</v>
      </c>
      <c r="G4">
        <f t="shared" ref="G4:G9" si="1">E4*(1+F4)</f>
        <v>10.5</v>
      </c>
      <c r="H4" t="s">
        <v>950</v>
      </c>
      <c r="I4" t="s">
        <v>951</v>
      </c>
      <c r="J4" t="s">
        <v>166</v>
      </c>
      <c r="K4" s="24">
        <f t="shared" ref="K4:K9" si="2">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45962</v>
      </c>
      <c r="L4">
        <f ca="1">IF(K4="","",TODAY()-K4)</f>
        <v>50</v>
      </c>
      <c r="M4" t="s">
        <v>300</v>
      </c>
      <c r="N4">
        <f t="shared" ref="N4:N9" ca="1" si="3">IF(M4="","",IF(L4="",INDEX($F$110:$F$113,MATCH(M4,$C$110:$C$113,0)),IF(L4&lt;=INDEX($D$110:$D$113,MATCH(M4,$C$110:$C$113,0)),0,IF(L4&lt;=INDEX($E$110:$E$113,MATCH(M4,$C$110:$C$113,0)),INDEX($F$110:$F$113,MATCH(M4,$C$110:$C$113,0)),INDEX($G$110:$G$113,MATCH(M4,$C$110:$C$113,0))))))</f>
        <v>0</v>
      </c>
      <c r="O4">
        <f>G4+N3</f>
        <v>10.5</v>
      </c>
      <c r="P4" t="str">
        <f>IF(AND(C4="No audit",OR(D4="High",D4="Medium")),"Review Required","No Review")</f>
        <v>No Review</v>
      </c>
      <c r="Q4" t="s">
        <v>952</v>
      </c>
      <c r="R4" t="s">
        <v>953</v>
      </c>
    </row>
    <row r="5" spans="1:19" x14ac:dyDescent="0.2">
      <c r="A5" t="s">
        <v>171</v>
      </c>
      <c r="B5" t="s">
        <v>954</v>
      </c>
      <c r="C5" t="s">
        <v>955</v>
      </c>
      <c r="D5" t="s">
        <v>182</v>
      </c>
      <c r="E5">
        <f>IF(C5="Tier-1",0,IF(C5="Tier-2",10,IF(C5="Low-tier or self-audited",20,IF(C5="Unknown",10,""))))</f>
        <v>10</v>
      </c>
      <c r="F5">
        <f t="shared" si="0"/>
        <v>0.05</v>
      </c>
      <c r="G5">
        <f t="shared" si="1"/>
        <v>10.5</v>
      </c>
      <c r="H5" t="s">
        <v>956</v>
      </c>
      <c r="I5" t="s">
        <v>957</v>
      </c>
      <c r="J5" t="s">
        <v>166</v>
      </c>
      <c r="K5" s="24">
        <f t="shared" si="2"/>
        <v>45991</v>
      </c>
      <c r="L5">
        <f ca="1">IF(K5="","",TODAY()-K5)</f>
        <v>21</v>
      </c>
      <c r="M5" t="s">
        <v>167</v>
      </c>
      <c r="N5">
        <f t="shared" ca="1" si="3"/>
        <v>0</v>
      </c>
      <c r="O5">
        <f ca="1">G5+N4</f>
        <v>10.5</v>
      </c>
      <c r="P5" t="s">
        <v>168</v>
      </c>
      <c r="R5" t="s">
        <v>958</v>
      </c>
    </row>
    <row r="6" spans="1:19" x14ac:dyDescent="0.2">
      <c r="A6" t="s">
        <v>179</v>
      </c>
      <c r="B6" t="s">
        <v>959</v>
      </c>
      <c r="C6" t="s">
        <v>960</v>
      </c>
      <c r="D6" t="s">
        <v>182</v>
      </c>
      <c r="E6">
        <f>IF(C6="&lt;12 months",0,IF(C6="12–24 months",10,IF(C6="&gt;24 months",20,IF(C6="Unknown",10,""))))</f>
        <v>0</v>
      </c>
      <c r="F6">
        <f t="shared" si="0"/>
        <v>0.05</v>
      </c>
      <c r="G6">
        <f t="shared" si="1"/>
        <v>0</v>
      </c>
      <c r="H6" t="s">
        <v>961</v>
      </c>
      <c r="I6" t="s">
        <v>962</v>
      </c>
      <c r="J6" t="s">
        <v>176</v>
      </c>
      <c r="K6" s="24">
        <f t="shared" si="2"/>
        <v>45962</v>
      </c>
      <c r="L6">
        <f ca="1">IF(K6="","",TODAY()-K6)</f>
        <v>50</v>
      </c>
      <c r="M6" t="s">
        <v>185</v>
      </c>
      <c r="N6">
        <f t="shared" ca="1" si="3"/>
        <v>0</v>
      </c>
      <c r="O6">
        <f ca="1">G6+N6</f>
        <v>0</v>
      </c>
      <c r="P6" t="s">
        <v>168</v>
      </c>
      <c r="R6" t="s">
        <v>963</v>
      </c>
    </row>
    <row r="7" spans="1:19" x14ac:dyDescent="0.2">
      <c r="A7" t="s">
        <v>188</v>
      </c>
      <c r="B7" t="s">
        <v>964</v>
      </c>
      <c r="C7" t="s">
        <v>263</v>
      </c>
      <c r="D7" t="s">
        <v>182</v>
      </c>
      <c r="E7">
        <f>IF(C7="All upgrades re-audited",0,IF(C7="Some re-audited",10,IF(C7="No re-audit",20,IF(C7="Unknown",10,""))))</f>
        <v>10</v>
      </c>
      <c r="F7">
        <f t="shared" si="0"/>
        <v>0.05</v>
      </c>
      <c r="G7">
        <f t="shared" si="1"/>
        <v>10.5</v>
      </c>
      <c r="H7" t="s">
        <v>965</v>
      </c>
      <c r="I7" t="s">
        <v>966</v>
      </c>
      <c r="J7" t="s">
        <v>176</v>
      </c>
      <c r="K7" s="24">
        <f t="shared" si="2"/>
        <v>45945</v>
      </c>
      <c r="L7">
        <f ca="1">IF(K7="","",TODAY()-K7)</f>
        <v>67</v>
      </c>
      <c r="M7" t="s">
        <v>185</v>
      </c>
      <c r="N7">
        <f t="shared" ca="1" si="3"/>
        <v>0</v>
      </c>
      <c r="O7">
        <f ca="1">G7+N7</f>
        <v>10.5</v>
      </c>
      <c r="P7" t="str">
        <f>IF(AND(C7="No re-audit",OR(D7="High",D7="Medium")),"Review Required","No Review")</f>
        <v>No Review</v>
      </c>
      <c r="Q7" t="s">
        <v>967</v>
      </c>
      <c r="R7" t="s">
        <v>968</v>
      </c>
    </row>
    <row r="8" spans="1:19" x14ac:dyDescent="0.2">
      <c r="A8" t="s">
        <v>195</v>
      </c>
      <c r="B8" t="s">
        <v>969</v>
      </c>
      <c r="C8" t="s">
        <v>263</v>
      </c>
      <c r="D8" t="s">
        <v>182</v>
      </c>
      <c r="E8">
        <f>IF(C8="No high-severity",0,IF(C8="High findings remediated",10,IF(C8="High findings unremediated",20,IF(C8="Unknown",10,""))))</f>
        <v>10</v>
      </c>
      <c r="F8">
        <f t="shared" si="0"/>
        <v>0.05</v>
      </c>
      <c r="G8">
        <f t="shared" si="1"/>
        <v>10.5</v>
      </c>
      <c r="H8" t="s">
        <v>970</v>
      </c>
      <c r="I8" t="s">
        <v>971</v>
      </c>
      <c r="J8" t="s">
        <v>166</v>
      </c>
      <c r="K8" s="24">
        <f t="shared" si="2"/>
        <v>45945</v>
      </c>
      <c r="L8">
        <f ca="1">IF(K8="","",TODAY()-K8)</f>
        <v>67</v>
      </c>
      <c r="M8" t="s">
        <v>185</v>
      </c>
      <c r="N8">
        <f t="shared" ca="1" si="3"/>
        <v>0</v>
      </c>
      <c r="O8">
        <f ca="1">G8+N8</f>
        <v>10.5</v>
      </c>
      <c r="P8" t="str">
        <f>IF(AND(C8="High findings unremediated",OR(D8="High",D8="Medium")),"Review Required","No Review")</f>
        <v>No Review</v>
      </c>
      <c r="Q8" t="s">
        <v>972</v>
      </c>
      <c r="R8" t="s">
        <v>973</v>
      </c>
    </row>
    <row r="9" spans="1:19" x14ac:dyDescent="0.2">
      <c r="A9" t="s">
        <v>202</v>
      </c>
      <c r="B9" t="s">
        <v>974</v>
      </c>
      <c r="C9" t="s">
        <v>975</v>
      </c>
      <c r="D9" t="s">
        <v>182</v>
      </c>
      <c r="E9">
        <v>0</v>
      </c>
      <c r="F9">
        <f t="shared" si="0"/>
        <v>0.05</v>
      </c>
      <c r="G9">
        <f t="shared" si="1"/>
        <v>0</v>
      </c>
      <c r="H9" t="s">
        <v>976</v>
      </c>
      <c r="I9" t="s">
        <v>977</v>
      </c>
      <c r="J9" t="s">
        <v>166</v>
      </c>
      <c r="K9">
        <f t="shared" si="2"/>
        <v>45833</v>
      </c>
      <c r="M9" t="s">
        <v>300</v>
      </c>
      <c r="N9">
        <f t="shared" si="3"/>
        <v>2</v>
      </c>
      <c r="O9">
        <f>G9+N9</f>
        <v>2</v>
      </c>
      <c r="P9" t="s">
        <v>168</v>
      </c>
      <c r="Q9" t="s">
        <v>823</v>
      </c>
      <c r="R9" t="s">
        <v>978</v>
      </c>
    </row>
    <row r="10" spans="1:19" x14ac:dyDescent="0.2">
      <c r="A10" s="3"/>
      <c r="B10" s="48"/>
      <c r="C10" s="49"/>
      <c r="D10" s="49"/>
      <c r="E10" s="49"/>
      <c r="F10" s="49"/>
      <c r="G10" s="49"/>
      <c r="H10" s="49"/>
      <c r="I10" s="49"/>
      <c r="J10" s="49"/>
      <c r="K10" s="50"/>
      <c r="L10" s="49"/>
      <c r="M10" s="49"/>
      <c r="N10" s="49"/>
      <c r="O10" s="49"/>
      <c r="P10" s="49"/>
      <c r="Q10" s="49"/>
      <c r="R10" s="49"/>
    </row>
    <row r="11" spans="1:19" x14ac:dyDescent="0.2">
      <c r="A11" t="s">
        <v>209</v>
      </c>
      <c r="B11" t="s">
        <v>979</v>
      </c>
      <c r="C11" t="s">
        <v>980</v>
      </c>
      <c r="D11" t="s">
        <v>182</v>
      </c>
      <c r="E11">
        <f>IF(C11="Mature (&gt;24 months)",0,IF(C11="Mid-stage (6–24 months)",10,IF(C11="Early (&lt;6 months)",20,IF(C11="Unknown",10,""))))</f>
        <v>10</v>
      </c>
      <c r="F11">
        <f>IF(D11="High",0,IF(D11="Medium",0.05,IF(D11="Low",0.1,IF(D11="Unknown",0.15,""))))</f>
        <v>0.05</v>
      </c>
      <c r="G11">
        <f>E11*(1+F11)</f>
        <v>10.5</v>
      </c>
      <c r="H11" t="s">
        <v>981</v>
      </c>
      <c r="I11" t="s">
        <v>982</v>
      </c>
      <c r="J11" t="s">
        <v>176</v>
      </c>
      <c r="K11" s="24">
        <f>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45901</v>
      </c>
      <c r="L11">
        <f ca="1">IF(K11="","",TODAY()-K11)</f>
        <v>111</v>
      </c>
      <c r="M11" t="s">
        <v>167</v>
      </c>
      <c r="N11">
        <f ca="1">IF(M11="","",IF(L11="",INDEX($F$110:$F$113,MATCH(M11,$C$110:$C$113,0)),IF(L11&lt;=INDEX($D$110:$D$113,MATCH(M11,$C$110:$C$113,0)),0,IF(L11&lt;=INDEX($E$110:$E$113,MATCH(M11,$C$110:$C$113,0)),INDEX($F$110:$F$113,MATCH(M11,$C$110:$C$113,0)),INDEX($G$110:$G$113,MATCH(M11,$C$110:$C$113,0))))))</f>
        <v>0</v>
      </c>
      <c r="O11">
        <f ca="1">G11+N11</f>
        <v>10.5</v>
      </c>
      <c r="P11" t="s">
        <v>168</v>
      </c>
      <c r="R11" t="s">
        <v>983</v>
      </c>
    </row>
    <row r="12" spans="1:19" x14ac:dyDescent="0.2">
      <c r="A12" t="s">
        <v>214</v>
      </c>
      <c r="B12" t="s">
        <v>984</v>
      </c>
      <c r="C12" t="s">
        <v>985</v>
      </c>
      <c r="D12" t="s">
        <v>182</v>
      </c>
      <c r="E12">
        <f>IF(C12="Fully open-source",0,IF(C12="Partially open-source",10,IF(C12="Closed-source",20,IF(C12="Unknown",10,""))))</f>
        <v>10</v>
      </c>
      <c r="F12">
        <f>IF(D12="High",0,IF(D12="Medium",0.05,IF(D12="Low",0.1,IF(D12="Unknown",0.15,""))))</f>
        <v>0.05</v>
      </c>
      <c r="G12">
        <f>E12*(1+F12)</f>
        <v>10.5</v>
      </c>
      <c r="H12" t="s">
        <v>986</v>
      </c>
      <c r="I12" t="s">
        <v>987</v>
      </c>
      <c r="J12" t="s">
        <v>176</v>
      </c>
      <c r="K12" s="24">
        <f>IF(I12="","",MAX(IFERROR(DATEVALUE(TRIM(MID(SUBSTITUTE(I12,";",REPT(" ",50)),1,50))),0),IFERROR(DATEVALUE(TRIM(MID(SUBSTITUTE(I12,";",REPT(" ",50)),51,50))),0),IFERROR(DATEVALUE(TRIM(MID(SUBSTITUTE(I12,";",REPT(" ",50)),101,50))),0),IFERROR(DATEVALUE(TRIM(MID(SUBSTITUTE(I12,";",REPT(" ",50)),151,50))),0),IFERROR(DATEVALUE(TRIM(MID(SUBSTITUTE(I12,";",REPT(" ",50)),201,50))),0),IFERROR(DATEVALUE(TRIM(MID(SUBSTITUTE(I12,";",REPT(" ",50)),251,50))),0),IFERROR(DATEVALUE(TRIM(MID(SUBSTITUTE(I12,";",REPT(" ",50)),301,50))),0),IFERROR(DATEVALUE(TRIM(MID(SUBSTITUTE(I12,";",REPT(" ",50)),351,50))),0),IFERROR(DATEVALUE(TRIM(MID(SUBSTITUTE(I12,";",REPT(" ",50)),401,50))),0),IFERROR(DATEVALUE(TRIM(MID(SUBSTITUTE(I12,";",REPT(" ",50)),451,50))),0)))</f>
        <v>45904</v>
      </c>
      <c r="L12">
        <f ca="1">IF(K12="","",TODAY()-K12)</f>
        <v>108</v>
      </c>
      <c r="M12" t="s">
        <v>167</v>
      </c>
      <c r="N12">
        <f ca="1">IF(M12="","",IF(L12="",INDEX($F$110:$F$113,MATCH(M12,$C$110:$C$113,0)),IF(L12&lt;=INDEX($D$110:$D$113,MATCH(M12,$C$110:$C$113,0)),0,IF(L12&lt;=INDEX($E$110:$E$113,MATCH(M12,$C$110:$C$113,0)),INDEX($F$110:$F$113,MATCH(M12,$C$110:$C$113,0)),INDEX($G$110:$G$113,MATCH(M12,$C$110:$C$113,0))))))</f>
        <v>0</v>
      </c>
      <c r="O12">
        <f ca="1">G12+N12</f>
        <v>10.5</v>
      </c>
      <c r="P12" t="str">
        <f>IF(AND(C12="Closed-source",OR(D12="High",D12="Medium")),"Review Required","No Review")</f>
        <v>No Review</v>
      </c>
      <c r="Q12" t="s">
        <v>988</v>
      </c>
      <c r="R12" t="s">
        <v>989</v>
      </c>
    </row>
    <row r="13" spans="1:19" x14ac:dyDescent="0.2">
      <c r="A13" t="s">
        <v>219</v>
      </c>
      <c r="B13" t="s">
        <v>990</v>
      </c>
      <c r="C13" t="s">
        <v>280</v>
      </c>
      <c r="D13" t="s">
        <v>182</v>
      </c>
      <c r="E13">
        <f>IF(C13="Comprehensive",0,IF(C13="Partial",10,IF(C13="Minimal/outdated",20,IF(C13="Unknown",10,""))))</f>
        <v>10</v>
      </c>
      <c r="F13">
        <f>IF(D13="High",0,IF(D13="Medium",0.05,IF(D13="Low",0.1,IF(D13="Unknown",0.15,""))))</f>
        <v>0.05</v>
      </c>
      <c r="G13">
        <f>E13*(1+F13)</f>
        <v>10.5</v>
      </c>
      <c r="H13" t="s">
        <v>991</v>
      </c>
      <c r="I13" t="s">
        <v>992</v>
      </c>
      <c r="J13" t="s">
        <v>166</v>
      </c>
      <c r="K13" s="24">
        <f>IF(I13="","",MAX(IFERROR(DATEVALUE(TRIM(MID(SUBSTITUTE(I13,";",REPT(" ",50)),1,50))),0),IFERROR(DATEVALUE(TRIM(MID(SUBSTITUTE(I13,";",REPT(" ",50)),51,50))),0),IFERROR(DATEVALUE(TRIM(MID(SUBSTITUTE(I13,";",REPT(" ",50)),101,50))),0),IFERROR(DATEVALUE(TRIM(MID(SUBSTITUTE(I13,";",REPT(" ",50)),151,50))),0),IFERROR(DATEVALUE(TRIM(MID(SUBSTITUTE(I13,";",REPT(" ",50)),201,50))),0),IFERROR(DATEVALUE(TRIM(MID(SUBSTITUTE(I13,";",REPT(" ",50)),251,50))),0),IFERROR(DATEVALUE(TRIM(MID(SUBSTITUTE(I13,";",REPT(" ",50)),301,50))),0),IFERROR(DATEVALUE(TRIM(MID(SUBSTITUTE(I13,";",REPT(" ",50)),351,50))),0),IFERROR(DATEVALUE(TRIM(MID(SUBSTITUTE(I13,";",REPT(" ",50)),401,50))),0),IFERROR(DATEVALUE(TRIM(MID(SUBSTITUTE(I13,";",REPT(" ",50)),451,50))),0)))</f>
        <v>46007</v>
      </c>
      <c r="L13">
        <f ca="1">IF(K13="","",TODAY()-K13)</f>
        <v>5</v>
      </c>
      <c r="M13" t="s">
        <v>167</v>
      </c>
      <c r="N13">
        <f ca="1">IF(M13="","",IF(L13="",INDEX($F$110:$F$113,MATCH(M13,$C$110:$C$113,0)),IF(L13&lt;=INDEX($D$110:$D$113,MATCH(M13,$C$110:$C$113,0)),0,IF(L13&lt;=INDEX($E$110:$E$113,MATCH(M13,$C$110:$C$113,0)),INDEX($F$110:$F$113,MATCH(M13,$C$110:$C$113,0)),INDEX($G$110:$G$113,MATCH(M13,$C$110:$C$113,0))))))</f>
        <v>0</v>
      </c>
      <c r="O13">
        <f ca="1">G13+N13</f>
        <v>10.5</v>
      </c>
      <c r="P13" t="s">
        <v>168</v>
      </c>
      <c r="R13" t="s">
        <v>993</v>
      </c>
    </row>
    <row r="14" spans="1:19" x14ac:dyDescent="0.2">
      <c r="A14" t="s">
        <v>994</v>
      </c>
      <c r="B14" t="s">
        <v>995</v>
      </c>
      <c r="C14" t="s">
        <v>263</v>
      </c>
      <c r="D14" t="s">
        <v>182</v>
      </c>
      <c r="E14">
        <f>IF(C14="Yes – core components",0,IF(C14="Yes – limited components",10,IF(C14="No",20,IF(C14="Unknown",10,""))))</f>
        <v>10</v>
      </c>
      <c r="F14">
        <f>IF(D14="High",0,IF(D14="Medium",0.05,IF(D14="Low",0.1,IF(D14="Unknown",0.15,""))))</f>
        <v>0.05</v>
      </c>
      <c r="G14">
        <f>E14*(1+F14)</f>
        <v>10.5</v>
      </c>
      <c r="H14" t="s">
        <v>996</v>
      </c>
      <c r="I14" t="s">
        <v>997</v>
      </c>
      <c r="J14" t="s">
        <v>166</v>
      </c>
      <c r="K14" s="24">
        <f>IF(I14="","",MAX(IFERROR(DATEVALUE(TRIM(MID(SUBSTITUTE(I14,";",REPT(" ",50)),1,50))),0),IFERROR(DATEVALUE(TRIM(MID(SUBSTITUTE(I14,";",REPT(" ",50)),51,50))),0),IFERROR(DATEVALUE(TRIM(MID(SUBSTITUTE(I14,";",REPT(" ",50)),101,50))),0),IFERROR(DATEVALUE(TRIM(MID(SUBSTITUTE(I14,";",REPT(" ",50)),151,50))),0),IFERROR(DATEVALUE(TRIM(MID(SUBSTITUTE(I14,";",REPT(" ",50)),201,50))),0),IFERROR(DATEVALUE(TRIM(MID(SUBSTITUTE(I14,";",REPT(" ",50)),251,50))),0),IFERROR(DATEVALUE(TRIM(MID(SUBSTITUTE(I14,";",REPT(" ",50)),301,50))),0),IFERROR(DATEVALUE(TRIM(MID(SUBSTITUTE(I14,";",REPT(" ",50)),351,50))),0),IFERROR(DATEVALUE(TRIM(MID(SUBSTITUTE(I14,";",REPT(" ",50)),401,50))),0),IFERROR(DATEVALUE(TRIM(MID(SUBSTITUTE(I14,";",REPT(" ",50)),451,50))),0)))</f>
        <v>46009</v>
      </c>
      <c r="L14">
        <f ca="1">IF(K14="","",TODAY()-K14)</f>
        <v>3</v>
      </c>
      <c r="M14" t="s">
        <v>167</v>
      </c>
      <c r="N14">
        <f ca="1">IF(M14="","",IF(L14="",INDEX($F$110:$F$113,MATCH(M14,$C$110:$C$113,0)),IF(L14&lt;=INDEX($D$110:$D$113,MATCH(M14,$C$110:$C$113,0)),0,IF(L14&lt;=INDEX($E$110:$E$113,MATCH(M14,$C$110:$C$113,0)),INDEX($F$110:$F$113,MATCH(M14,$C$110:$C$113,0)),INDEX($G$110:$G$113,MATCH(M14,$C$110:$C$113,0))))))</f>
        <v>0</v>
      </c>
      <c r="O14">
        <f ca="1">G14+N14</f>
        <v>10.5</v>
      </c>
      <c r="P14" t="s">
        <v>168</v>
      </c>
      <c r="R14" t="s">
        <v>998</v>
      </c>
    </row>
    <row r="15" spans="1:19" x14ac:dyDescent="0.2">
      <c r="A15" t="s">
        <v>224</v>
      </c>
      <c r="B15" t="s">
        <v>999</v>
      </c>
      <c r="C15" t="s">
        <v>1000</v>
      </c>
      <c r="D15" t="s">
        <v>182</v>
      </c>
      <c r="E15">
        <v>0</v>
      </c>
      <c r="F15">
        <f>IF(D15="High",0,IF(D15="Medium",0.05,IF(D15="Low",0.1,IF(D15="Unknown",0.15,""))))</f>
        <v>0.05</v>
      </c>
      <c r="G15">
        <f>E15*(1+F15)</f>
        <v>0</v>
      </c>
      <c r="H15" t="s">
        <v>1001</v>
      </c>
      <c r="I15" t="s">
        <v>987</v>
      </c>
      <c r="J15" t="s">
        <v>166</v>
      </c>
      <c r="K15">
        <f>IF(I15="","",MAX(IFERROR(DATEVALUE(TRIM(MID(SUBSTITUTE(I15,";",REPT(" ",50)),1,50))),0),IFERROR(DATEVALUE(TRIM(MID(SUBSTITUTE(I15,";",REPT(" ",50)),51,50))),0),IFERROR(DATEVALUE(TRIM(MID(SUBSTITUTE(I15,";",REPT(" ",50)),101,50))),0),IFERROR(DATEVALUE(TRIM(MID(SUBSTITUTE(I15,";",REPT(" ",50)),151,50))),0),IFERROR(DATEVALUE(TRIM(MID(SUBSTITUTE(I15,";",REPT(" ",50)),201,50))),0),IFERROR(DATEVALUE(TRIM(MID(SUBSTITUTE(I15,";",REPT(" ",50)),251,50))),0),IFERROR(DATEVALUE(TRIM(MID(SUBSTITUTE(I15,";",REPT(" ",50)),301,50))),0),IFERROR(DATEVALUE(TRIM(MID(SUBSTITUTE(I15,";",REPT(" ",50)),351,50))),0),IFERROR(DATEVALUE(TRIM(MID(SUBSTITUTE(I15,";",REPT(" ",50)),401,50))),0),IFERROR(DATEVALUE(TRIM(MID(SUBSTITUTE(I15,";",REPT(" ",50)),451,50))),0)))</f>
        <v>45904</v>
      </c>
      <c r="M15" t="s">
        <v>167</v>
      </c>
      <c r="N15">
        <f>IF(M15="","",IF(L15="",INDEX($F$110:$F$113,MATCH(M15,$C$110:$C$113,0)),IF(L15&lt;=INDEX($D$110:$D$113,MATCH(M15,$C$110:$C$113,0)),0,IF(L15&lt;=INDEX($E$110:$E$113,MATCH(M15,$C$110:$C$113,0)),INDEX($F$110:$F$113,MATCH(M15,$C$110:$C$113,0)),INDEX($G$110:$G$113,MATCH(M15,$C$110:$C$113,0))))))</f>
        <v>0</v>
      </c>
      <c r="O15">
        <f>G15+N15</f>
        <v>0</v>
      </c>
      <c r="P15" t="s">
        <v>168</v>
      </c>
      <c r="Q15" t="s">
        <v>823</v>
      </c>
      <c r="R15" t="s">
        <v>1002</v>
      </c>
    </row>
    <row r="16" spans="1:19" x14ac:dyDescent="0.2">
      <c r="A16" s="3"/>
      <c r="B16" s="48"/>
      <c r="C16" s="49"/>
      <c r="D16" s="49"/>
      <c r="E16" s="49"/>
      <c r="F16" s="49"/>
      <c r="G16" s="49"/>
      <c r="H16" s="49"/>
      <c r="I16" s="49"/>
      <c r="J16" s="49"/>
      <c r="K16" s="50"/>
      <c r="L16" s="49"/>
      <c r="M16" s="49"/>
      <c r="N16" s="49"/>
      <c r="O16" s="49"/>
      <c r="P16" s="49"/>
      <c r="Q16" s="49"/>
      <c r="R16" s="49"/>
    </row>
    <row r="17" spans="1:18" x14ac:dyDescent="0.2">
      <c r="A17" t="s">
        <v>230</v>
      </c>
      <c r="B17" t="s">
        <v>1003</v>
      </c>
      <c r="C17" t="s">
        <v>263</v>
      </c>
      <c r="D17" t="s">
        <v>182</v>
      </c>
      <c r="E17">
        <f>IF(C17="High coverage (&gt;80%)",0,IF(C17="Some coverage (20–80%)",10,IF(C17="Minimal/no coverage",20,IF(C17="Unknown",10,""))))</f>
        <v>10</v>
      </c>
      <c r="F17">
        <f>IF(D17="High",0,IF(D17="Medium",0.05,IF(D17="Low",0.1,IF(D17="Unknown",0.15,""))))</f>
        <v>0.05</v>
      </c>
      <c r="G17">
        <f>E17*(1+F17)</f>
        <v>10.5</v>
      </c>
      <c r="H17" t="s">
        <v>1004</v>
      </c>
      <c r="I17" t="s">
        <v>1005</v>
      </c>
      <c r="J17" t="s">
        <v>166</v>
      </c>
      <c r="K17" s="24">
        <f>IF(I17="","",MAX(IFERROR(DATEVALUE(TRIM(MID(SUBSTITUTE(I17,";",REPT(" ",50)),1,50))),0),IFERROR(DATEVALUE(TRIM(MID(SUBSTITUTE(I17,";",REPT(" ",50)),51,50))),0),IFERROR(DATEVALUE(TRIM(MID(SUBSTITUTE(I17,";",REPT(" ",50)),101,50))),0),IFERROR(DATEVALUE(TRIM(MID(SUBSTITUTE(I17,";",REPT(" ",50)),151,50))),0),IFERROR(DATEVALUE(TRIM(MID(SUBSTITUTE(I17,";",REPT(" ",50)),201,50))),0),IFERROR(DATEVALUE(TRIM(MID(SUBSTITUTE(I17,";",REPT(" ",50)),251,50))),0),IFERROR(DATEVALUE(TRIM(MID(SUBSTITUTE(I17,";",REPT(" ",50)),301,50))),0),IFERROR(DATEVALUE(TRIM(MID(SUBSTITUTE(I17,";",REPT(" ",50)),351,50))),0),IFERROR(DATEVALUE(TRIM(MID(SUBSTITUTE(I17,";",REPT(" ",50)),401,50))),0),IFERROR(DATEVALUE(TRIM(MID(SUBSTITUTE(I17,";",REPT(" ",50)),451,50))),0)))</f>
        <v>45962</v>
      </c>
      <c r="L17">
        <f ca="1">IF(K17="","",TODAY()-K17)</f>
        <v>50</v>
      </c>
      <c r="M17" t="s">
        <v>185</v>
      </c>
      <c r="N17">
        <f ca="1">IF(M17="","",IF(L17="",INDEX($F$110:$F$113,MATCH(M17,$C$110:$C$113,0)),IF(L17&lt;=INDEX($D$110:$D$113,MATCH(M17,$C$110:$C$113,0)),0,IF(L17&lt;=INDEX($E$110:$E$113,MATCH(M17,$C$110:$C$113,0)),INDEX($F$110:$F$113,MATCH(M17,$C$110:$C$113,0)),INDEX($G$110:$G$113,MATCH(M17,$C$110:$C$113,0))))))</f>
        <v>0</v>
      </c>
      <c r="O17">
        <f ca="1">G17+N17</f>
        <v>10.5</v>
      </c>
      <c r="P17" t="s">
        <v>168</v>
      </c>
      <c r="R17" t="s">
        <v>1006</v>
      </c>
    </row>
    <row r="18" spans="1:18" x14ac:dyDescent="0.2">
      <c r="A18" t="s">
        <v>1007</v>
      </c>
      <c r="B18" t="s">
        <v>1008</v>
      </c>
      <c r="C18" t="s">
        <v>263</v>
      </c>
      <c r="D18" t="s">
        <v>217</v>
      </c>
      <c r="E18">
        <f>IF(C18="Stable with no major issues",0,IF(C18="Some issues but resolved",10,IF(C18="Frequent stability problems",20,IF(C18="Unknown",10,""))))</f>
        <v>10</v>
      </c>
      <c r="F18">
        <f>IF(D18="High",0,IF(D18="Medium",0.05,IF(D18="Low",0.1,IF(D18="Unknown",0.15,""))))</f>
        <v>0.1</v>
      </c>
      <c r="G18">
        <f>E18*(1+F18)</f>
        <v>11</v>
      </c>
      <c r="H18" t="s">
        <v>647</v>
      </c>
      <c r="I18" t="s">
        <v>650</v>
      </c>
      <c r="J18" t="s">
        <v>176</v>
      </c>
      <c r="K18" s="24">
        <f>IF(I18="","",MAX(IFERROR(DATEVALUE(TRIM(MID(SUBSTITUTE(I18,";",REPT(" ",50)),1,50))),0),IFERROR(DATEVALUE(TRIM(MID(SUBSTITUTE(I18,";",REPT(" ",50)),51,50))),0),IFERROR(DATEVALUE(TRIM(MID(SUBSTITUTE(I18,";",REPT(" ",50)),101,50))),0),IFERROR(DATEVALUE(TRIM(MID(SUBSTITUTE(I18,";",REPT(" ",50)),151,50))),0),IFERROR(DATEVALUE(TRIM(MID(SUBSTITUTE(I18,";",REPT(" ",50)),201,50))),0),IFERROR(DATEVALUE(TRIM(MID(SUBSTITUTE(I18,";",REPT(" ",50)),251,50))),0),IFERROR(DATEVALUE(TRIM(MID(SUBSTITUTE(I18,";",REPT(" ",50)),301,50))),0),IFERROR(DATEVALUE(TRIM(MID(SUBSTITUTE(I18,";",REPT(" ",50)),351,50))),0),IFERROR(DATEVALUE(TRIM(MID(SUBSTITUTE(I18,";",REPT(" ",50)),401,50))),0),IFERROR(DATEVALUE(TRIM(MID(SUBSTITUTE(I18,";",REPT(" ",50)),451,50))),0)))</f>
        <v>46009</v>
      </c>
      <c r="L18">
        <f ca="1">IF(K18="","",TODAY()-K18)</f>
        <v>3</v>
      </c>
      <c r="M18" t="s">
        <v>185</v>
      </c>
      <c r="N18">
        <f ca="1">IF(M18="","",IF(L18="",INDEX($F$110:$F$113,MATCH(M18,$C$110:$C$113,0)),IF(L18&lt;=INDEX($D$110:$D$113,MATCH(M18,$C$110:$C$113,0)),0,IF(L18&lt;=INDEX($E$110:$E$113,MATCH(M18,$C$110:$C$113,0)),INDEX($F$110:$F$113,MATCH(M18,$C$110:$C$113,0)),INDEX($G$110:$G$113,MATCH(M18,$C$110:$C$113,0))))))</f>
        <v>0</v>
      </c>
      <c r="O18">
        <f ca="1">G18+N18</f>
        <v>11</v>
      </c>
      <c r="P18" t="s">
        <v>168</v>
      </c>
      <c r="R18" t="s">
        <v>1009</v>
      </c>
    </row>
    <row r="19" spans="1:18" x14ac:dyDescent="0.2">
      <c r="A19" t="s">
        <v>1010</v>
      </c>
      <c r="B19" t="s">
        <v>1011</v>
      </c>
      <c r="C19" t="s">
        <v>1012</v>
      </c>
      <c r="D19" t="s">
        <v>182</v>
      </c>
      <c r="E19">
        <f>IF(C19="Clear CI/CD pipeline documented",0,IF(C19="Partial visibility",10,IF(C19="No visible CI/CD process",20,IF(C19="Unknown",10,""))))</f>
        <v>20</v>
      </c>
      <c r="F19">
        <f>IF(D19="High",0,IF(D19="Medium",0.05,IF(D19="Low",0.1,IF(D19="Unknown",0.15,""))))</f>
        <v>0.05</v>
      </c>
      <c r="G19">
        <f>E19*(1+F19)</f>
        <v>21</v>
      </c>
      <c r="H19" t="s">
        <v>1013</v>
      </c>
      <c r="I19" t="s">
        <v>1014</v>
      </c>
      <c r="J19" t="s">
        <v>176</v>
      </c>
      <c r="K19" s="24">
        <f>IF(I19="","",MAX(IFERROR(DATEVALUE(TRIM(MID(SUBSTITUTE(I19,";",REPT(" ",50)),1,50))),0),IFERROR(DATEVALUE(TRIM(MID(SUBSTITUTE(I19,";",REPT(" ",50)),51,50))),0),IFERROR(DATEVALUE(TRIM(MID(SUBSTITUTE(I19,";",REPT(" ",50)),101,50))),0),IFERROR(DATEVALUE(TRIM(MID(SUBSTITUTE(I19,";",REPT(" ",50)),151,50))),0),IFERROR(DATEVALUE(TRIM(MID(SUBSTITUTE(I19,";",REPT(" ",50)),201,50))),0),IFERROR(DATEVALUE(TRIM(MID(SUBSTITUTE(I19,";",REPT(" ",50)),251,50))),0),IFERROR(DATEVALUE(TRIM(MID(SUBSTITUTE(I19,";",REPT(" ",50)),301,50))),0),IFERROR(DATEVALUE(TRIM(MID(SUBSTITUTE(I19,";",REPT(" ",50)),351,50))),0),IFERROR(DATEVALUE(TRIM(MID(SUBSTITUTE(I19,";",REPT(" ",50)),401,50))),0),IFERROR(DATEVALUE(TRIM(MID(SUBSTITUTE(I19,";",REPT(" ",50)),451,50))),0)))</f>
        <v>45904</v>
      </c>
      <c r="L19">
        <f ca="1">IF(K19="","",TODAY()-K19)</f>
        <v>108</v>
      </c>
      <c r="M19" t="s">
        <v>185</v>
      </c>
      <c r="N19">
        <f ca="1">IF(M19="","",IF(L19="",INDEX($F$110:$F$113,MATCH(M19,$C$110:$C$113,0)),IF(L19&lt;=INDEX($D$110:$D$113,MATCH(M19,$C$110:$C$113,0)),0,IF(L19&lt;=INDEX($E$110:$E$113,MATCH(M19,$C$110:$C$113,0)),INDEX($F$110:$F$113,MATCH(M19,$C$110:$C$113,0)),INDEX($G$110:$G$113,MATCH(M19,$C$110:$C$113,0))))))</f>
        <v>0</v>
      </c>
      <c r="O19">
        <f ca="1">G19+N19</f>
        <v>21</v>
      </c>
      <c r="P19" t="s">
        <v>168</v>
      </c>
      <c r="R19" t="s">
        <v>1015</v>
      </c>
    </row>
    <row r="20" spans="1:18" x14ac:dyDescent="0.2">
      <c r="A20" t="s">
        <v>1016</v>
      </c>
      <c r="B20" t="s">
        <v>1017</v>
      </c>
      <c r="C20" t="s">
        <v>263</v>
      </c>
      <c r="D20" t="s">
        <v>217</v>
      </c>
      <c r="E20">
        <f>IF(C20="No notable issues",0,IF(C20="Some issues flagged",10,IF(C20="Structural/recurring issues",20,IF(C20="Unknown",10,""))))</f>
        <v>10</v>
      </c>
      <c r="F20">
        <f>IF(D20="High",0,IF(D20="Medium",0.05,IF(D20="Low",0.1,IF(D20="Unknown",0.15,""))))</f>
        <v>0.1</v>
      </c>
      <c r="G20">
        <f>E20*(1+F20)</f>
        <v>11</v>
      </c>
      <c r="H20" t="s">
        <v>1018</v>
      </c>
      <c r="I20" t="s">
        <v>1019</v>
      </c>
      <c r="J20" t="s">
        <v>166</v>
      </c>
      <c r="K20" s="24">
        <f>IF(I20="","",MAX(IFERROR(DATEVALUE(TRIM(MID(SUBSTITUTE(I20,";",REPT(" ",50)),1,50))),0),IFERROR(DATEVALUE(TRIM(MID(SUBSTITUTE(I20,";",REPT(" ",50)),51,50))),0),IFERROR(DATEVALUE(TRIM(MID(SUBSTITUTE(I20,";",REPT(" ",50)),101,50))),0),IFERROR(DATEVALUE(TRIM(MID(SUBSTITUTE(I20,";",REPT(" ",50)),151,50))),0),IFERROR(DATEVALUE(TRIM(MID(SUBSTITUTE(I20,";",REPT(" ",50)),201,50))),0),IFERROR(DATEVALUE(TRIM(MID(SUBSTITUTE(I20,";",REPT(" ",50)),251,50))),0),IFERROR(DATEVALUE(TRIM(MID(SUBSTITUTE(I20,";",REPT(" ",50)),301,50))),0),IFERROR(DATEVALUE(TRIM(MID(SUBSTITUTE(I20,";",REPT(" ",50)),351,50))),0),IFERROR(DATEVALUE(TRIM(MID(SUBSTITUTE(I20,";",REPT(" ",50)),401,50))),0),IFERROR(DATEVALUE(TRIM(MID(SUBSTITUTE(I20,";",REPT(" ",50)),451,50))),0)))</f>
        <v>45962</v>
      </c>
      <c r="L20">
        <f ca="1">IF(K20="","",TODAY()-K20)</f>
        <v>50</v>
      </c>
      <c r="M20" t="s">
        <v>300</v>
      </c>
      <c r="N20">
        <f ca="1">IF(M20="","",IF(L20="",INDEX($F$110:$F$113,MATCH(M20,$C$110:$C$113,0)),IF(L20&lt;=INDEX($D$110:$D$113,MATCH(M20,$C$110:$C$113,0)),0,IF(L20&lt;=INDEX($E$110:$E$113,MATCH(M20,$C$110:$C$113,0)),INDEX($F$110:$F$113,MATCH(M20,$C$110:$C$113,0)),INDEX($G$110:$G$113,MATCH(M20,$C$110:$C$113,0))))))</f>
        <v>0</v>
      </c>
      <c r="O20">
        <f ca="1">G20+N20</f>
        <v>11</v>
      </c>
      <c r="P20" t="str">
        <f>IF(AND(C20="Structural/recurring issues",OR(D20="High",D20="Medium")),"Review Required","No Review")</f>
        <v>No Review</v>
      </c>
      <c r="Q20" t="s">
        <v>1020</v>
      </c>
      <c r="R20" t="s">
        <v>1021</v>
      </c>
    </row>
    <row r="21" spans="1:18" x14ac:dyDescent="0.2">
      <c r="A21" t="s">
        <v>237</v>
      </c>
      <c r="B21" t="s">
        <v>1022</v>
      </c>
      <c r="C21" t="s">
        <v>1023</v>
      </c>
      <c r="D21" t="s">
        <v>182</v>
      </c>
      <c r="E21">
        <v>0</v>
      </c>
      <c r="F21">
        <f>IF(D21="High",0,IF(D21="Medium",0.05,IF(D21="Low",0.1,IF(D21="Unknown",0.15,""))))</f>
        <v>0.05</v>
      </c>
      <c r="G21">
        <f>E21*(1+F21)</f>
        <v>0</v>
      </c>
      <c r="H21" t="s">
        <v>1024</v>
      </c>
      <c r="J21" t="s">
        <v>176</v>
      </c>
      <c r="K21" t="str">
        <f>IF(I21="","",MAX(IFERROR(DATEVALUE(TRIM(MID(SUBSTITUTE(I21,";",REPT(" ",50)),1,50))),0),IFERROR(DATEVALUE(TRIM(MID(SUBSTITUTE(I21,";",REPT(" ",50)),51,50))),0),IFERROR(DATEVALUE(TRIM(MID(SUBSTITUTE(I21,";",REPT(" ",50)),101,50))),0),IFERROR(DATEVALUE(TRIM(MID(SUBSTITUTE(I21,";",REPT(" ",50)),151,50))),0),IFERROR(DATEVALUE(TRIM(MID(SUBSTITUTE(I21,";",REPT(" ",50)),201,50))),0),IFERROR(DATEVALUE(TRIM(MID(SUBSTITUTE(I21,";",REPT(" ",50)),251,50))),0),IFERROR(DATEVALUE(TRIM(MID(SUBSTITUTE(I21,";",REPT(" ",50)),301,50))),0),IFERROR(DATEVALUE(TRIM(MID(SUBSTITUTE(I21,";",REPT(" ",50)),351,50))),0),IFERROR(DATEVALUE(TRIM(MID(SUBSTITUTE(I21,";",REPT(" ",50)),401,50))),0),IFERROR(DATEVALUE(TRIM(MID(SUBSTITUTE(I21,";",REPT(" ",50)),451,50))),0)))</f>
        <v/>
      </c>
      <c r="M21" t="s">
        <v>300</v>
      </c>
      <c r="N21">
        <f>IF(M21="","",IF(L21="",INDEX($F$110:$F$113,MATCH(M21,$C$110:$C$113,0)),IF(L21&lt;=INDEX($D$110:$D$113,MATCH(M21,$C$110:$C$113,0)),0,IF(L21&lt;=INDEX($E$110:$E$113,MATCH(M21,$C$110:$C$113,0)),INDEX($F$110:$F$113,MATCH(M21,$C$110:$C$113,0)),INDEX($G$110:$G$113,MATCH(M21,$C$110:$C$113,0))))))</f>
        <v>2</v>
      </c>
      <c r="O21">
        <f>G21+N21</f>
        <v>2</v>
      </c>
      <c r="P21" t="s">
        <v>168</v>
      </c>
      <c r="Q21" t="s">
        <v>823</v>
      </c>
      <c r="R21" t="s">
        <v>1025</v>
      </c>
    </row>
    <row r="22" spans="1:18" x14ac:dyDescent="0.2">
      <c r="A22" s="3"/>
      <c r="B22" s="48"/>
      <c r="C22" s="49"/>
      <c r="D22" s="49"/>
      <c r="E22" s="49"/>
      <c r="F22" s="49"/>
      <c r="G22" s="49"/>
      <c r="H22" s="49"/>
      <c r="I22" s="49"/>
      <c r="J22" s="49"/>
      <c r="K22" s="50"/>
      <c r="L22" s="49"/>
      <c r="M22" s="49"/>
      <c r="N22" s="49"/>
      <c r="O22" s="49"/>
      <c r="P22" s="49"/>
      <c r="Q22" s="49"/>
      <c r="R22" s="49"/>
    </row>
    <row r="23" spans="1:18" x14ac:dyDescent="0.2">
      <c r="A23" t="s">
        <v>1026</v>
      </c>
      <c r="B23" t="s">
        <v>1027</v>
      </c>
      <c r="C23" t="s">
        <v>1028</v>
      </c>
      <c r="D23" t="s">
        <v>163</v>
      </c>
      <c r="E23">
        <f>IF(C23="Up-to-date reputable libraries",0,IF(C23="Some outdated components",10,IF(C23="High-risk/deprecated libraries",20,IF(C23="Unknown",10,""))))</f>
        <v>0</v>
      </c>
      <c r="F23">
        <f>IF(D23="High",0,IF(D23="Medium",0.05,IF(D23="Low",0.1,IF(D23="Unknown",0.15,""))))</f>
        <v>0</v>
      </c>
      <c r="G23">
        <f>E23*(1+F23)</f>
        <v>0</v>
      </c>
      <c r="H23" t="s">
        <v>1029</v>
      </c>
      <c r="I23" t="s">
        <v>1030</v>
      </c>
      <c r="J23" t="s">
        <v>176</v>
      </c>
      <c r="K23" s="24">
        <f>IF(I23="","",MAX(IFERROR(DATEVALUE(TRIM(MID(SUBSTITUTE(I23,";",REPT(" ",50)),1,50))),0),IFERROR(DATEVALUE(TRIM(MID(SUBSTITUTE(I23,";",REPT(" ",50)),51,50))),0),IFERROR(DATEVALUE(TRIM(MID(SUBSTITUTE(I23,";",REPT(" ",50)),101,50))),0),IFERROR(DATEVALUE(TRIM(MID(SUBSTITUTE(I23,";",REPT(" ",50)),151,50))),0),IFERROR(DATEVALUE(TRIM(MID(SUBSTITUTE(I23,";",REPT(" ",50)),201,50))),0),IFERROR(DATEVALUE(TRIM(MID(SUBSTITUTE(I23,";",REPT(" ",50)),251,50))),0),IFERROR(DATEVALUE(TRIM(MID(SUBSTITUTE(I23,";",REPT(" ",50)),301,50))),0),IFERROR(DATEVALUE(TRIM(MID(SUBSTITUTE(I23,";",REPT(" ",50)),351,50))),0),IFERROR(DATEVALUE(TRIM(MID(SUBSTITUTE(I23,";",REPT(" ",50)),401,50))),0),IFERROR(DATEVALUE(TRIM(MID(SUBSTITUTE(I23,";",REPT(" ",50)),451,50))),0)))</f>
        <v>46009</v>
      </c>
      <c r="L23">
        <f ca="1">IF(K23="","",TODAY()-K23)</f>
        <v>3</v>
      </c>
      <c r="M23" t="s">
        <v>167</v>
      </c>
      <c r="N23">
        <f ca="1">IF(M23="","",IF(L23="",INDEX($F$110:$F$113,MATCH(M23,$C$110:$C$113,0)),IF(L23&lt;=INDEX($D$110:$D$113,MATCH(M23,$C$110:$C$113,0)),0,IF(L23&lt;=INDEX($E$110:$E$113,MATCH(M23,$C$110:$C$113,0)),INDEX($F$110:$F$113,MATCH(M23,$C$110:$C$113,0)),INDEX($G$110:$G$113,MATCH(M23,$C$110:$C$113,0))))))</f>
        <v>0</v>
      </c>
      <c r="O23">
        <f ca="1">G23+N23</f>
        <v>0</v>
      </c>
      <c r="P23" t="s">
        <v>168</v>
      </c>
      <c r="R23" t="s">
        <v>1031</v>
      </c>
    </row>
    <row r="24" spans="1:18" x14ac:dyDescent="0.2">
      <c r="A24" t="s">
        <v>1032</v>
      </c>
      <c r="B24" t="s">
        <v>1033</v>
      </c>
      <c r="C24" t="s">
        <v>1034</v>
      </c>
      <c r="D24" t="s">
        <v>163</v>
      </c>
      <c r="E24">
        <f>IF(C24="Robust oracle (e.g., Chainlink)",0,IF(C24="Mixed/custom or multi-oracle",10,IF(C24="High-risk/unclear oracle design",20,IF(C24="Unknown",10,""))))</f>
        <v>0</v>
      </c>
      <c r="F24">
        <f>IF(D24="High",0,IF(D24="Medium",0.05,IF(D24="Low",0.1,IF(D24="Unknown",0.15,""))))</f>
        <v>0</v>
      </c>
      <c r="G24">
        <f>E24*(1+F24)</f>
        <v>0</v>
      </c>
      <c r="H24" t="s">
        <v>1035</v>
      </c>
      <c r="I24" t="s">
        <v>1036</v>
      </c>
      <c r="J24" t="s">
        <v>166</v>
      </c>
      <c r="K24" s="24">
        <f>IF(I24="","",MAX(IFERROR(DATEVALUE(TRIM(MID(SUBSTITUTE(I24,";",REPT(" ",50)),1,50))),0),IFERROR(DATEVALUE(TRIM(MID(SUBSTITUTE(I24,";",REPT(" ",50)),51,50))),0),IFERROR(DATEVALUE(TRIM(MID(SUBSTITUTE(I24,";",REPT(" ",50)),101,50))),0),IFERROR(DATEVALUE(TRIM(MID(SUBSTITUTE(I24,";",REPT(" ",50)),151,50))),0),IFERROR(DATEVALUE(TRIM(MID(SUBSTITUTE(I24,";",REPT(" ",50)),201,50))),0),IFERROR(DATEVALUE(TRIM(MID(SUBSTITUTE(I24,";",REPT(" ",50)),251,50))),0),IFERROR(DATEVALUE(TRIM(MID(SUBSTITUTE(I24,";",REPT(" ",50)),301,50))),0),IFERROR(DATEVALUE(TRIM(MID(SUBSTITUTE(I24,";",REPT(" ",50)),351,50))),0),IFERROR(DATEVALUE(TRIM(MID(SUBSTITUTE(I24,";",REPT(" ",50)),401,50))),0),IFERROR(DATEVALUE(TRIM(MID(SUBSTITUTE(I24,";",REPT(" ",50)),451,50))),0)))</f>
        <v>45793</v>
      </c>
      <c r="L24">
        <f ca="1">IF(K24="","",TODAY()-K24)</f>
        <v>219</v>
      </c>
      <c r="M24" t="s">
        <v>185</v>
      </c>
      <c r="N24">
        <f ca="1">IF(M24="","",IF(L24="",INDEX($F$110:$F$113,MATCH(M24,$C$110:$C$113,0)),IF(L24&lt;=INDEX($D$110:$D$113,MATCH(M24,$C$110:$C$113,0)),0,IF(L24&lt;=INDEX($E$110:$E$113,MATCH(M24,$C$110:$C$113,0)),INDEX($F$110:$F$113,MATCH(M24,$C$110:$C$113,0)),INDEX($G$110:$G$113,MATCH(M24,$C$110:$C$113,0))))))</f>
        <v>3</v>
      </c>
      <c r="O24">
        <f ca="1">G24+N24</f>
        <v>3</v>
      </c>
      <c r="P24" t="str">
        <f>IF(AND(C24="High-risk/unclear oracle design",OR(D24="High",D24="Medium")),"Review Required","No Review")</f>
        <v>No Review</v>
      </c>
      <c r="Q24" t="s">
        <v>1037</v>
      </c>
      <c r="R24" t="s">
        <v>1038</v>
      </c>
    </row>
    <row r="25" spans="1:18" x14ac:dyDescent="0.2">
      <c r="A25" t="s">
        <v>1039</v>
      </c>
      <c r="B25" t="s">
        <v>1040</v>
      </c>
      <c r="C25" t="s">
        <v>1041</v>
      </c>
      <c r="D25" t="s">
        <v>163</v>
      </c>
      <c r="E25">
        <f>IF(C25="No upgradeability (immutable)",0,IF(C25="Limited upgradeability with safeguards",10,IF(C25="Upgradeable with weak controls",20,IF(C25="Unknown",10,""))))</f>
        <v>20</v>
      </c>
      <c r="F25">
        <f>IF(D25="High",0,IF(D25="Medium",0.05,IF(D25="Low",0.1,IF(D25="Unknown",0.15,""))))</f>
        <v>0</v>
      </c>
      <c r="G25">
        <f>E25*(1+F25)</f>
        <v>20</v>
      </c>
      <c r="H25" t="s">
        <v>1042</v>
      </c>
      <c r="I25" t="s">
        <v>1043</v>
      </c>
      <c r="J25" t="s">
        <v>176</v>
      </c>
      <c r="K25" s="24">
        <f>IF(I25="","",MAX(IFERROR(DATEVALUE(TRIM(MID(SUBSTITUTE(I25,";",REPT(" ",50)),1,50))),0),IFERROR(DATEVALUE(TRIM(MID(SUBSTITUTE(I25,";",REPT(" ",50)),51,50))),0),IFERROR(DATEVALUE(TRIM(MID(SUBSTITUTE(I25,";",REPT(" ",50)),101,50))),0),IFERROR(DATEVALUE(TRIM(MID(SUBSTITUTE(I25,";",REPT(" ",50)),151,50))),0),IFERROR(DATEVALUE(TRIM(MID(SUBSTITUTE(I25,";",REPT(" ",50)),201,50))),0),IFERROR(DATEVALUE(TRIM(MID(SUBSTITUTE(I25,";",REPT(" ",50)),251,50))),0),IFERROR(DATEVALUE(TRIM(MID(SUBSTITUTE(I25,";",REPT(" ",50)),301,50))),0),IFERROR(DATEVALUE(TRIM(MID(SUBSTITUTE(I25,";",REPT(" ",50)),351,50))),0),IFERROR(DATEVALUE(TRIM(MID(SUBSTITUTE(I25,";",REPT(" ",50)),401,50))),0),IFERROR(DATEVALUE(TRIM(MID(SUBSTITUTE(I25,";",REPT(" ",50)),451,50))),0)))</f>
        <v>46011</v>
      </c>
      <c r="L25">
        <f ca="1">IF(K25="","",TODAY()-K25)</f>
        <v>1</v>
      </c>
      <c r="M25" t="s">
        <v>167</v>
      </c>
      <c r="N25">
        <f ca="1">IF(M25="","",IF(L25="",INDEX($F$110:$F$113,MATCH(M25,$C$110:$C$113,0)),IF(L25&lt;=INDEX($D$110:$D$113,MATCH(M25,$C$110:$C$113,0)),0,IF(L25&lt;=INDEX($E$110:$E$113,MATCH(M25,$C$110:$C$113,0)),INDEX($F$110:$F$113,MATCH(M25,$C$110:$C$113,0)),INDEX($G$110:$G$113,MATCH(M25,$C$110:$C$113,0))))))</f>
        <v>0</v>
      </c>
      <c r="O25">
        <f ca="1">G25+N25</f>
        <v>20</v>
      </c>
      <c r="P25" t="str">
        <f>IF(AND(C25="Upgradeable with weak controls",OR(D25="High",D25="Medium")),"Review Required","No Review")</f>
        <v>Review Required</v>
      </c>
      <c r="Q25" t="s">
        <v>1044</v>
      </c>
      <c r="R25" t="s">
        <v>1045</v>
      </c>
    </row>
    <row r="26" spans="1:18" x14ac:dyDescent="0.2">
      <c r="A26" t="s">
        <v>1046</v>
      </c>
      <c r="B26" t="s">
        <v>1047</v>
      </c>
      <c r="C26" t="s">
        <v>1048</v>
      </c>
      <c r="D26" t="s">
        <v>163</v>
      </c>
      <c r="E26">
        <v>0</v>
      </c>
      <c r="F26">
        <f>IF(D26="High",0,IF(D26="Medium",0.05,IF(D26="Low",0.1,IF(D26="Unknown",0.15,""))))</f>
        <v>0</v>
      </c>
      <c r="G26">
        <f>E26*(1+F26)</f>
        <v>0</v>
      </c>
      <c r="H26" t="s">
        <v>1049</v>
      </c>
      <c r="I26" t="s">
        <v>1050</v>
      </c>
      <c r="J26" t="s">
        <v>176</v>
      </c>
      <c r="K26">
        <f>IF(I26="","",MAX(IFERROR(DATEVALUE(TRIM(MID(SUBSTITUTE(I26,";",REPT(" ",50)),1,50))),0),IFERROR(DATEVALUE(TRIM(MID(SUBSTITUTE(I26,";",REPT(" ",50)),51,50))),0),IFERROR(DATEVALUE(TRIM(MID(SUBSTITUTE(I26,";",REPT(" ",50)),101,50))),0),IFERROR(DATEVALUE(TRIM(MID(SUBSTITUTE(I26,";",REPT(" ",50)),151,50))),0),IFERROR(DATEVALUE(TRIM(MID(SUBSTITUTE(I26,";",REPT(" ",50)),201,50))),0),IFERROR(DATEVALUE(TRIM(MID(SUBSTITUTE(I26,";",REPT(" ",50)),251,50))),0),IFERROR(DATEVALUE(TRIM(MID(SUBSTITUTE(I26,";",REPT(" ",50)),301,50))),0),IFERROR(DATEVALUE(TRIM(MID(SUBSTITUTE(I26,";",REPT(" ",50)),351,50))),0),IFERROR(DATEVALUE(TRIM(MID(SUBSTITUTE(I26,";",REPT(" ",50)),401,50))),0),IFERROR(DATEVALUE(TRIM(MID(SUBSTITUTE(I26,";",REPT(" ",50)),451,50))),0)))</f>
        <v>46008</v>
      </c>
      <c r="M26" t="s">
        <v>167</v>
      </c>
      <c r="N26">
        <f>IF(M26="","",IF(L26="",INDEX($F$110:$F$113,MATCH(M26,$C$110:$C$113,0)),IF(L26&lt;=INDEX($D$110:$D$113,MATCH(M26,$C$110:$C$113,0)),0,IF(L26&lt;=INDEX($E$110:$E$113,MATCH(M26,$C$110:$C$113,0)),INDEX($F$110:$F$113,MATCH(M26,$C$110:$C$113,0)),INDEX($G$110:$G$113,MATCH(M26,$C$110:$C$113,0))))))</f>
        <v>0</v>
      </c>
      <c r="O26">
        <f>G26+N26</f>
        <v>0</v>
      </c>
      <c r="P26" t="s">
        <v>168</v>
      </c>
      <c r="Q26" t="s">
        <v>823</v>
      </c>
      <c r="R26" t="s">
        <v>1051</v>
      </c>
    </row>
    <row r="27" spans="1:18" x14ac:dyDescent="0.2">
      <c r="A27" s="4"/>
      <c r="B27" s="5" t="s">
        <v>1052</v>
      </c>
      <c r="C27" s="4"/>
      <c r="D27" s="4"/>
      <c r="E27" s="4"/>
      <c r="F27" s="4"/>
      <c r="G27" s="4"/>
      <c r="H27" s="4"/>
      <c r="I27" s="4"/>
      <c r="J27" s="4"/>
      <c r="K27" s="23" t="str">
        <f>IF(I27="","",MAX(IFERROR(DATEVALUE(TRIM(MID(SUBSTITUTE(I27,";",REPT(" ",50)),1,50))),0),IFERROR(DATEVALUE(TRIM(MID(SUBSTITUTE(I27,";",REPT(" ",50)),51,50))),0),IFERROR(DATEVALUE(TRIM(MID(SUBSTITUTE(I27,";",REPT(" ",50)),101,50))),0),IFERROR(DATEVALUE(TRIM(MID(SUBSTITUTE(I27,";",REPT(" ",50)),151,50))),0),IFERROR(DATEVALUE(TRIM(MID(SUBSTITUTE(I27,";",REPT(" ",50)),201,50))),0),IFERROR(DATEVALUE(TRIM(MID(SUBSTITUTE(I27,";",REPT(" ",50)),251,50))),0),IFERROR(DATEVALUE(TRIM(MID(SUBSTITUTE(I27,";",REPT(" ",50)),301,50))),0),IFERROR(DATEVALUE(TRIM(MID(SUBSTITUTE(I27,";",REPT(" ",50)),351,50))),0),IFERROR(DATEVALUE(TRIM(MID(SUBSTITUTE(I27,";",REPT(" ",50)),401,50))),0),IFERROR(DATEVALUE(TRIM(MID(SUBSTITUTE(I27,";",REPT(" ",50)),451,50))),0)))</f>
        <v/>
      </c>
      <c r="L27" s="4"/>
      <c r="M27" s="4"/>
      <c r="N27" s="4" t="str">
        <f>IF(M27="","",IF(L27="",INDEX($F$110:$F$113,MATCH(M27,$C$110:$C$113,0)),IF(L27&lt;=INDEX($D$110:$D$113,MATCH(M27,$C$110:$C$113,0)),0,IF(L27&lt;=INDEX($E$110:$E$113,MATCH(M27,$C$110:$C$113,0)),INDEX($F$110:$F$113,MATCH(M27,$C$110:$C$113,0)),INDEX($G$110:$G$113,MATCH(M27,$C$110:$C$113,0))))))</f>
        <v/>
      </c>
      <c r="O27" s="4"/>
      <c r="P27" s="4"/>
      <c r="Q27" s="4"/>
      <c r="R27" s="4"/>
    </row>
    <row r="28" spans="1:18" x14ac:dyDescent="0.2">
      <c r="A28" s="3"/>
      <c r="B28" s="48"/>
      <c r="C28" s="49"/>
      <c r="D28" s="49"/>
      <c r="E28" s="49"/>
      <c r="F28" s="49"/>
      <c r="G28" s="49"/>
      <c r="H28" s="49"/>
      <c r="I28" s="49"/>
      <c r="J28" s="49"/>
      <c r="K28" s="50"/>
      <c r="L28" s="49"/>
      <c r="M28" s="49"/>
      <c r="N28" s="49"/>
      <c r="O28" s="49"/>
      <c r="P28" s="49"/>
      <c r="Q28" s="49"/>
      <c r="R28" s="49"/>
    </row>
    <row r="29" spans="1:18" x14ac:dyDescent="0.2">
      <c r="A29" t="s">
        <v>244</v>
      </c>
      <c r="B29" t="s">
        <v>1053</v>
      </c>
      <c r="C29" t="s">
        <v>1054</v>
      </c>
      <c r="D29" t="s">
        <v>182</v>
      </c>
      <c r="E29">
        <f>IF(C29="Simple/minimal",0,IF(C29="Moderately complex",10,IF(C29="Highly complex/multi-module",20,IF(C29="Unknown",10,""))))</f>
        <v>10</v>
      </c>
      <c r="F29">
        <f>IF(D29="High",0,IF(D29="Medium",0.05,IF(D29="Low",0.1,IF(D29="Unknown",0.15,""))))</f>
        <v>0.05</v>
      </c>
      <c r="G29">
        <f>E29*(1+F29)</f>
        <v>10.5</v>
      </c>
      <c r="H29" t="s">
        <v>1055</v>
      </c>
      <c r="I29" t="s">
        <v>1056</v>
      </c>
      <c r="J29" t="s">
        <v>166</v>
      </c>
      <c r="K29" s="24">
        <f>IF(I29="","",MAX(IFERROR(DATEVALUE(TRIM(MID(SUBSTITUTE(I29,";",REPT(" ",50)),1,50))),0),IFERROR(DATEVALUE(TRIM(MID(SUBSTITUTE(I29,";",REPT(" ",50)),51,50))),0),IFERROR(DATEVALUE(TRIM(MID(SUBSTITUTE(I29,";",REPT(" ",50)),101,50))),0),IFERROR(DATEVALUE(TRIM(MID(SUBSTITUTE(I29,";",REPT(" ",50)),151,50))),0),IFERROR(DATEVALUE(TRIM(MID(SUBSTITUTE(I29,";",REPT(" ",50)),201,50))),0),IFERROR(DATEVALUE(TRIM(MID(SUBSTITUTE(I29,";",REPT(" ",50)),251,50))),0),IFERROR(DATEVALUE(TRIM(MID(SUBSTITUTE(I29,";",REPT(" ",50)),301,50))),0),IFERROR(DATEVALUE(TRIM(MID(SUBSTITUTE(I29,";",REPT(" ",50)),351,50))),0),IFERROR(DATEVALUE(TRIM(MID(SUBSTITUTE(I29,";",REPT(" ",50)),401,50))),0),IFERROR(DATEVALUE(TRIM(MID(SUBSTITUTE(I29,";",REPT(" ",50)),451,50))),0)))</f>
        <v>46007</v>
      </c>
      <c r="L29">
        <f ca="1">IF(K29="","",TODAY()-K29)</f>
        <v>5</v>
      </c>
      <c r="M29" t="s">
        <v>167</v>
      </c>
      <c r="N29">
        <f ca="1">IF(M29="","",IF(L29="",INDEX($F$110:$F$113,MATCH(M29,$C$110:$C$113,0)),IF(L29&lt;=INDEX($D$110:$D$113,MATCH(M29,$C$110:$C$113,0)),0,IF(L29&lt;=INDEX($E$110:$E$113,MATCH(M29,$C$110:$C$113,0)),INDEX($F$110:$F$113,MATCH(M29,$C$110:$C$113,0)),INDEX($G$110:$G$113,MATCH(M29,$C$110:$C$113,0))))))</f>
        <v>0</v>
      </c>
      <c r="O29">
        <f ca="1">G29+N29</f>
        <v>10.5</v>
      </c>
      <c r="P29" t="s">
        <v>168</v>
      </c>
      <c r="R29" t="s">
        <v>1057</v>
      </c>
    </row>
    <row r="30" spans="1:18" x14ac:dyDescent="0.2">
      <c r="A30" t="s">
        <v>250</v>
      </c>
      <c r="B30" t="s">
        <v>1058</v>
      </c>
      <c r="C30" t="s">
        <v>1059</v>
      </c>
      <c r="D30" t="s">
        <v>163</v>
      </c>
      <c r="E30">
        <f>IF(C30="Limited composability",0,IF(C30="Moderate composability",10,IF(C30="Highly composable/widely integrated",20,IF(C30="Unknown",10,""))))</f>
        <v>20</v>
      </c>
      <c r="F30">
        <f>IF(D30="High",0,IF(D30="Medium",0.05,IF(D30="Low",0.1,IF(D30="Unknown",0.15,""))))</f>
        <v>0</v>
      </c>
      <c r="G30">
        <f>E30*(1+F30)</f>
        <v>20</v>
      </c>
      <c r="H30" t="s">
        <v>1060</v>
      </c>
      <c r="I30" t="s">
        <v>1061</v>
      </c>
      <c r="J30" t="s">
        <v>166</v>
      </c>
      <c r="K30" s="24">
        <f>IF(I30="","",MAX(IFERROR(DATEVALUE(TRIM(MID(SUBSTITUTE(I30,";",REPT(" ",50)),1,50))),0),IFERROR(DATEVALUE(TRIM(MID(SUBSTITUTE(I30,";",REPT(" ",50)),51,50))),0),IFERROR(DATEVALUE(TRIM(MID(SUBSTITUTE(I30,";",REPT(" ",50)),101,50))),0),IFERROR(DATEVALUE(TRIM(MID(SUBSTITUTE(I30,";",REPT(" ",50)),151,50))),0),IFERROR(DATEVALUE(TRIM(MID(SUBSTITUTE(I30,";",REPT(" ",50)),201,50))),0),IFERROR(DATEVALUE(TRIM(MID(SUBSTITUTE(I30,";",REPT(" ",50)),251,50))),0),IFERROR(DATEVALUE(TRIM(MID(SUBSTITUTE(I30,";",REPT(" ",50)),301,50))),0),IFERROR(DATEVALUE(TRIM(MID(SUBSTITUTE(I30,";",REPT(" ",50)),351,50))),0),IFERROR(DATEVALUE(TRIM(MID(SUBSTITUTE(I30,";",REPT(" ",50)),401,50))),0),IFERROR(DATEVALUE(TRIM(MID(SUBSTITUTE(I30,";",REPT(" ",50)),451,50))),0)))</f>
        <v>46011</v>
      </c>
      <c r="L30">
        <f ca="1">IF(K30="","",TODAY()-K30)</f>
        <v>1</v>
      </c>
      <c r="M30" t="s">
        <v>167</v>
      </c>
      <c r="N30">
        <f ca="1">IF(M30="","",IF(L30="",INDEX($F$110:$F$113,MATCH(M30,$C$110:$C$113,0)),IF(L30&lt;=INDEX($D$110:$D$113,MATCH(M30,$C$110:$C$113,0)),0,IF(L30&lt;=INDEX($E$110:$E$113,MATCH(M30,$C$110:$C$113,0)),INDEX($F$110:$F$113,MATCH(M30,$C$110:$C$113,0)),INDEX($G$110:$G$113,MATCH(M30,$C$110:$C$113,0))))))</f>
        <v>0</v>
      </c>
      <c r="O30">
        <f ca="1">G30+N30</f>
        <v>20</v>
      </c>
      <c r="P30" t="s">
        <v>168</v>
      </c>
      <c r="R30" t="s">
        <v>1062</v>
      </c>
    </row>
    <row r="31" spans="1:18" x14ac:dyDescent="0.2">
      <c r="A31" t="s">
        <v>256</v>
      </c>
      <c r="B31" t="s">
        <v>1063</v>
      </c>
      <c r="C31" t="s">
        <v>263</v>
      </c>
      <c r="D31" t="s">
        <v>182</v>
      </c>
      <c r="E31">
        <f>IF(C31="No notable patterns",0,IF(C31="Some higher-risk patterns",10,IF(C31="Multiple/structural higher-risk patterns",20,IF(C31="Unknown",10,""))))</f>
        <v>10</v>
      </c>
      <c r="F31">
        <f>IF(D31="High",0,IF(D31="Medium",0.05,IF(D31="Low",0.1,IF(D31="Unknown",0.15,""))))</f>
        <v>0.05</v>
      </c>
      <c r="G31">
        <f>E31*(1+F31)</f>
        <v>10.5</v>
      </c>
      <c r="H31" t="s">
        <v>1064</v>
      </c>
      <c r="I31" t="s">
        <v>1065</v>
      </c>
      <c r="J31" t="s">
        <v>176</v>
      </c>
      <c r="K31" s="24">
        <f>IF(I31="","",MAX(IFERROR(DATEVALUE(TRIM(MID(SUBSTITUTE(I31,";",REPT(" ",50)),1,50))),0),IFERROR(DATEVALUE(TRIM(MID(SUBSTITUTE(I31,";",REPT(" ",50)),51,50))),0),IFERROR(DATEVALUE(TRIM(MID(SUBSTITUTE(I31,";",REPT(" ",50)),101,50))),0),IFERROR(DATEVALUE(TRIM(MID(SUBSTITUTE(I31,";",REPT(" ",50)),151,50))),0),IFERROR(DATEVALUE(TRIM(MID(SUBSTITUTE(I31,";",REPT(" ",50)),201,50))),0),IFERROR(DATEVALUE(TRIM(MID(SUBSTITUTE(I31,";",REPT(" ",50)),251,50))),0),IFERROR(DATEVALUE(TRIM(MID(SUBSTITUTE(I31,";",REPT(" ",50)),301,50))),0),IFERROR(DATEVALUE(TRIM(MID(SUBSTITUTE(I31,";",REPT(" ",50)),351,50))),0),IFERROR(DATEVALUE(TRIM(MID(SUBSTITUTE(I31,";",REPT(" ",50)),401,50))),0),IFERROR(DATEVALUE(TRIM(MID(SUBSTITUTE(I31,";",REPT(" ",50)),451,50))),0)))</f>
        <v>46009</v>
      </c>
      <c r="L31">
        <f ca="1">IF(K31="","",TODAY()-K31)</f>
        <v>3</v>
      </c>
      <c r="M31" t="s">
        <v>300</v>
      </c>
      <c r="N31">
        <f ca="1">IF(M31="","",IF(L31="",INDEX($F$110:$F$113,MATCH(M31,$C$110:$C$113,0)),IF(L31&lt;=INDEX($D$110:$D$113,MATCH(M31,$C$110:$C$113,0)),0,IF(L31&lt;=INDEX($E$110:$E$113,MATCH(M31,$C$110:$C$113,0)),INDEX($F$110:$F$113,MATCH(M31,$C$110:$C$113,0)),INDEX($G$110:$G$113,MATCH(M31,$C$110:$C$113,0))))))</f>
        <v>0</v>
      </c>
      <c r="O31">
        <f ca="1">G31+N31</f>
        <v>10.5</v>
      </c>
      <c r="P31" t="str">
        <f>IF(AND(C31="Multiple/structural higher-risk patterns",OR(D31="High",D31="Medium")),"Review Required","No Review")</f>
        <v>No Review</v>
      </c>
      <c r="Q31" t="s">
        <v>1066</v>
      </c>
      <c r="R31" t="s">
        <v>1067</v>
      </c>
    </row>
    <row r="32" spans="1:18" x14ac:dyDescent="0.2">
      <c r="A32" t="s">
        <v>600</v>
      </c>
      <c r="B32" t="s">
        <v>1068</v>
      </c>
      <c r="C32" t="s">
        <v>1069</v>
      </c>
      <c r="D32" t="s">
        <v>182</v>
      </c>
      <c r="E32">
        <v>0</v>
      </c>
      <c r="F32">
        <f>IF(D32="High",0,IF(D32="Medium",0.05,IF(D32="Low",0.1,IF(D32="Unknown",0.15,""))))</f>
        <v>0.05</v>
      </c>
      <c r="G32">
        <f>E32*(1+F32)</f>
        <v>0</v>
      </c>
      <c r="H32" t="s">
        <v>1070</v>
      </c>
      <c r="I32" t="s">
        <v>1071</v>
      </c>
      <c r="J32" t="s">
        <v>166</v>
      </c>
      <c r="K32">
        <f>IF(I32="","",MAX(IFERROR(DATEVALUE(TRIM(MID(SUBSTITUTE(I32,";",REPT(" ",50)),1,50))),0),IFERROR(DATEVALUE(TRIM(MID(SUBSTITUTE(I32,";",REPT(" ",50)),51,50))),0),IFERROR(DATEVALUE(TRIM(MID(SUBSTITUTE(I32,";",REPT(" ",50)),101,50))),0),IFERROR(DATEVALUE(TRIM(MID(SUBSTITUTE(I32,";",REPT(" ",50)),151,50))),0),IFERROR(DATEVALUE(TRIM(MID(SUBSTITUTE(I32,";",REPT(" ",50)),201,50))),0),IFERROR(DATEVALUE(TRIM(MID(SUBSTITUTE(I32,";",REPT(" ",50)),251,50))),0),IFERROR(DATEVALUE(TRIM(MID(SUBSTITUTE(I32,";",REPT(" ",50)),301,50))),0),IFERROR(DATEVALUE(TRIM(MID(SUBSTITUTE(I32,";",REPT(" ",50)),351,50))),0),IFERROR(DATEVALUE(TRIM(MID(SUBSTITUTE(I32,";",REPT(" ",50)),401,50))),0),IFERROR(DATEVALUE(TRIM(MID(SUBSTITUTE(I32,";",REPT(" ",50)),451,50))),0)))</f>
        <v>45900</v>
      </c>
      <c r="M32" t="s">
        <v>300</v>
      </c>
      <c r="N32">
        <f>IF(M32="","",IF(L32="",INDEX($F$110:$F$113,MATCH(M32,$C$110:$C$113,0)),IF(L32&lt;=INDEX($D$110:$D$113,MATCH(M32,$C$110:$C$113,0)),0,IF(L32&lt;=INDEX($E$110:$E$113,MATCH(M32,$C$110:$C$113,0)),INDEX($F$110:$F$113,MATCH(M32,$C$110:$C$113,0)),INDEX($G$110:$G$113,MATCH(M32,$C$110:$C$113,0))))))</f>
        <v>2</v>
      </c>
      <c r="O32">
        <f>G32+N32</f>
        <v>2</v>
      </c>
      <c r="P32" t="s">
        <v>168</v>
      </c>
      <c r="Q32" t="s">
        <v>823</v>
      </c>
      <c r="R32" t="s">
        <v>1072</v>
      </c>
    </row>
    <row r="33" spans="1:18" x14ac:dyDescent="0.2">
      <c r="A33" s="3"/>
      <c r="B33" s="48"/>
      <c r="C33" s="49"/>
      <c r="D33" s="49"/>
      <c r="E33" s="49"/>
      <c r="F33" s="49"/>
      <c r="G33" s="49"/>
      <c r="H33" s="49"/>
      <c r="I33" s="49"/>
      <c r="J33" s="49"/>
      <c r="K33" s="50"/>
      <c r="L33" s="49"/>
      <c r="M33" s="49"/>
      <c r="N33" s="49"/>
      <c r="O33" s="49"/>
      <c r="P33" s="49"/>
      <c r="Q33" s="49"/>
      <c r="R33" s="49"/>
    </row>
    <row r="34" spans="1:18" x14ac:dyDescent="0.2">
      <c r="A34" t="s">
        <v>272</v>
      </c>
      <c r="B34" t="s">
        <v>1073</v>
      </c>
      <c r="C34" t="s">
        <v>1074</v>
      </c>
      <c r="D34" t="s">
        <v>163</v>
      </c>
      <c r="E34">
        <f>IF(C34="No bridge dependency",0,IF(C34="Peripheral bridge usage only",10,IF(C34="Core functionality depends on bridges",20,IF(C34="Unknown",10,""))))</f>
        <v>10</v>
      </c>
      <c r="F34">
        <f>IF(D34="High",0,IF(D34="Medium",0.05,IF(D34="Low",0.1,IF(D34="Unknown",0.15,""))))</f>
        <v>0</v>
      </c>
      <c r="G34">
        <f>E34*(1+F34)</f>
        <v>10</v>
      </c>
      <c r="H34" t="s">
        <v>1075</v>
      </c>
      <c r="I34" t="s">
        <v>1076</v>
      </c>
      <c r="J34" t="s">
        <v>176</v>
      </c>
      <c r="K34" s="24">
        <f>IF(I34="","",MAX(IFERROR(DATEVALUE(TRIM(MID(SUBSTITUTE(I34,";",REPT(" ",50)),1,50))),0),IFERROR(DATEVALUE(TRIM(MID(SUBSTITUTE(I34,";",REPT(" ",50)),51,50))),0),IFERROR(DATEVALUE(TRIM(MID(SUBSTITUTE(I34,";",REPT(" ",50)),101,50))),0),IFERROR(DATEVALUE(TRIM(MID(SUBSTITUTE(I34,";",REPT(" ",50)),151,50))),0),IFERROR(DATEVALUE(TRIM(MID(SUBSTITUTE(I34,";",REPT(" ",50)),201,50))),0),IFERROR(DATEVALUE(TRIM(MID(SUBSTITUTE(I34,";",REPT(" ",50)),251,50))),0),IFERROR(DATEVALUE(TRIM(MID(SUBSTITUTE(I34,";",REPT(" ",50)),301,50))),0),IFERROR(DATEVALUE(TRIM(MID(SUBSTITUTE(I34,";",REPT(" ",50)),351,50))),0),IFERROR(DATEVALUE(TRIM(MID(SUBSTITUTE(I34,";",REPT(" ",50)),401,50))),0),IFERROR(DATEVALUE(TRIM(MID(SUBSTITUTE(I34,";",REPT(" ",50)),451,50))),0)))</f>
        <v>46008</v>
      </c>
      <c r="L34">
        <f ca="1">IF(K34="","",TODAY()-K34)</f>
        <v>4</v>
      </c>
      <c r="M34" t="s">
        <v>167</v>
      </c>
      <c r="N34">
        <f ca="1">IF(M34="","",IF(L34="",INDEX($F$110:$F$113,MATCH(M34,$C$110:$C$113,0)),IF(L34&lt;=INDEX($D$110:$D$113,MATCH(M34,$C$110:$C$113,0)),0,IF(L34&lt;=INDEX($E$110:$E$113,MATCH(M34,$C$110:$C$113,0)),INDEX($F$110:$F$113,MATCH(M34,$C$110:$C$113,0)),INDEX($G$110:$G$113,MATCH(M34,$C$110:$C$113,0))))))</f>
        <v>0</v>
      </c>
      <c r="O34">
        <f ca="1">G34+N34</f>
        <v>10</v>
      </c>
      <c r="P34" t="str">
        <f>IF(AND(C34="Core functionality depends on bridges",OR(D34="High",D34="Medium")),"Review Required","No Review")</f>
        <v>No Review</v>
      </c>
      <c r="Q34" t="s">
        <v>1077</v>
      </c>
      <c r="R34" t="s">
        <v>1078</v>
      </c>
    </row>
    <row r="35" spans="1:18" x14ac:dyDescent="0.2">
      <c r="A35" t="s">
        <v>278</v>
      </c>
      <c r="B35" t="s">
        <v>1079</v>
      </c>
      <c r="C35" t="s">
        <v>1080</v>
      </c>
      <c r="D35" t="s">
        <v>163</v>
      </c>
      <c r="E35">
        <f>IF(C35="Well-established/audited bridge",0,IF(C35="Custom or mixed-quality bridges",10,IF(C35="High-risk/unaudited bridge design",20,IF(C35="Unknown",10,""))))</f>
        <v>0</v>
      </c>
      <c r="F35">
        <f>IF(D35="High",0,IF(D35="Medium",0.05,IF(D35="Low",0.1,IF(D35="Unknown",0.15,""))))</f>
        <v>0</v>
      </c>
      <c r="G35">
        <f>E35*(1+F35)</f>
        <v>0</v>
      </c>
      <c r="H35" t="s">
        <v>1081</v>
      </c>
      <c r="I35" t="s">
        <v>1082</v>
      </c>
      <c r="J35" t="s">
        <v>166</v>
      </c>
      <c r="K35" s="24">
        <f>IF(I35="","",MAX(IFERROR(DATEVALUE(TRIM(MID(SUBSTITUTE(I35,";",REPT(" ",50)),1,50))),0),IFERROR(DATEVALUE(TRIM(MID(SUBSTITUTE(I35,";",REPT(" ",50)),51,50))),0),IFERROR(DATEVALUE(TRIM(MID(SUBSTITUTE(I35,";",REPT(" ",50)),101,50))),0),IFERROR(DATEVALUE(TRIM(MID(SUBSTITUTE(I35,";",REPT(" ",50)),151,50))),0),IFERROR(DATEVALUE(TRIM(MID(SUBSTITUTE(I35,";",REPT(" ",50)),201,50))),0),IFERROR(DATEVALUE(TRIM(MID(SUBSTITUTE(I35,";",REPT(" ",50)),251,50))),0),IFERROR(DATEVALUE(TRIM(MID(SUBSTITUTE(I35,";",REPT(" ",50)),301,50))),0),IFERROR(DATEVALUE(TRIM(MID(SUBSTITUTE(I35,";",REPT(" ",50)),351,50))),0),IFERROR(DATEVALUE(TRIM(MID(SUBSTITUTE(I35,";",REPT(" ",50)),401,50))),0),IFERROR(DATEVALUE(TRIM(MID(SUBSTITUTE(I35,";",REPT(" ",50)),451,50))),0)))</f>
        <v>45793</v>
      </c>
      <c r="L35">
        <f ca="1">IF(K35="","",TODAY()-K35)</f>
        <v>219</v>
      </c>
      <c r="M35" t="s">
        <v>185</v>
      </c>
      <c r="N35">
        <f ca="1">IF(M35="","",IF(L35="",INDEX($F$110:$F$113,MATCH(M35,$C$110:$C$113,0)),IF(L35&lt;=INDEX($D$110:$D$113,MATCH(M35,$C$110:$C$113,0)),0,IF(L35&lt;=INDEX($E$110:$E$113,MATCH(M35,$C$110:$C$113,0)),INDEX($F$110:$F$113,MATCH(M35,$C$110:$C$113,0)),INDEX($G$110:$G$113,MATCH(M35,$C$110:$C$113,0))))))</f>
        <v>3</v>
      </c>
      <c r="O35">
        <f ca="1">G35+N35</f>
        <v>3</v>
      </c>
      <c r="P35" t="str">
        <f>IF(AND(C35="High-risk/unaudited bridge design",OR(D35="High",D35="Medium")),"Review Required","No Review")</f>
        <v>No Review</v>
      </c>
      <c r="Q35" t="s">
        <v>1083</v>
      </c>
      <c r="R35" t="s">
        <v>1084</v>
      </c>
    </row>
    <row r="36" spans="1:18" x14ac:dyDescent="0.2">
      <c r="A36" t="s">
        <v>284</v>
      </c>
      <c r="B36" t="s">
        <v>1085</v>
      </c>
      <c r="C36" t="s">
        <v>1086</v>
      </c>
      <c r="D36" t="s">
        <v>182</v>
      </c>
      <c r="E36">
        <f>IF(C36="Minimal reliance",0,IF(C36="Moderate reliance",10,IF(C36="Heavy/structural reliance",20,IF(C36="Unknown",10,""))))</f>
        <v>10</v>
      </c>
      <c r="F36">
        <f>IF(D36="High",0,IF(D36="Medium",0.05,IF(D36="Low",0.1,IF(D36="Unknown",0.15,""))))</f>
        <v>0.05</v>
      </c>
      <c r="G36">
        <f>E36*(1+F36)</f>
        <v>10.5</v>
      </c>
      <c r="H36" t="s">
        <v>1087</v>
      </c>
      <c r="I36" t="s">
        <v>1088</v>
      </c>
      <c r="J36" t="s">
        <v>166</v>
      </c>
      <c r="K36" s="24">
        <f>IF(I36="","",MAX(IFERROR(DATEVALUE(TRIM(MID(SUBSTITUTE(I36,";",REPT(" ",50)),1,50))),0),IFERROR(DATEVALUE(TRIM(MID(SUBSTITUTE(I36,";",REPT(" ",50)),51,50))),0),IFERROR(DATEVALUE(TRIM(MID(SUBSTITUTE(I36,";",REPT(" ",50)),101,50))),0),IFERROR(DATEVALUE(TRIM(MID(SUBSTITUTE(I36,";",REPT(" ",50)),151,50))),0),IFERROR(DATEVALUE(TRIM(MID(SUBSTITUTE(I36,";",REPT(" ",50)),201,50))),0),IFERROR(DATEVALUE(TRIM(MID(SUBSTITUTE(I36,";",REPT(" ",50)),251,50))),0),IFERROR(DATEVALUE(TRIM(MID(SUBSTITUTE(I36,";",REPT(" ",50)),301,50))),0),IFERROR(DATEVALUE(TRIM(MID(SUBSTITUTE(I36,";",REPT(" ",50)),351,50))),0),IFERROR(DATEVALUE(TRIM(MID(SUBSTITUTE(I36,";",REPT(" ",50)),401,50))),0),IFERROR(DATEVALUE(TRIM(MID(SUBSTITUTE(I36,";",REPT(" ",50)),451,50))),0)))</f>
        <v>46011</v>
      </c>
      <c r="L36">
        <f ca="1">IF(K36="","",TODAY()-K36)</f>
        <v>1</v>
      </c>
      <c r="M36" t="s">
        <v>167</v>
      </c>
      <c r="N36">
        <f ca="1">IF(M36="","",IF(L36="",INDEX($F$110:$F$113,MATCH(M36,$C$110:$C$113,0)),IF(L36&lt;=INDEX($D$110:$D$113,MATCH(M36,$C$110:$C$113,0)),0,IF(L36&lt;=INDEX($E$110:$E$113,MATCH(M36,$C$110:$C$113,0)),INDEX($F$110:$F$113,MATCH(M36,$C$110:$C$113,0)),INDEX($G$110:$G$113,MATCH(M36,$C$110:$C$113,0))))))</f>
        <v>0</v>
      </c>
      <c r="O36">
        <f ca="1">G36+N36</f>
        <v>10.5</v>
      </c>
      <c r="P36" t="s">
        <v>168</v>
      </c>
      <c r="R36" t="s">
        <v>1089</v>
      </c>
    </row>
    <row r="37" spans="1:18" x14ac:dyDescent="0.2">
      <c r="A37" t="s">
        <v>794</v>
      </c>
      <c r="B37" t="s">
        <v>1090</v>
      </c>
      <c r="C37" t="s">
        <v>1091</v>
      </c>
      <c r="D37" t="s">
        <v>182</v>
      </c>
      <c r="E37">
        <v>0</v>
      </c>
      <c r="F37">
        <f>IF(D37="High",0,IF(D37="Medium",0.05,IF(D37="Low",0.1,IF(D37="Unknown",0.15,""))))</f>
        <v>0.05</v>
      </c>
      <c r="G37">
        <f>E37*(1+F37)</f>
        <v>0</v>
      </c>
      <c r="H37" t="s">
        <v>1092</v>
      </c>
      <c r="I37" t="s">
        <v>1043</v>
      </c>
      <c r="J37" t="s">
        <v>166</v>
      </c>
      <c r="K37">
        <f>IF(I37="","",MAX(IFERROR(DATEVALUE(TRIM(MID(SUBSTITUTE(I37,";",REPT(" ",50)),1,50))),0),IFERROR(DATEVALUE(TRIM(MID(SUBSTITUTE(I37,";",REPT(" ",50)),51,50))),0),IFERROR(DATEVALUE(TRIM(MID(SUBSTITUTE(I37,";",REPT(" ",50)),101,50))),0),IFERROR(DATEVALUE(TRIM(MID(SUBSTITUTE(I37,";",REPT(" ",50)),151,50))),0),IFERROR(DATEVALUE(TRIM(MID(SUBSTITUTE(I37,";",REPT(" ",50)),201,50))),0),IFERROR(DATEVALUE(TRIM(MID(SUBSTITUTE(I37,";",REPT(" ",50)),251,50))),0),IFERROR(DATEVALUE(TRIM(MID(SUBSTITUTE(I37,";",REPT(" ",50)),301,50))),0),IFERROR(DATEVALUE(TRIM(MID(SUBSTITUTE(I37,";",REPT(" ",50)),351,50))),0),IFERROR(DATEVALUE(TRIM(MID(SUBSTITUTE(I37,";",REPT(" ",50)),401,50))),0),IFERROR(DATEVALUE(TRIM(MID(SUBSTITUTE(I37,";",REPT(" ",50)),451,50))),0)))</f>
        <v>46011</v>
      </c>
      <c r="M37" t="s">
        <v>300</v>
      </c>
      <c r="N37">
        <f>IF(M37="","",IF(L37="",INDEX($F$110:$F$113,MATCH(M37,$C$110:$C$113,0)),IF(L37&lt;=INDEX($D$110:$D$113,MATCH(M37,$C$110:$C$113,0)),0,IF(L37&lt;=INDEX($E$110:$E$113,MATCH(M37,$C$110:$C$113,0)),INDEX($F$110:$F$113,MATCH(M37,$C$110:$C$113,0)),INDEX($G$110:$G$113,MATCH(M37,$C$110:$C$113,0))))))</f>
        <v>2</v>
      </c>
      <c r="O37">
        <f>G37+N37</f>
        <v>2</v>
      </c>
      <c r="P37" t="s">
        <v>168</v>
      </c>
      <c r="Q37" t="s">
        <v>823</v>
      </c>
      <c r="R37" t="s">
        <v>1093</v>
      </c>
    </row>
    <row r="38" spans="1:18" x14ac:dyDescent="0.2">
      <c r="A38" s="3"/>
      <c r="B38" s="48"/>
      <c r="C38" s="49"/>
      <c r="D38" s="49"/>
      <c r="E38" s="49"/>
      <c r="F38" s="49"/>
      <c r="G38" s="49"/>
      <c r="H38" s="49"/>
      <c r="I38" s="49"/>
      <c r="J38" s="49"/>
      <c r="K38" s="50"/>
      <c r="L38" s="49"/>
      <c r="M38" s="49"/>
      <c r="N38" s="49"/>
      <c r="O38" s="49"/>
      <c r="P38" s="49"/>
      <c r="Q38" s="49"/>
      <c r="R38" s="49"/>
    </row>
    <row r="39" spans="1:18" x14ac:dyDescent="0.2">
      <c r="A39" t="s">
        <v>307</v>
      </c>
      <c r="B39" t="s">
        <v>1094</v>
      </c>
      <c r="C39" t="s">
        <v>1095</v>
      </c>
      <c r="D39" t="s">
        <v>163</v>
      </c>
      <c r="E39">
        <f>IF(C39="Narrow/well-scoped",0,IF(C39="Moderate",10,IF(C39="Broad/high-impact privileged controls",20,IF(C39="Unknown",10,""))))</f>
        <v>20</v>
      </c>
      <c r="F39">
        <f>IF(D39="High",0,IF(D39="Medium",0.05,IF(D39="Low",0.1,IF(D39="Unknown",0.15,""))))</f>
        <v>0</v>
      </c>
      <c r="G39">
        <f>E39*(1+F39)</f>
        <v>20</v>
      </c>
      <c r="H39" t="s">
        <v>1096</v>
      </c>
      <c r="I39" t="s">
        <v>615</v>
      </c>
      <c r="J39" t="s">
        <v>176</v>
      </c>
      <c r="K39" s="24">
        <f>IF(I39="","",MAX(IFERROR(DATEVALUE(TRIM(MID(SUBSTITUTE(I39,";",REPT(" ",50)),1,50))),0),IFERROR(DATEVALUE(TRIM(MID(SUBSTITUTE(I39,";",REPT(" ",50)),51,50))),0),IFERROR(DATEVALUE(TRIM(MID(SUBSTITUTE(I39,";",REPT(" ",50)),101,50))),0),IFERROR(DATEVALUE(TRIM(MID(SUBSTITUTE(I39,";",REPT(" ",50)),151,50))),0),IFERROR(DATEVALUE(TRIM(MID(SUBSTITUTE(I39,";",REPT(" ",50)),201,50))),0),IFERROR(DATEVALUE(TRIM(MID(SUBSTITUTE(I39,";",REPT(" ",50)),251,50))),0),IFERROR(DATEVALUE(TRIM(MID(SUBSTITUTE(I39,";",REPT(" ",50)),301,50))),0),IFERROR(DATEVALUE(TRIM(MID(SUBSTITUTE(I39,";",REPT(" ",50)),351,50))),0),IFERROR(DATEVALUE(TRIM(MID(SUBSTITUTE(I39,";",REPT(" ",50)),401,50))),0),IFERROR(DATEVALUE(TRIM(MID(SUBSTITUTE(I39,";",REPT(" ",50)),451,50))),0)))</f>
        <v>45895</v>
      </c>
      <c r="L39">
        <f ca="1">IF(K39="","",TODAY()-K39)</f>
        <v>117</v>
      </c>
      <c r="M39" t="s">
        <v>167</v>
      </c>
      <c r="N39">
        <f ca="1">IF(M39="","",IF(L39="",INDEX($F$110:$F$113,MATCH(M39,$C$110:$C$113,0)),IF(L39&lt;=INDEX($D$110:$D$113,MATCH(M39,$C$110:$C$113,0)),0,IF(L39&lt;=INDEX($E$110:$E$113,MATCH(M39,$C$110:$C$113,0)),INDEX($F$110:$F$113,MATCH(M39,$C$110:$C$113,0)),INDEX($G$110:$G$113,MATCH(M39,$C$110:$C$113,0))))))</f>
        <v>0</v>
      </c>
      <c r="O39">
        <f ca="1">G39+N39</f>
        <v>20</v>
      </c>
      <c r="P39" t="s">
        <v>168</v>
      </c>
      <c r="R39" t="s">
        <v>1097</v>
      </c>
    </row>
    <row r="40" spans="1:18" x14ac:dyDescent="0.2">
      <c r="A40" t="s">
        <v>310</v>
      </c>
      <c r="B40" t="s">
        <v>1098</v>
      </c>
      <c r="C40" t="s">
        <v>263</v>
      </c>
      <c r="D40" t="s">
        <v>217</v>
      </c>
      <c r="E40">
        <f>IF(C40="Controlled pause with multisig/timelock",0,IF(C40="No pause/kill-switch",10,IF(C40="Centralised pause/kill with minimal checks",20,IF(C40="Unknown",10,""))))</f>
        <v>10</v>
      </c>
      <c r="F40">
        <f>IF(D40="High",0,IF(D40="Medium",0.05,IF(D40="Low",0.1,IF(D40="Unknown",0.15,""))))</f>
        <v>0.1</v>
      </c>
      <c r="G40">
        <f>E40*(1+F40)</f>
        <v>11</v>
      </c>
      <c r="H40" t="s">
        <v>1099</v>
      </c>
      <c r="I40" t="s">
        <v>1100</v>
      </c>
      <c r="J40" t="s">
        <v>166</v>
      </c>
      <c r="K40" s="24">
        <f>IF(I40="","",MAX(IFERROR(DATEVALUE(TRIM(MID(SUBSTITUTE(I40,";",REPT(" ",50)),1,50))),0),IFERROR(DATEVALUE(TRIM(MID(SUBSTITUTE(I40,";",REPT(" ",50)),51,50))),0),IFERROR(DATEVALUE(TRIM(MID(SUBSTITUTE(I40,";",REPT(" ",50)),101,50))),0),IFERROR(DATEVALUE(TRIM(MID(SUBSTITUTE(I40,";",REPT(" ",50)),151,50))),0),IFERROR(DATEVALUE(TRIM(MID(SUBSTITUTE(I40,";",REPT(" ",50)),201,50))),0),IFERROR(DATEVALUE(TRIM(MID(SUBSTITUTE(I40,";",REPT(" ",50)),251,50))),0),IFERROR(DATEVALUE(TRIM(MID(SUBSTITUTE(I40,";",REPT(" ",50)),301,50))),0),IFERROR(DATEVALUE(TRIM(MID(SUBSTITUTE(I40,";",REPT(" ",50)),351,50))),0),IFERROR(DATEVALUE(TRIM(MID(SUBSTITUTE(I40,";",REPT(" ",50)),401,50))),0),IFERROR(DATEVALUE(TRIM(MID(SUBSTITUTE(I40,";",REPT(" ",50)),451,50))),0)))</f>
        <v>45962</v>
      </c>
      <c r="L40">
        <f ca="1">IF(K40="","",TODAY()-K40)</f>
        <v>50</v>
      </c>
      <c r="M40" t="s">
        <v>167</v>
      </c>
      <c r="N40">
        <f ca="1">IF(M40="","",IF(L40="",INDEX($F$110:$F$113,MATCH(M40,$C$110:$C$113,0)),IF(L40&lt;=INDEX($D$110:$D$113,MATCH(M40,$C$110:$C$113,0)),0,IF(L40&lt;=INDEX($E$110:$E$113,MATCH(M40,$C$110:$C$113,0)),INDEX($F$110:$F$113,MATCH(M40,$C$110:$C$113,0)),INDEX($G$110:$G$113,MATCH(M40,$C$110:$C$113,0))))))</f>
        <v>0</v>
      </c>
      <c r="O40">
        <f ca="1">G40+N40</f>
        <v>11</v>
      </c>
      <c r="P40" t="str">
        <f>IF(AND(C40="Centralised pause/kill with minimal checks",OR(D40="High",D40="Medium")),"Review Required","No Review")</f>
        <v>No Review</v>
      </c>
      <c r="Q40" t="s">
        <v>1101</v>
      </c>
      <c r="R40" t="s">
        <v>1102</v>
      </c>
    </row>
    <row r="41" spans="1:18" x14ac:dyDescent="0.2">
      <c r="A41" t="s">
        <v>1103</v>
      </c>
      <c r="B41" t="s">
        <v>1104</v>
      </c>
      <c r="C41" t="s">
        <v>1105</v>
      </c>
      <c r="D41" t="s">
        <v>182</v>
      </c>
      <c r="E41">
        <v>0</v>
      </c>
      <c r="F41">
        <f>IF(D41="High",0,IF(D41="Medium",0.05,IF(D41="Low",0.1,IF(D41="Unknown",0.15,""))))</f>
        <v>0.05</v>
      </c>
      <c r="G41">
        <f>E41*(1+F41)</f>
        <v>0</v>
      </c>
      <c r="H41" t="s">
        <v>1106</v>
      </c>
      <c r="I41" t="s">
        <v>1107</v>
      </c>
      <c r="J41" t="s">
        <v>166</v>
      </c>
      <c r="K41">
        <f>IF(I41="","",MAX(IFERROR(DATEVALUE(TRIM(MID(SUBSTITUTE(I41,";",REPT(" ",50)),1,50))),0),IFERROR(DATEVALUE(TRIM(MID(SUBSTITUTE(I41,";",REPT(" ",50)),51,50))),0),IFERROR(DATEVALUE(TRIM(MID(SUBSTITUTE(I41,";",REPT(" ",50)),101,50))),0),IFERROR(DATEVALUE(TRIM(MID(SUBSTITUTE(I41,";",REPT(" ",50)),151,50))),0),IFERROR(DATEVALUE(TRIM(MID(SUBSTITUTE(I41,";",REPT(" ",50)),201,50))),0),IFERROR(DATEVALUE(TRIM(MID(SUBSTITUTE(I41,";",REPT(" ",50)),251,50))),0),IFERROR(DATEVALUE(TRIM(MID(SUBSTITUTE(I41,";",REPT(" ",50)),301,50))),0),IFERROR(DATEVALUE(TRIM(MID(SUBSTITUTE(I41,";",REPT(" ",50)),351,50))),0),IFERROR(DATEVALUE(TRIM(MID(SUBSTITUTE(I41,";",REPT(" ",50)),401,50))),0),IFERROR(DATEVALUE(TRIM(MID(SUBSTITUTE(I41,";",REPT(" ",50)),451,50))),0)))</f>
        <v>45895</v>
      </c>
      <c r="M41" t="s">
        <v>167</v>
      </c>
      <c r="N41">
        <f>IF(M41="","",IF(L41="",INDEX($F$110:$F$113,MATCH(M41,$C$110:$C$113,0)),IF(L41&lt;=INDEX($D$110:$D$113,MATCH(M41,$C$110:$C$113,0)),0,IF(L41&lt;=INDEX($E$110:$E$113,MATCH(M41,$C$110:$C$113,0)),INDEX($F$110:$F$113,MATCH(M41,$C$110:$C$113,0)),INDEX($G$110:$G$113,MATCH(M41,$C$110:$C$113,0))))))</f>
        <v>0</v>
      </c>
      <c r="O41">
        <f>G41+N41</f>
        <v>0</v>
      </c>
      <c r="P41" t="s">
        <v>168</v>
      </c>
      <c r="Q41" t="s">
        <v>823</v>
      </c>
      <c r="R41" t="s">
        <v>1108</v>
      </c>
    </row>
    <row r="42" spans="1:18" x14ac:dyDescent="0.2">
      <c r="A42" s="4"/>
      <c r="B42" s="5" t="s">
        <v>1109</v>
      </c>
      <c r="C42" s="4"/>
      <c r="D42" s="4"/>
      <c r="E42" s="4"/>
      <c r="F42" s="4"/>
      <c r="G42" s="4"/>
      <c r="H42" s="4"/>
      <c r="I42" s="4"/>
      <c r="J42" s="4"/>
      <c r="K42" s="23" t="str">
        <f>IF(I42="","",MAX(IFERROR(DATEVALUE(TRIM(MID(SUBSTITUTE(I42,";",REPT(" ",50)),1,50))),0),IFERROR(DATEVALUE(TRIM(MID(SUBSTITUTE(I42,";",REPT(" ",50)),51,50))),0),IFERROR(DATEVALUE(TRIM(MID(SUBSTITUTE(I42,";",REPT(" ",50)),101,50))),0),IFERROR(DATEVALUE(TRIM(MID(SUBSTITUTE(I42,";",REPT(" ",50)),151,50))),0),IFERROR(DATEVALUE(TRIM(MID(SUBSTITUTE(I42,";",REPT(" ",50)),201,50))),0),IFERROR(DATEVALUE(TRIM(MID(SUBSTITUTE(I42,";",REPT(" ",50)),251,50))),0),IFERROR(DATEVALUE(TRIM(MID(SUBSTITUTE(I42,";",REPT(" ",50)),301,50))),0),IFERROR(DATEVALUE(TRIM(MID(SUBSTITUTE(I42,";",REPT(" ",50)),351,50))),0),IFERROR(DATEVALUE(TRIM(MID(SUBSTITUTE(I42,";",REPT(" ",50)),401,50))),0),IFERROR(DATEVALUE(TRIM(MID(SUBSTITUTE(I42,";",REPT(" ",50)),451,50))),0)))</f>
        <v/>
      </c>
      <c r="L42" s="4"/>
      <c r="M42" s="4"/>
      <c r="N42" s="4" t="str">
        <f>IF(M42="","",IF(L42="",INDEX($F$110:$F$113,MATCH(M42,$C$110:$C$113,0)),IF(L42&lt;=INDEX($D$110:$D$113,MATCH(M42,$C$110:$C$113,0)),0,IF(L42&lt;=INDEX($E$110:$E$113,MATCH(M42,$C$110:$C$113,0)),INDEX($F$110:$F$113,MATCH(M42,$C$110:$C$113,0)),INDEX($G$110:$G$113,MATCH(M42,$C$110:$C$113,0))))))</f>
        <v/>
      </c>
      <c r="O42" s="4"/>
      <c r="P42" s="4"/>
      <c r="Q42" s="4"/>
      <c r="R42" s="4"/>
    </row>
    <row r="43" spans="1:18" x14ac:dyDescent="0.2">
      <c r="A43" s="3"/>
      <c r="B43" s="48"/>
      <c r="C43" s="49"/>
      <c r="D43" s="49"/>
      <c r="E43" s="49"/>
      <c r="F43" s="49"/>
      <c r="G43" s="49"/>
      <c r="H43" s="49"/>
      <c r="I43" s="49"/>
      <c r="J43" s="49"/>
      <c r="K43" s="50"/>
      <c r="L43" s="49"/>
      <c r="M43" s="49"/>
      <c r="N43" s="49"/>
      <c r="O43" s="49"/>
      <c r="P43" s="49"/>
      <c r="Q43" s="49"/>
      <c r="R43" s="49"/>
    </row>
    <row r="44" spans="1:18" x14ac:dyDescent="0.2">
      <c r="A44" t="s">
        <v>607</v>
      </c>
      <c r="B44" t="s">
        <v>1110</v>
      </c>
      <c r="C44" t="s">
        <v>1111</v>
      </c>
      <c r="D44" t="s">
        <v>182</v>
      </c>
      <c r="E44">
        <f>IF(C44="Fully disclosed",0,IF(C44="Partially disclosed",10,IF(C44="Poorly disclosed/unclear",20,IF(C44="Unknown",10,""))))</f>
        <v>20</v>
      </c>
      <c r="F44">
        <f>IF(D44="High",0,IF(D44="Medium",0.05,IF(D44="Low",0.1,IF(D44="Unknown",0.15,""))))</f>
        <v>0.05</v>
      </c>
      <c r="G44">
        <f>E44*(1+F44)</f>
        <v>21</v>
      </c>
      <c r="H44" t="s">
        <v>1112</v>
      </c>
      <c r="J44" t="s">
        <v>166</v>
      </c>
      <c r="K44" s="24" t="str">
        <f>IF(I44="","",MAX(IFERROR(DATEVALUE(TRIM(MID(SUBSTITUTE(I44,";",REPT(" ",50)),1,50))),0),IFERROR(DATEVALUE(TRIM(MID(SUBSTITUTE(I44,";",REPT(" ",50)),51,50))),0),IFERROR(DATEVALUE(TRIM(MID(SUBSTITUTE(I44,";",REPT(" ",50)),101,50))),0),IFERROR(DATEVALUE(TRIM(MID(SUBSTITUTE(I44,";",REPT(" ",50)),151,50))),0),IFERROR(DATEVALUE(TRIM(MID(SUBSTITUTE(I44,";",REPT(" ",50)),201,50))),0),IFERROR(DATEVALUE(TRIM(MID(SUBSTITUTE(I44,";",REPT(" ",50)),251,50))),0),IFERROR(DATEVALUE(TRIM(MID(SUBSTITUTE(I44,";",REPT(" ",50)),301,50))),0),IFERROR(DATEVALUE(TRIM(MID(SUBSTITUTE(I44,";",REPT(" ",50)),351,50))),0),IFERROR(DATEVALUE(TRIM(MID(SUBSTITUTE(I44,";",REPT(" ",50)),401,50))),0),IFERROR(DATEVALUE(TRIM(MID(SUBSTITUTE(I44,";",REPT(" ",50)),451,50))),0)))</f>
        <v/>
      </c>
      <c r="L44" t="str">
        <f ca="1">IF(K44="","",TODAY()-K44)</f>
        <v/>
      </c>
      <c r="M44" t="s">
        <v>167</v>
      </c>
      <c r="N44">
        <f ca="1">IF(M44="","",IF(L44="",INDEX($F$110:$F$113,MATCH(M44,$C$110:$C$113,0)),IF(L44&lt;=INDEX($D$110:$D$113,MATCH(M44,$C$110:$C$113,0)),0,IF(L44&lt;=INDEX($E$110:$E$113,MATCH(M44,$C$110:$C$113,0)),INDEX($F$110:$F$113,MATCH(M44,$C$110:$C$113,0)),INDEX($G$110:$G$113,MATCH(M44,$C$110:$C$113,0))))))</f>
        <v>0</v>
      </c>
      <c r="O44">
        <f ca="1">G44+N44</f>
        <v>21</v>
      </c>
      <c r="P44" t="str">
        <f>IF(AND(C44="Poorly disclosed/unclear",OR(D44="High",D44="Medium")),"Review Required","No Review")</f>
        <v>Review Required</v>
      </c>
      <c r="Q44" t="s">
        <v>1113</v>
      </c>
      <c r="R44" t="s">
        <v>1114</v>
      </c>
    </row>
    <row r="45" spans="1:18" x14ac:dyDescent="0.2">
      <c r="A45" t="s">
        <v>612</v>
      </c>
      <c r="B45" t="s">
        <v>1115</v>
      </c>
      <c r="C45" t="s">
        <v>1116</v>
      </c>
      <c r="D45" t="s">
        <v>182</v>
      </c>
      <c r="E45">
        <f>IF(C45="Decentralised (multisig/DAO)",0,IF(C45="Moderately centralised",10,IF(C45="Highly centralised (1–2 individuals)",20,IF(C45="Unknown",10,""))))</f>
        <v>10</v>
      </c>
      <c r="F45">
        <f>IF(D45="High",0,IF(D45="Medium",0.05,IF(D45="Low",0.1,IF(D45="Unknown",0.15,""))))</f>
        <v>0.05</v>
      </c>
      <c r="G45">
        <f>E45*(1+F45)</f>
        <v>10.5</v>
      </c>
      <c r="H45" t="s">
        <v>1117</v>
      </c>
      <c r="I45" t="s">
        <v>644</v>
      </c>
      <c r="J45" t="s">
        <v>166</v>
      </c>
      <c r="K45" s="24">
        <f>IF(I45="","",MAX(IFERROR(DATEVALUE(TRIM(MID(SUBSTITUTE(I45,";",REPT(" ",50)),1,50))),0),IFERROR(DATEVALUE(TRIM(MID(SUBSTITUTE(I45,";",REPT(" ",50)),51,50))),0),IFERROR(DATEVALUE(TRIM(MID(SUBSTITUTE(I45,";",REPT(" ",50)),101,50))),0),IFERROR(DATEVALUE(TRIM(MID(SUBSTITUTE(I45,";",REPT(" ",50)),151,50))),0),IFERROR(DATEVALUE(TRIM(MID(SUBSTITUTE(I45,";",REPT(" ",50)),201,50))),0),IFERROR(DATEVALUE(TRIM(MID(SUBSTITUTE(I45,";",REPT(" ",50)),251,50))),0),IFERROR(DATEVALUE(TRIM(MID(SUBSTITUTE(I45,";",REPT(" ",50)),301,50))),0),IFERROR(DATEVALUE(TRIM(MID(SUBSTITUTE(I45,";",REPT(" ",50)),351,50))),0),IFERROR(DATEVALUE(TRIM(MID(SUBSTITUTE(I45,";",REPT(" ",50)),401,50))),0),IFERROR(DATEVALUE(TRIM(MID(SUBSTITUTE(I45,";",REPT(" ",50)),451,50))),0)))</f>
        <v>45985</v>
      </c>
      <c r="L45">
        <f ca="1">IF(K45="","",TODAY()-K45)</f>
        <v>27</v>
      </c>
      <c r="M45" t="s">
        <v>167</v>
      </c>
      <c r="N45">
        <f ca="1">IF(M45="","",IF(L45="",INDEX($F$110:$F$113,MATCH(M45,$C$110:$C$113,0)),IF(L45&lt;=INDEX($D$110:$D$113,MATCH(M45,$C$110:$C$113,0)),0,IF(L45&lt;=INDEX($E$110:$E$113,MATCH(M45,$C$110:$C$113,0)),INDEX($F$110:$F$113,MATCH(M45,$C$110:$C$113,0)),INDEX($G$110:$G$113,MATCH(M45,$C$110:$C$113,0))))))</f>
        <v>0</v>
      </c>
      <c r="O45">
        <f ca="1">G45+N45</f>
        <v>10.5</v>
      </c>
      <c r="P45" t="s">
        <v>168</v>
      </c>
      <c r="R45" t="s">
        <v>1118</v>
      </c>
    </row>
    <row r="46" spans="1:18" x14ac:dyDescent="0.2">
      <c r="A46" t="s">
        <v>617</v>
      </c>
      <c r="B46" t="s">
        <v>1119</v>
      </c>
      <c r="C46" t="s">
        <v>1120</v>
      </c>
      <c r="D46" t="s">
        <v>182</v>
      </c>
      <c r="E46">
        <f>IF(C46="Narrow",0,IF(C46="Moderate",10,IF(C46="Broad/high-impact",20,IF(C46="Unknown",10,""))))</f>
        <v>20</v>
      </c>
      <c r="F46">
        <f>IF(D46="High",0,IF(D46="Medium",0.05,IF(D46="Low",0.1,IF(D46="Unknown",0.15,""))))</f>
        <v>0.05</v>
      </c>
      <c r="G46">
        <f>E46*(1+F46)</f>
        <v>21</v>
      </c>
      <c r="H46" t="s">
        <v>1042</v>
      </c>
      <c r="J46" t="s">
        <v>176</v>
      </c>
      <c r="K46" s="24" t="str">
        <f>IF(I46="","",MAX(IFERROR(DATEVALUE(TRIM(MID(SUBSTITUTE(I46,";",REPT(" ",50)),1,50))),0),IFERROR(DATEVALUE(TRIM(MID(SUBSTITUTE(I46,";",REPT(" ",50)),51,50))),0),IFERROR(DATEVALUE(TRIM(MID(SUBSTITUTE(I46,";",REPT(" ",50)),101,50))),0),IFERROR(DATEVALUE(TRIM(MID(SUBSTITUTE(I46,";",REPT(" ",50)),151,50))),0),IFERROR(DATEVALUE(TRIM(MID(SUBSTITUTE(I46,";",REPT(" ",50)),201,50))),0),IFERROR(DATEVALUE(TRIM(MID(SUBSTITUTE(I46,";",REPT(" ",50)),251,50))),0),IFERROR(DATEVALUE(TRIM(MID(SUBSTITUTE(I46,";",REPT(" ",50)),301,50))),0),IFERROR(DATEVALUE(TRIM(MID(SUBSTITUTE(I46,";",REPT(" ",50)),351,50))),0),IFERROR(DATEVALUE(TRIM(MID(SUBSTITUTE(I46,";",REPT(" ",50)),401,50))),0),IFERROR(DATEVALUE(TRIM(MID(SUBSTITUTE(I46,";",REPT(" ",50)),451,50))),0)))</f>
        <v/>
      </c>
      <c r="L46" t="str">
        <f ca="1">IF(K46="","",TODAY()-K46)</f>
        <v/>
      </c>
      <c r="M46" t="s">
        <v>167</v>
      </c>
      <c r="N46">
        <f ca="1">IF(M46="","",IF(L46="",INDEX($F$110:$F$113,MATCH(M46,$C$110:$C$113,0)),IF(L46&lt;=INDEX($D$110:$D$113,MATCH(M46,$C$110:$C$113,0)),0,IF(L46&lt;=INDEX($E$110:$E$113,MATCH(M46,$C$110:$C$113,0)),INDEX($F$110:$F$113,MATCH(M46,$C$110:$C$113,0)),INDEX($G$110:$G$113,MATCH(M46,$C$110:$C$113,0))))))</f>
        <v>0</v>
      </c>
      <c r="O46">
        <f ca="1">G46+N46</f>
        <v>21</v>
      </c>
      <c r="P46" t="str">
        <f>IF(AND(C46="Broad/high-impact",OR(D46="High",D46="Medium")),"Review Required","No Review")</f>
        <v>Review Required</v>
      </c>
      <c r="Q46" t="s">
        <v>1121</v>
      </c>
      <c r="R46" t="s">
        <v>1122</v>
      </c>
    </row>
    <row r="47" spans="1:18" x14ac:dyDescent="0.2">
      <c r="A47" t="s">
        <v>640</v>
      </c>
      <c r="B47" t="s">
        <v>1123</v>
      </c>
      <c r="C47" t="s">
        <v>1124</v>
      </c>
      <c r="D47" t="s">
        <v>182</v>
      </c>
      <c r="E47">
        <v>0</v>
      </c>
      <c r="F47">
        <f>IF(D47="High",0,IF(D47="Medium",0.05,IF(D47="Low",0.1,IF(D47="Unknown",0.15,""))))</f>
        <v>0.05</v>
      </c>
      <c r="G47">
        <f>E47*(1+F47)</f>
        <v>0</v>
      </c>
      <c r="H47" t="s">
        <v>1125</v>
      </c>
      <c r="I47" t="s">
        <v>1126</v>
      </c>
      <c r="J47" t="s">
        <v>166</v>
      </c>
      <c r="K47">
        <f>IF(I47="","",MAX(IFERROR(DATEVALUE(TRIM(MID(SUBSTITUTE(I47,";",REPT(" ",50)),1,50))),0),IFERROR(DATEVALUE(TRIM(MID(SUBSTITUTE(I47,";",REPT(" ",50)),51,50))),0),IFERROR(DATEVALUE(TRIM(MID(SUBSTITUTE(I47,";",REPT(" ",50)),101,50))),0),IFERROR(DATEVALUE(TRIM(MID(SUBSTITUTE(I47,";",REPT(" ",50)),151,50))),0),IFERROR(DATEVALUE(TRIM(MID(SUBSTITUTE(I47,";",REPT(" ",50)),201,50))),0),IFERROR(DATEVALUE(TRIM(MID(SUBSTITUTE(I47,";",REPT(" ",50)),251,50))),0),IFERROR(DATEVALUE(TRIM(MID(SUBSTITUTE(I47,";",REPT(" ",50)),301,50))),0),IFERROR(DATEVALUE(TRIM(MID(SUBSTITUTE(I47,";",REPT(" ",50)),351,50))),0),IFERROR(DATEVALUE(TRIM(MID(SUBSTITUTE(I47,";",REPT(" ",50)),401,50))),0),IFERROR(DATEVALUE(TRIM(MID(SUBSTITUTE(I47,";",REPT(" ",50)),451,50))),0)))</f>
        <v>46009</v>
      </c>
      <c r="M47" t="s">
        <v>167</v>
      </c>
      <c r="N47">
        <f>IF(M47="","",IF(L47="",INDEX($F$110:$F$113,MATCH(M47,$C$110:$C$113,0)),IF(L47&lt;=INDEX($D$110:$D$113,MATCH(M47,$C$110:$C$113,0)),0,IF(L47&lt;=INDEX($E$110:$E$113,MATCH(M47,$C$110:$C$113,0)),INDEX($F$110:$F$113,MATCH(M47,$C$110:$C$113,0)),INDEX($G$110:$G$113,MATCH(M47,$C$110:$C$113,0))))))</f>
        <v>0</v>
      </c>
      <c r="O47">
        <f>G47+N47</f>
        <v>0</v>
      </c>
      <c r="P47" t="s">
        <v>168</v>
      </c>
      <c r="Q47" t="s">
        <v>823</v>
      </c>
      <c r="R47" t="s">
        <v>1127</v>
      </c>
    </row>
    <row r="48" spans="1:18" x14ac:dyDescent="0.2">
      <c r="A48" s="3"/>
      <c r="B48" s="48"/>
      <c r="C48" s="49"/>
      <c r="D48" s="49"/>
      <c r="E48" s="49"/>
      <c r="F48" s="49"/>
      <c r="G48" s="49"/>
      <c r="H48" s="49"/>
      <c r="I48" s="49"/>
      <c r="J48" s="49"/>
      <c r="K48" s="50"/>
      <c r="L48" s="49"/>
      <c r="M48" s="49"/>
      <c r="N48" s="49"/>
      <c r="O48" s="49"/>
      <c r="P48" s="49"/>
      <c r="Q48" s="49"/>
      <c r="R48" s="49"/>
    </row>
    <row r="49" spans="1:19" x14ac:dyDescent="0.2">
      <c r="A49" t="s">
        <v>825</v>
      </c>
      <c r="B49" t="s">
        <v>1128</v>
      </c>
      <c r="C49" t="s">
        <v>263</v>
      </c>
      <c r="D49" t="s">
        <v>263</v>
      </c>
      <c r="E49">
        <f>IF(C49="Yes – main control path",0,IF(C49="Yes – partial control",10,IF(C49="No multisig",20,IF(C49="Unknown",10,""))))</f>
        <v>10</v>
      </c>
      <c r="F49">
        <f>IF(D49="High",0,IF(D49="Medium",0.05,IF(D49="Low",0.1,IF(D49="Unknown",0.15,""))))</f>
        <v>0.15</v>
      </c>
      <c r="G49">
        <f>E49*(1+F49)</f>
        <v>11.5</v>
      </c>
      <c r="K49" s="24" t="str">
        <f>IF(I49="","",MAX(IFERROR(DATEVALUE(TRIM(MID(SUBSTITUTE(I49,";",REPT(" ",50)),1,50))),0),IFERROR(DATEVALUE(TRIM(MID(SUBSTITUTE(I49,";",REPT(" ",50)),51,50))),0),IFERROR(DATEVALUE(TRIM(MID(SUBSTITUTE(I49,";",REPT(" ",50)),101,50))),0),IFERROR(DATEVALUE(TRIM(MID(SUBSTITUTE(I49,";",REPT(" ",50)),151,50))),0),IFERROR(DATEVALUE(TRIM(MID(SUBSTITUTE(I49,";",REPT(" ",50)),201,50))),0),IFERROR(DATEVALUE(TRIM(MID(SUBSTITUTE(I49,";",REPT(" ",50)),251,50))),0),IFERROR(DATEVALUE(TRIM(MID(SUBSTITUTE(I49,";",REPT(" ",50)),301,50))),0),IFERROR(DATEVALUE(TRIM(MID(SUBSTITUTE(I49,";",REPT(" ",50)),351,50))),0),IFERROR(DATEVALUE(TRIM(MID(SUBSTITUTE(I49,";",REPT(" ",50)),401,50))),0),IFERROR(DATEVALUE(TRIM(MID(SUBSTITUTE(I49,";",REPT(" ",50)),451,50))),0)))</f>
        <v/>
      </c>
      <c r="L49" t="str">
        <f ca="1">IF(K49="","",TODAY()-K49)</f>
        <v/>
      </c>
      <c r="M49" t="s">
        <v>185</v>
      </c>
      <c r="N49">
        <f ca="1">IF(M49="","",IF(L49="",INDEX($F$110:$F$113,MATCH(M49,$C$110:$C$113,0)),IF(L49&lt;=INDEX($D$110:$D$113,MATCH(M49,$C$110:$C$113,0)),0,IF(L49&lt;=INDEX($E$110:$E$113,MATCH(M49,$C$110:$C$113,0)),INDEX($F$110:$F$113,MATCH(M49,$C$110:$C$113,0)),INDEX($G$110:$G$113,MATCH(M49,$C$110:$C$113,0))))))</f>
        <v>3</v>
      </c>
      <c r="O49">
        <f ca="1">G49+N49</f>
        <v>14.5</v>
      </c>
      <c r="P49" t="s">
        <v>168</v>
      </c>
      <c r="R49" t="s">
        <v>296</v>
      </c>
      <c r="S49" t="s">
        <v>1129</v>
      </c>
    </row>
    <row r="50" spans="1:19" x14ac:dyDescent="0.2">
      <c r="A50" t="s">
        <v>832</v>
      </c>
      <c r="B50" t="s">
        <v>1130</v>
      </c>
      <c r="C50" t="s">
        <v>263</v>
      </c>
      <c r="D50" t="s">
        <v>263</v>
      </c>
      <c r="E50">
        <f>IF(C50="Strong threshold (≥⅔)",0,IF(C50="Moderate threshold (~50%)",10,IF(C50="Weak threshold (&lt;50%)",20,IF(C50="Unknown",10,""))))</f>
        <v>10</v>
      </c>
      <c r="F50">
        <f>IF(D50="High",0,IF(D50="Medium",0.05,IF(D50="Low",0.1,IF(D50="Unknown",0.15,""))))</f>
        <v>0.15</v>
      </c>
      <c r="G50">
        <f>E50*(1+F50)</f>
        <v>11.5</v>
      </c>
      <c r="K50" s="24" t="str">
        <f>IF(I50="","",MAX(IFERROR(DATEVALUE(TRIM(MID(SUBSTITUTE(I50,";",REPT(" ",50)),1,50))),0),IFERROR(DATEVALUE(TRIM(MID(SUBSTITUTE(I50,";",REPT(" ",50)),51,50))),0),IFERROR(DATEVALUE(TRIM(MID(SUBSTITUTE(I50,";",REPT(" ",50)),101,50))),0),IFERROR(DATEVALUE(TRIM(MID(SUBSTITUTE(I50,";",REPT(" ",50)),151,50))),0),IFERROR(DATEVALUE(TRIM(MID(SUBSTITUTE(I50,";",REPT(" ",50)),201,50))),0),IFERROR(DATEVALUE(TRIM(MID(SUBSTITUTE(I50,";",REPT(" ",50)),251,50))),0),IFERROR(DATEVALUE(TRIM(MID(SUBSTITUTE(I50,";",REPT(" ",50)),301,50))),0),IFERROR(DATEVALUE(TRIM(MID(SUBSTITUTE(I50,";",REPT(" ",50)),351,50))),0),IFERROR(DATEVALUE(TRIM(MID(SUBSTITUTE(I50,";",REPT(" ",50)),401,50))),0),IFERROR(DATEVALUE(TRIM(MID(SUBSTITUTE(I50,";",REPT(" ",50)),451,50))),0)))</f>
        <v/>
      </c>
      <c r="L50" t="str">
        <f ca="1">IF(K50="","",TODAY()-K50)</f>
        <v/>
      </c>
      <c r="M50" t="s">
        <v>185</v>
      </c>
      <c r="N50">
        <f ca="1">IF(M50="","",IF(L50="",INDEX($F$110:$F$113,MATCH(M50,$C$110:$C$113,0)),IF(L50&lt;=INDEX($D$110:$D$113,MATCH(M50,$C$110:$C$113,0)),0,IF(L50&lt;=INDEX($E$110:$E$113,MATCH(M50,$C$110:$C$113,0)),INDEX($F$110:$F$113,MATCH(M50,$C$110:$C$113,0)),INDEX($G$110:$G$113,MATCH(M50,$C$110:$C$113,0))))))</f>
        <v>3</v>
      </c>
      <c r="O50">
        <f ca="1">G50+N50</f>
        <v>14.5</v>
      </c>
      <c r="P50" t="s">
        <v>168</v>
      </c>
      <c r="R50" t="s">
        <v>296</v>
      </c>
      <c r="S50" t="s">
        <v>1131</v>
      </c>
    </row>
    <row r="51" spans="1:19" x14ac:dyDescent="0.2">
      <c r="A51" t="s">
        <v>839</v>
      </c>
      <c r="B51" t="s">
        <v>1132</v>
      </c>
      <c r="C51" t="s">
        <v>1133</v>
      </c>
      <c r="D51" t="s">
        <v>182</v>
      </c>
      <c r="E51">
        <f>IF(C51="Fully transparent",0,IF(C51="Partial transparency",10,IF(C51="Opaque/unknown signers",20,IF(C51="Unknown",10,""))))</f>
        <v>20</v>
      </c>
      <c r="F51">
        <f>IF(D51="High",0,IF(D51="Medium",0.05,IF(D51="Low",0.1,IF(D51="Unknown",0.15,""))))</f>
        <v>0.05</v>
      </c>
      <c r="G51">
        <f>E51*(1+F51)</f>
        <v>21</v>
      </c>
      <c r="H51" t="s">
        <v>1096</v>
      </c>
      <c r="I51" t="s">
        <v>615</v>
      </c>
      <c r="J51" t="s">
        <v>176</v>
      </c>
      <c r="K51" s="24">
        <f>IF(I51="","",MAX(IFERROR(DATEVALUE(TRIM(MID(SUBSTITUTE(I51,";",REPT(" ",50)),1,50))),0),IFERROR(DATEVALUE(TRIM(MID(SUBSTITUTE(I51,";",REPT(" ",50)),51,50))),0),IFERROR(DATEVALUE(TRIM(MID(SUBSTITUTE(I51,";",REPT(" ",50)),101,50))),0),IFERROR(DATEVALUE(TRIM(MID(SUBSTITUTE(I51,";",REPT(" ",50)),151,50))),0),IFERROR(DATEVALUE(TRIM(MID(SUBSTITUTE(I51,";",REPT(" ",50)),201,50))),0),IFERROR(DATEVALUE(TRIM(MID(SUBSTITUTE(I51,";",REPT(" ",50)),251,50))),0),IFERROR(DATEVALUE(TRIM(MID(SUBSTITUTE(I51,";",REPT(" ",50)),301,50))),0),IFERROR(DATEVALUE(TRIM(MID(SUBSTITUTE(I51,";",REPT(" ",50)),351,50))),0),IFERROR(DATEVALUE(TRIM(MID(SUBSTITUTE(I51,";",REPT(" ",50)),401,50))),0),IFERROR(DATEVALUE(TRIM(MID(SUBSTITUTE(I51,";",REPT(" ",50)),451,50))),0)))</f>
        <v>45895</v>
      </c>
      <c r="L51">
        <f ca="1">IF(K51="","",TODAY()-K51)</f>
        <v>117</v>
      </c>
      <c r="M51" t="s">
        <v>300</v>
      </c>
      <c r="N51">
        <f ca="1">IF(M51="","",IF(L51="",INDEX($F$110:$F$113,MATCH(M51,$C$110:$C$113,0)),IF(L51&lt;=INDEX($D$110:$D$113,MATCH(M51,$C$110:$C$113,0)),0,IF(L51&lt;=INDEX($E$110:$E$113,MATCH(M51,$C$110:$C$113,0)),INDEX($F$110:$F$113,MATCH(M51,$C$110:$C$113,0)),INDEX($G$110:$G$113,MATCH(M51,$C$110:$C$113,0))))))</f>
        <v>0</v>
      </c>
      <c r="O51">
        <f ca="1">G51+N51</f>
        <v>21</v>
      </c>
      <c r="P51" t="s">
        <v>168</v>
      </c>
      <c r="R51" t="s">
        <v>1134</v>
      </c>
    </row>
    <row r="52" spans="1:19" x14ac:dyDescent="0.2">
      <c r="A52" t="s">
        <v>846</v>
      </c>
      <c r="B52" t="s">
        <v>1135</v>
      </c>
      <c r="C52" t="s">
        <v>1136</v>
      </c>
      <c r="D52" t="s">
        <v>182</v>
      </c>
      <c r="E52">
        <v>0</v>
      </c>
      <c r="F52">
        <f>IF(D52="High",0,IF(D52="Medium",0.05,IF(D52="Low",0.1,IF(D52="Unknown",0.15,""))))</f>
        <v>0.05</v>
      </c>
      <c r="G52">
        <f>E52*(1+F52)</f>
        <v>0</v>
      </c>
      <c r="H52" t="s">
        <v>1137</v>
      </c>
      <c r="I52" t="s">
        <v>1138</v>
      </c>
      <c r="J52" t="s">
        <v>176</v>
      </c>
      <c r="K52">
        <f>IF(I52="","",MAX(IFERROR(DATEVALUE(TRIM(MID(SUBSTITUTE(I52,";",REPT(" ",50)),1,50))),0),IFERROR(DATEVALUE(TRIM(MID(SUBSTITUTE(I52,";",REPT(" ",50)),51,50))),0),IFERROR(DATEVALUE(TRIM(MID(SUBSTITUTE(I52,";",REPT(" ",50)),101,50))),0),IFERROR(DATEVALUE(TRIM(MID(SUBSTITUTE(I52,";",REPT(" ",50)),151,50))),0),IFERROR(DATEVALUE(TRIM(MID(SUBSTITUTE(I52,";",REPT(" ",50)),201,50))),0),IFERROR(DATEVALUE(TRIM(MID(SUBSTITUTE(I52,";",REPT(" ",50)),251,50))),0),IFERROR(DATEVALUE(TRIM(MID(SUBSTITUTE(I52,";",REPT(" ",50)),301,50))),0),IFERROR(DATEVALUE(TRIM(MID(SUBSTITUTE(I52,";",REPT(" ",50)),351,50))),0),IFERROR(DATEVALUE(TRIM(MID(SUBSTITUTE(I52,";",REPT(" ",50)),401,50))),0),IFERROR(DATEVALUE(TRIM(MID(SUBSTITUTE(I52,";",REPT(" ",50)),451,50))),0)))</f>
        <v>45897</v>
      </c>
      <c r="M52" t="s">
        <v>300</v>
      </c>
      <c r="N52">
        <f>IF(M52="","",IF(L52="",INDEX($F$110:$F$113,MATCH(M52,$C$110:$C$113,0)),IF(L52&lt;=INDEX($D$110:$D$113,MATCH(M52,$C$110:$C$113,0)),0,IF(L52&lt;=INDEX($E$110:$E$113,MATCH(M52,$C$110:$C$113,0)),INDEX($F$110:$F$113,MATCH(M52,$C$110:$C$113,0)),INDEX($G$110:$G$113,MATCH(M52,$C$110:$C$113,0))))))</f>
        <v>2</v>
      </c>
      <c r="O52">
        <f>G52+N52</f>
        <v>2</v>
      </c>
      <c r="P52" t="s">
        <v>168</v>
      </c>
      <c r="Q52" t="s">
        <v>823</v>
      </c>
      <c r="R52" t="s">
        <v>1139</v>
      </c>
    </row>
    <row r="53" spans="1:19" x14ac:dyDescent="0.2">
      <c r="A53" s="3"/>
      <c r="B53" s="48"/>
      <c r="C53" s="49"/>
      <c r="D53" s="49"/>
      <c r="E53" s="49"/>
      <c r="F53" s="49"/>
      <c r="G53" s="49"/>
      <c r="H53" s="49"/>
      <c r="I53" s="49"/>
      <c r="J53" s="49"/>
      <c r="K53" s="50"/>
      <c r="L53" s="49"/>
      <c r="M53" s="49"/>
      <c r="N53" s="49"/>
      <c r="O53" s="49"/>
      <c r="P53" s="49"/>
      <c r="Q53" s="49"/>
      <c r="R53" s="49"/>
    </row>
    <row r="54" spans="1:19" x14ac:dyDescent="0.2">
      <c r="A54" t="s">
        <v>1140</v>
      </c>
      <c r="B54" t="s">
        <v>1141</v>
      </c>
      <c r="C54" t="s">
        <v>1142</v>
      </c>
      <c r="D54" t="s">
        <v>182</v>
      </c>
      <c r="E54">
        <f>IF(C54="Yes – all critical actions",0,IF(C54="Yes – some actions",10,IF(C54="No timelock",20,IF(C54="Unknown",10,""))))</f>
        <v>20</v>
      </c>
      <c r="F54">
        <f>IF(D54="High",0,IF(D54="Medium",0.05,IF(D54="Low",0.1,IF(D54="Unknown",0.15,""))))</f>
        <v>0.05</v>
      </c>
      <c r="G54">
        <f>E54*(1+F54)</f>
        <v>21</v>
      </c>
      <c r="H54" t="s">
        <v>1143</v>
      </c>
      <c r="I54" t="s">
        <v>615</v>
      </c>
      <c r="J54" t="s">
        <v>166</v>
      </c>
      <c r="K54" s="24">
        <f>IF(I54="","",MAX(IFERROR(DATEVALUE(TRIM(MID(SUBSTITUTE(I54,";",REPT(" ",50)),1,50))),0),IFERROR(DATEVALUE(TRIM(MID(SUBSTITUTE(I54,";",REPT(" ",50)),51,50))),0),IFERROR(DATEVALUE(TRIM(MID(SUBSTITUTE(I54,";",REPT(" ",50)),101,50))),0),IFERROR(DATEVALUE(TRIM(MID(SUBSTITUTE(I54,";",REPT(" ",50)),151,50))),0),IFERROR(DATEVALUE(TRIM(MID(SUBSTITUTE(I54,";",REPT(" ",50)),201,50))),0),IFERROR(DATEVALUE(TRIM(MID(SUBSTITUTE(I54,";",REPT(" ",50)),251,50))),0),IFERROR(DATEVALUE(TRIM(MID(SUBSTITUTE(I54,";",REPT(" ",50)),301,50))),0),IFERROR(DATEVALUE(TRIM(MID(SUBSTITUTE(I54,";",REPT(" ",50)),351,50))),0),IFERROR(DATEVALUE(TRIM(MID(SUBSTITUTE(I54,";",REPT(" ",50)),401,50))),0),IFERROR(DATEVALUE(TRIM(MID(SUBSTITUTE(I54,";",REPT(" ",50)),451,50))),0)))</f>
        <v>45895</v>
      </c>
      <c r="L54">
        <f ca="1">IF(K54="","",TODAY()-K54)</f>
        <v>117</v>
      </c>
      <c r="M54" t="s">
        <v>185</v>
      </c>
      <c r="N54">
        <f ca="1">IF(M54="","",IF(L54="",INDEX($F$110:$F$113,MATCH(M54,$C$110:$C$113,0)),IF(L54&lt;=INDEX($D$110:$D$113,MATCH(M54,$C$110:$C$113,0)),0,IF(L54&lt;=INDEX($E$110:$E$113,MATCH(M54,$C$110:$C$113,0)),INDEX($F$110:$F$113,MATCH(M54,$C$110:$C$113,0)),INDEX($G$110:$G$113,MATCH(M54,$C$110:$C$113,0))))))</f>
        <v>0</v>
      </c>
      <c r="O54">
        <f ca="1">G54+N54</f>
        <v>21</v>
      </c>
      <c r="P54" t="str">
        <f>IF(AND(C54="No timelock",OR(D54="High",D54="Medium")),"Review Required","No Review")</f>
        <v>Review Required</v>
      </c>
      <c r="Q54" t="s">
        <v>1144</v>
      </c>
      <c r="R54" t="s">
        <v>1145</v>
      </c>
    </row>
    <row r="55" spans="1:19" x14ac:dyDescent="0.2">
      <c r="A55" t="s">
        <v>1146</v>
      </c>
      <c r="B55" t="s">
        <v>1147</v>
      </c>
      <c r="C55" t="s">
        <v>1148</v>
      </c>
      <c r="D55" t="s">
        <v>182</v>
      </c>
      <c r="E55">
        <f>IF(C55="Adequate duration (≥24h)",0,IF(C55="Short duration (&lt;24h)",10,IF(C55="No timelock or irrelevant",20,IF(C55="Unknown",10,""))))</f>
        <v>0</v>
      </c>
      <c r="F55">
        <f>IF(D55="High",0,IF(D55="Medium",0.05,IF(D55="Low",0.1,IF(D55="Unknown",0.15,""))))</f>
        <v>0.05</v>
      </c>
      <c r="G55">
        <f>E55*(1+F55)</f>
        <v>0</v>
      </c>
      <c r="H55" t="s">
        <v>1149</v>
      </c>
      <c r="I55" t="s">
        <v>1150</v>
      </c>
      <c r="J55" t="s">
        <v>166</v>
      </c>
      <c r="K55" s="24">
        <f>IF(I55="","",MAX(IFERROR(DATEVALUE(TRIM(MID(SUBSTITUTE(I55,";",REPT(" ",50)),1,50))),0),IFERROR(DATEVALUE(TRIM(MID(SUBSTITUTE(I55,";",REPT(" ",50)),51,50))),0),IFERROR(DATEVALUE(TRIM(MID(SUBSTITUTE(I55,";",REPT(" ",50)),101,50))),0),IFERROR(DATEVALUE(TRIM(MID(SUBSTITUTE(I55,";",REPT(" ",50)),151,50))),0),IFERROR(DATEVALUE(TRIM(MID(SUBSTITUTE(I55,";",REPT(" ",50)),201,50))),0),IFERROR(DATEVALUE(TRIM(MID(SUBSTITUTE(I55,";",REPT(" ",50)),251,50))),0),IFERROR(DATEVALUE(TRIM(MID(SUBSTITUTE(I55,";",REPT(" ",50)),301,50))),0),IFERROR(DATEVALUE(TRIM(MID(SUBSTITUTE(I55,";",REPT(" ",50)),351,50))),0),IFERROR(DATEVALUE(TRIM(MID(SUBSTITUTE(I55,";",REPT(" ",50)),401,50))),0),IFERROR(DATEVALUE(TRIM(MID(SUBSTITUTE(I55,";",REPT(" ",50)),451,50))),0)))</f>
        <v>46009</v>
      </c>
      <c r="L55">
        <f ca="1">IF(K55="","",TODAY()-K55)</f>
        <v>3</v>
      </c>
      <c r="M55" t="s">
        <v>185</v>
      </c>
      <c r="N55">
        <f ca="1">IF(M55="","",IF(L55="",INDEX($F$110:$F$113,MATCH(M55,$C$110:$C$113,0)),IF(L55&lt;=INDEX($D$110:$D$113,MATCH(M55,$C$110:$C$113,0)),0,IF(L55&lt;=INDEX($E$110:$E$113,MATCH(M55,$C$110:$C$113,0)),INDEX($F$110:$F$113,MATCH(M55,$C$110:$C$113,0)),INDEX($G$110:$G$113,MATCH(M55,$C$110:$C$113,0))))))</f>
        <v>0</v>
      </c>
      <c r="O55">
        <f ca="1">G55+N55</f>
        <v>0</v>
      </c>
      <c r="P55" t="s">
        <v>168</v>
      </c>
      <c r="R55" t="s">
        <v>1151</v>
      </c>
    </row>
    <row r="56" spans="1:19" x14ac:dyDescent="0.2">
      <c r="A56" t="s">
        <v>1152</v>
      </c>
      <c r="B56" t="s">
        <v>1153</v>
      </c>
      <c r="C56" t="s">
        <v>1154</v>
      </c>
      <c r="D56" t="s">
        <v>182</v>
      </c>
      <c r="E56">
        <v>0</v>
      </c>
      <c r="F56">
        <f>IF(D56="High",0,IF(D56="Medium",0.05,IF(D56="Low",0.1,IF(D56="Unknown",0.15,""))))</f>
        <v>0.05</v>
      </c>
      <c r="G56">
        <f>E56*(1+F56)</f>
        <v>0</v>
      </c>
      <c r="H56" t="s">
        <v>1155</v>
      </c>
      <c r="I56" t="s">
        <v>1156</v>
      </c>
      <c r="J56" t="s">
        <v>166</v>
      </c>
      <c r="K56">
        <f>IF(I56="","",MAX(IFERROR(DATEVALUE(TRIM(MID(SUBSTITUTE(I56,";",REPT(" ",50)),1,50))),0),IFERROR(DATEVALUE(TRIM(MID(SUBSTITUTE(I56,";",REPT(" ",50)),51,50))),0),IFERROR(DATEVALUE(TRIM(MID(SUBSTITUTE(I56,";",REPT(" ",50)),101,50))),0),IFERROR(DATEVALUE(TRIM(MID(SUBSTITUTE(I56,";",REPT(" ",50)),151,50))),0),IFERROR(DATEVALUE(TRIM(MID(SUBSTITUTE(I56,";",REPT(" ",50)),201,50))),0),IFERROR(DATEVALUE(TRIM(MID(SUBSTITUTE(I56,";",REPT(" ",50)),251,50))),0),IFERROR(DATEVALUE(TRIM(MID(SUBSTITUTE(I56,";",REPT(" ",50)),301,50))),0),IFERROR(DATEVALUE(TRIM(MID(SUBSTITUTE(I56,";",REPT(" ",50)),351,50))),0),IFERROR(DATEVALUE(TRIM(MID(SUBSTITUTE(I56,";",REPT(" ",50)),401,50))),0),IFERROR(DATEVALUE(TRIM(MID(SUBSTITUTE(I56,";",REPT(" ",50)),451,50))),0)))</f>
        <v>45986</v>
      </c>
      <c r="M56" t="s">
        <v>300</v>
      </c>
      <c r="N56">
        <f>IF(M56="","",IF(L56="",INDEX($F$110:$F$113,MATCH(M56,$C$110:$C$113,0)),IF(L56&lt;=INDEX($D$110:$D$113,MATCH(M56,$C$110:$C$113,0)),0,IF(L56&lt;=INDEX($E$110:$E$113,MATCH(M56,$C$110:$C$113,0)),INDEX($F$110:$F$113,MATCH(M56,$C$110:$C$113,0)),INDEX($G$110:$G$113,MATCH(M56,$C$110:$C$113,0))))))</f>
        <v>2</v>
      </c>
      <c r="O56">
        <f>G56+N56</f>
        <v>2</v>
      </c>
      <c r="P56" t="s">
        <v>168</v>
      </c>
      <c r="Q56" t="s">
        <v>823</v>
      </c>
      <c r="R56" t="s">
        <v>1157</v>
      </c>
    </row>
    <row r="57" spans="1:19" x14ac:dyDescent="0.2">
      <c r="A57" s="3"/>
      <c r="B57" s="48"/>
      <c r="C57" s="49"/>
      <c r="D57" s="49"/>
      <c r="E57" s="49"/>
      <c r="F57" s="49"/>
      <c r="G57" s="49"/>
      <c r="H57" s="49"/>
      <c r="I57" s="49"/>
      <c r="J57" s="49"/>
      <c r="K57" s="50"/>
      <c r="L57" s="49"/>
      <c r="M57" s="49"/>
      <c r="N57" s="49"/>
      <c r="O57" s="49"/>
      <c r="P57" s="49"/>
      <c r="Q57" s="49"/>
      <c r="R57" s="49"/>
    </row>
    <row r="58" spans="1:19" x14ac:dyDescent="0.2">
      <c r="A58" t="s">
        <v>1158</v>
      </c>
      <c r="B58" t="s">
        <v>1159</v>
      </c>
      <c r="C58" t="s">
        <v>263</v>
      </c>
      <c r="D58" t="s">
        <v>163</v>
      </c>
      <c r="E58">
        <f>IF(C58="Institutional or HSM custody",0,IF(C58="Mixed model",10,IF(C58="Personal custody (individuals)",20,IF(C58="Unknown",10,""))))</f>
        <v>10</v>
      </c>
      <c r="F58">
        <f>IF(D58="High",0,IF(D58="Medium",0.05,IF(D58="Low",0.1,IF(D58="Unknown",0.15,""))))</f>
        <v>0</v>
      </c>
      <c r="G58">
        <f>E58*(1+F58)</f>
        <v>10</v>
      </c>
      <c r="H58" t="s">
        <v>1160</v>
      </c>
      <c r="I58" t="s">
        <v>1161</v>
      </c>
      <c r="J58" t="s">
        <v>166</v>
      </c>
      <c r="K58" s="24">
        <f>IF(I58="","",MAX(IFERROR(DATEVALUE(TRIM(MID(SUBSTITUTE(I58,";",REPT(" ",50)),1,50))),0),IFERROR(DATEVALUE(TRIM(MID(SUBSTITUTE(I58,";",REPT(" ",50)),51,50))),0),IFERROR(DATEVALUE(TRIM(MID(SUBSTITUTE(I58,";",REPT(" ",50)),101,50))),0),IFERROR(DATEVALUE(TRIM(MID(SUBSTITUTE(I58,";",REPT(" ",50)),151,50))),0),IFERROR(DATEVALUE(TRIM(MID(SUBSTITUTE(I58,";",REPT(" ",50)),201,50))),0),IFERROR(DATEVALUE(TRIM(MID(SUBSTITUTE(I58,";",REPT(" ",50)),251,50))),0),IFERROR(DATEVALUE(TRIM(MID(SUBSTITUTE(I58,";",REPT(" ",50)),301,50))),0),IFERROR(DATEVALUE(TRIM(MID(SUBSTITUTE(I58,";",REPT(" ",50)),351,50))),0),IFERROR(DATEVALUE(TRIM(MID(SUBSTITUTE(I58,";",REPT(" ",50)),401,50))),0),IFERROR(DATEVALUE(TRIM(MID(SUBSTITUTE(I58,";",REPT(" ",50)),451,50))),0)))</f>
        <v>45901</v>
      </c>
      <c r="L58">
        <f ca="1">IF(K58="","",TODAY()-K58)</f>
        <v>111</v>
      </c>
      <c r="M58" t="s">
        <v>300</v>
      </c>
      <c r="N58">
        <f ca="1">IF(M58="","",IF(L58="",INDEX($F$110:$F$113,MATCH(M58,$C$110:$C$113,0)),IF(L58&lt;=INDEX($D$110:$D$113,MATCH(M58,$C$110:$C$113,0)),0,IF(L58&lt;=INDEX($E$110:$E$113,MATCH(M58,$C$110:$C$113,0)),INDEX($F$110:$F$113,MATCH(M58,$C$110:$C$113,0)),INDEX($G$110:$G$113,MATCH(M58,$C$110:$C$113,0))))))</f>
        <v>0</v>
      </c>
      <c r="O58">
        <f ca="1">G58+N58</f>
        <v>10</v>
      </c>
      <c r="P58" t="str">
        <f>IF(AND(C58="Personal custody (individuals)",OR(D58="High",D58="Medium")),"Review Required","No Review")</f>
        <v>No Review</v>
      </c>
      <c r="Q58" t="s">
        <v>1162</v>
      </c>
      <c r="R58" t="s">
        <v>1163</v>
      </c>
    </row>
    <row r="59" spans="1:19" x14ac:dyDescent="0.2">
      <c r="A59" t="s">
        <v>1164</v>
      </c>
      <c r="B59" t="s">
        <v>1165</v>
      </c>
      <c r="C59" t="s">
        <v>1166</v>
      </c>
      <c r="D59" t="s">
        <v>163</v>
      </c>
      <c r="E59">
        <f>IF(C59="No incidents",0,IF(C59="Minor incident fully resolved",10,IF(C59="Significant compromise",20,IF(C59="Unknown",10,""))))</f>
        <v>20</v>
      </c>
      <c r="F59">
        <f>IF(D59="High",0,IF(D59="Medium",0.05,IF(D59="Low",0.1,IF(D59="Unknown",0.15,""))))</f>
        <v>0</v>
      </c>
      <c r="G59">
        <f>E59*(1+F59)</f>
        <v>20</v>
      </c>
      <c r="H59" t="s">
        <v>1167</v>
      </c>
      <c r="I59" t="s">
        <v>1168</v>
      </c>
      <c r="J59" t="s">
        <v>166</v>
      </c>
      <c r="K59" s="24">
        <f>IF(I59="","",MAX(IFERROR(DATEVALUE(TRIM(MID(SUBSTITUTE(I59,";",REPT(" ",50)),1,50))),0),IFERROR(DATEVALUE(TRIM(MID(SUBSTITUTE(I59,";",REPT(" ",50)),51,50))),0),IFERROR(DATEVALUE(TRIM(MID(SUBSTITUTE(I59,";",REPT(" ",50)),101,50))),0),IFERROR(DATEVALUE(TRIM(MID(SUBSTITUTE(I59,";",REPT(" ",50)),151,50))),0),IFERROR(DATEVALUE(TRIM(MID(SUBSTITUTE(I59,";",REPT(" ",50)),201,50))),0),IFERROR(DATEVALUE(TRIM(MID(SUBSTITUTE(I59,";",REPT(" ",50)),251,50))),0),IFERROR(DATEVALUE(TRIM(MID(SUBSTITUTE(I59,";",REPT(" ",50)),301,50))),0),IFERROR(DATEVALUE(TRIM(MID(SUBSTITUTE(I59,";",REPT(" ",50)),351,50))),0),IFERROR(DATEVALUE(TRIM(MID(SUBSTITUTE(I59,";",REPT(" ",50)),401,50))),0),IFERROR(DATEVALUE(TRIM(MID(SUBSTITUTE(I59,";",REPT(" ",50)),451,50))),0)))</f>
        <v>45980</v>
      </c>
      <c r="L59">
        <f ca="1">IF(K59="","",TODAY()-K59)</f>
        <v>32</v>
      </c>
      <c r="M59" t="s">
        <v>275</v>
      </c>
      <c r="N59">
        <f ca="1">IF(M59="","",IF(L59="",INDEX($F$110:$F$113,MATCH(M59,$C$110:$C$113,0)),IF(L59&lt;=INDEX($D$110:$D$113,MATCH(M59,$C$110:$C$113,0)),0,IF(L59&lt;=INDEX($E$110:$E$113,MATCH(M59,$C$110:$C$113,0)),INDEX($F$110:$F$113,MATCH(M59,$C$110:$C$113,0)),INDEX($G$110:$G$113,MATCH(M59,$C$110:$C$113,0))))))</f>
        <v>0</v>
      </c>
      <c r="O59">
        <f ca="1">G59+N59</f>
        <v>20</v>
      </c>
      <c r="P59" t="str">
        <f>IF(AND(C59="Significant compromise",OR(D59="High",D59="Medium")),"Review Required","No Review")</f>
        <v>Review Required</v>
      </c>
      <c r="Q59" t="s">
        <v>1169</v>
      </c>
      <c r="R59" t="s">
        <v>1170</v>
      </c>
    </row>
    <row r="60" spans="1:19" x14ac:dyDescent="0.2">
      <c r="A60" t="s">
        <v>1171</v>
      </c>
      <c r="B60" t="s">
        <v>1172</v>
      </c>
      <c r="C60" t="s">
        <v>1173</v>
      </c>
      <c r="D60" t="s">
        <v>182</v>
      </c>
      <c r="E60">
        <f>IF(C60="Mature documented process",0,IF(C60="Partial process",10,IF(C60="Minimal or ad-hoc",20,IF(C60="Unknown",10,""))))</f>
        <v>10</v>
      </c>
      <c r="F60">
        <f>IF(D60="High",0,IF(D60="Medium",0.05,IF(D60="Low",0.1,IF(D60="Unknown",0.15,""))))</f>
        <v>0.05</v>
      </c>
      <c r="G60">
        <f>E60*(1+F60)</f>
        <v>10.5</v>
      </c>
      <c r="H60" t="s">
        <v>1174</v>
      </c>
      <c r="I60" t="s">
        <v>1175</v>
      </c>
      <c r="J60" t="s">
        <v>166</v>
      </c>
      <c r="K60" s="24">
        <f>IF(I60="","",MAX(IFERROR(DATEVALUE(TRIM(MID(SUBSTITUTE(I60,";",REPT(" ",50)),1,50))),0),IFERROR(DATEVALUE(TRIM(MID(SUBSTITUTE(I60,";",REPT(" ",50)),51,50))),0),IFERROR(DATEVALUE(TRIM(MID(SUBSTITUTE(I60,";",REPT(" ",50)),101,50))),0),IFERROR(DATEVALUE(TRIM(MID(SUBSTITUTE(I60,";",REPT(" ",50)),151,50))),0),IFERROR(DATEVALUE(TRIM(MID(SUBSTITUTE(I60,";",REPT(" ",50)),201,50))),0),IFERROR(DATEVALUE(TRIM(MID(SUBSTITUTE(I60,";",REPT(" ",50)),251,50))),0),IFERROR(DATEVALUE(TRIM(MID(SUBSTITUTE(I60,";",REPT(" ",50)),301,50))),0),IFERROR(DATEVALUE(TRIM(MID(SUBSTITUTE(I60,";",REPT(" ",50)),351,50))),0),IFERROR(DATEVALUE(TRIM(MID(SUBSTITUTE(I60,";",REPT(" ",50)),401,50))),0),IFERROR(DATEVALUE(TRIM(MID(SUBSTITUTE(I60,";",REPT(" ",50)),451,50))),0)))</f>
        <v>45981</v>
      </c>
      <c r="L60">
        <f ca="1">IF(K60="","",TODAY()-K60)</f>
        <v>31</v>
      </c>
      <c r="M60" t="s">
        <v>300</v>
      </c>
      <c r="N60">
        <f ca="1">IF(M60="","",IF(L60="",INDEX($F$110:$F$113,MATCH(M60,$C$110:$C$113,0)),IF(L60&lt;=INDEX($D$110:$D$113,MATCH(M60,$C$110:$C$113,0)),0,IF(L60&lt;=INDEX($E$110:$E$113,MATCH(M60,$C$110:$C$113,0)),INDEX($F$110:$F$113,MATCH(M60,$C$110:$C$113,0)),INDEX($G$110:$G$113,MATCH(M60,$C$110:$C$113,0))))))</f>
        <v>0</v>
      </c>
      <c r="O60">
        <f ca="1">G60+N60</f>
        <v>10.5</v>
      </c>
      <c r="P60" t="s">
        <v>168</v>
      </c>
      <c r="R60" t="s">
        <v>1176</v>
      </c>
    </row>
    <row r="61" spans="1:19" x14ac:dyDescent="0.2">
      <c r="A61" t="s">
        <v>1177</v>
      </c>
      <c r="B61" t="s">
        <v>1178</v>
      </c>
      <c r="C61" t="s">
        <v>1179</v>
      </c>
      <c r="D61" t="s">
        <v>163</v>
      </c>
      <c r="E61">
        <v>0</v>
      </c>
      <c r="F61">
        <f>IF(D61="High",0,IF(D61="Medium",0.05,IF(D61="Low",0.1,IF(D61="Unknown",0.15,""))))</f>
        <v>0</v>
      </c>
      <c r="G61">
        <f>E61*(1+F61)</f>
        <v>0</v>
      </c>
      <c r="H61" t="s">
        <v>1180</v>
      </c>
      <c r="I61" t="s">
        <v>1181</v>
      </c>
      <c r="J61" t="s">
        <v>166</v>
      </c>
      <c r="K61">
        <f>IF(I61="","",MAX(IFERROR(DATEVALUE(TRIM(MID(SUBSTITUTE(I61,";",REPT(" ",50)),1,50))),0),IFERROR(DATEVALUE(TRIM(MID(SUBSTITUTE(I61,";",REPT(" ",50)),51,50))),0),IFERROR(DATEVALUE(TRIM(MID(SUBSTITUTE(I61,";",REPT(" ",50)),101,50))),0),IFERROR(DATEVALUE(TRIM(MID(SUBSTITUTE(I61,";",REPT(" ",50)),151,50))),0),IFERROR(DATEVALUE(TRIM(MID(SUBSTITUTE(I61,";",REPT(" ",50)),201,50))),0),IFERROR(DATEVALUE(TRIM(MID(SUBSTITUTE(I61,";",REPT(" ",50)),251,50))),0),IFERROR(DATEVALUE(TRIM(MID(SUBSTITUTE(I61,";",REPT(" ",50)),301,50))),0),IFERROR(DATEVALUE(TRIM(MID(SUBSTITUTE(I61,";",REPT(" ",50)),351,50))),0),IFERROR(DATEVALUE(TRIM(MID(SUBSTITUTE(I61,";",REPT(" ",50)),401,50))),0),IFERROR(DATEVALUE(TRIM(MID(SUBSTITUTE(I61,";",REPT(" ",50)),451,50))),0)))</f>
        <v>45986</v>
      </c>
      <c r="M61" t="s">
        <v>300</v>
      </c>
      <c r="N61">
        <f>IF(M61="","",IF(L61="",INDEX($F$110:$F$113,MATCH(M61,$C$110:$C$113,0)),IF(L61&lt;=INDEX($D$110:$D$113,MATCH(M61,$C$110:$C$113,0)),0,IF(L61&lt;=INDEX($E$110:$E$113,MATCH(M61,$C$110:$C$113,0)),INDEX($F$110:$F$113,MATCH(M61,$C$110:$C$113,0)),INDEX($G$110:$G$113,MATCH(M61,$C$110:$C$113,0))))))</f>
        <v>2</v>
      </c>
      <c r="O61">
        <f>G61+N61</f>
        <v>2</v>
      </c>
      <c r="P61" t="s">
        <v>168</v>
      </c>
      <c r="Q61" t="s">
        <v>823</v>
      </c>
      <c r="R61" t="s">
        <v>1182</v>
      </c>
    </row>
    <row r="62" spans="1:19" x14ac:dyDescent="0.2">
      <c r="A62" s="4"/>
      <c r="B62" s="5" t="s">
        <v>1183</v>
      </c>
      <c r="C62" s="4"/>
      <c r="D62" s="4"/>
      <c r="E62" s="4"/>
      <c r="F62" s="4"/>
      <c r="G62" s="4"/>
      <c r="H62" s="4"/>
      <c r="I62" s="4"/>
      <c r="J62" s="4"/>
      <c r="K62" s="23" t="str">
        <f>IF(I62="","",MAX(IFERROR(DATEVALUE(TRIM(MID(SUBSTITUTE(I62,";",REPT(" ",50)),1,50))),0),IFERROR(DATEVALUE(TRIM(MID(SUBSTITUTE(I62,";",REPT(" ",50)),51,50))),0),IFERROR(DATEVALUE(TRIM(MID(SUBSTITUTE(I62,";",REPT(" ",50)),101,50))),0),IFERROR(DATEVALUE(TRIM(MID(SUBSTITUTE(I62,";",REPT(" ",50)),151,50))),0),IFERROR(DATEVALUE(TRIM(MID(SUBSTITUTE(I62,";",REPT(" ",50)),201,50))),0),IFERROR(DATEVALUE(TRIM(MID(SUBSTITUTE(I62,";",REPT(" ",50)),251,50))),0),IFERROR(DATEVALUE(TRIM(MID(SUBSTITUTE(I62,";",REPT(" ",50)),301,50))),0),IFERROR(DATEVALUE(TRIM(MID(SUBSTITUTE(I62,";",REPT(" ",50)),351,50))),0),IFERROR(DATEVALUE(TRIM(MID(SUBSTITUTE(I62,";",REPT(" ",50)),401,50))),0),IFERROR(DATEVALUE(TRIM(MID(SUBSTITUTE(I62,";",REPT(" ",50)),451,50))),0)))</f>
        <v/>
      </c>
      <c r="L62" s="4"/>
      <c r="M62" s="4"/>
      <c r="N62" s="4" t="str">
        <f>IF(M62="","",IF(L62="",INDEX($F$110:$F$113,MATCH(M62,$C$110:$C$113,0)),IF(L62&lt;=INDEX($D$110:$D$113,MATCH(M62,$C$110:$C$113,0)),0,IF(L62&lt;=INDEX($E$110:$E$113,MATCH(M62,$C$110:$C$113,0)),INDEX($F$110:$F$113,MATCH(M62,$C$110:$C$113,0)),INDEX($G$110:$G$113,MATCH(M62,$C$110:$C$113,0))))))</f>
        <v/>
      </c>
      <c r="O62" s="4"/>
      <c r="P62" s="4"/>
      <c r="Q62" s="4"/>
      <c r="R62" s="4"/>
    </row>
    <row r="63" spans="1:19" x14ac:dyDescent="0.2">
      <c r="A63" s="3"/>
      <c r="B63" s="48"/>
      <c r="C63" s="49"/>
      <c r="D63" s="49"/>
      <c r="E63" s="49"/>
      <c r="F63" s="49"/>
      <c r="G63" s="49"/>
      <c r="H63" s="49"/>
      <c r="I63" s="49"/>
      <c r="J63" s="49"/>
      <c r="K63" s="50"/>
      <c r="L63" s="49"/>
      <c r="M63" s="49"/>
      <c r="N63" s="49"/>
      <c r="O63" s="49"/>
      <c r="P63" s="49"/>
      <c r="Q63" s="49"/>
      <c r="R63" s="49"/>
    </row>
    <row r="64" spans="1:19" x14ac:dyDescent="0.2">
      <c r="A64" t="s">
        <v>853</v>
      </c>
      <c r="B64" t="s">
        <v>1184</v>
      </c>
      <c r="C64" t="s">
        <v>1185</v>
      </c>
      <c r="D64" t="s">
        <v>163</v>
      </c>
      <c r="E64">
        <f>IF(C64="Layer-1",0,IF(C64="Layer-2 (Rollup)",0,IF(C64="App-chain/Subnet",10,IF(C64="Sidechain",10,IF(C64="Unknown",10,"")))))</f>
        <v>0</v>
      </c>
      <c r="F64">
        <f>IF(D64="High",0,IF(D64="Medium",0.05,IF(D64="Low",0.1,IF(D64="Unknown",0.15,""))))</f>
        <v>0</v>
      </c>
      <c r="G64">
        <f>E64*(1+F64)</f>
        <v>0</v>
      </c>
      <c r="H64" t="s">
        <v>1186</v>
      </c>
      <c r="I64" t="s">
        <v>1187</v>
      </c>
      <c r="J64" t="s">
        <v>166</v>
      </c>
      <c r="K64" s="24">
        <f>IF(I64="","",MAX(IFERROR(DATEVALUE(TRIM(MID(SUBSTITUTE(I64,";",REPT(" ",50)),1,50))),0),IFERROR(DATEVALUE(TRIM(MID(SUBSTITUTE(I64,";",REPT(" ",50)),51,50))),0),IFERROR(DATEVALUE(TRIM(MID(SUBSTITUTE(I64,";",REPT(" ",50)),101,50))),0),IFERROR(DATEVALUE(TRIM(MID(SUBSTITUTE(I64,";",REPT(" ",50)),151,50))),0),IFERROR(DATEVALUE(TRIM(MID(SUBSTITUTE(I64,";",REPT(" ",50)),201,50))),0),IFERROR(DATEVALUE(TRIM(MID(SUBSTITUTE(I64,";",REPT(" ",50)),251,50))),0),IFERROR(DATEVALUE(TRIM(MID(SUBSTITUTE(I64,";",REPT(" ",50)),301,50))),0),IFERROR(DATEVALUE(TRIM(MID(SUBSTITUTE(I64,";",REPT(" ",50)),351,50))),0),IFERROR(DATEVALUE(TRIM(MID(SUBSTITUTE(I64,";",REPT(" ",50)),401,50))),0),IFERROR(DATEVALUE(TRIM(MID(SUBSTITUTE(I64,";",REPT(" ",50)),451,50))),0)))</f>
        <v>46012</v>
      </c>
      <c r="L64">
        <f ca="1">IF(K64="","",TODAY()-K64)</f>
        <v>0</v>
      </c>
      <c r="M64" t="s">
        <v>167</v>
      </c>
      <c r="N64">
        <f ca="1">IF(M64="","",IF(L64="",INDEX($F$110:$F$113,MATCH(M64,$C$110:$C$113,0)),IF(L64&lt;=INDEX($D$110:$D$113,MATCH(M64,$C$110:$C$113,0)),0,IF(L64&lt;=INDEX($E$110:$E$113,MATCH(M64,$C$110:$C$113,0)),INDEX($F$110:$F$113,MATCH(M64,$C$110:$C$113,0)),INDEX($G$110:$G$113,MATCH(M64,$C$110:$C$113,0))))))</f>
        <v>0</v>
      </c>
      <c r="O64">
        <f ca="1">G64+N64</f>
        <v>0</v>
      </c>
      <c r="P64" t="s">
        <v>168</v>
      </c>
      <c r="R64" t="s">
        <v>1188</v>
      </c>
    </row>
    <row r="65" spans="1:18" x14ac:dyDescent="0.2">
      <c r="A65" t="s">
        <v>860</v>
      </c>
      <c r="B65" t="s">
        <v>1189</v>
      </c>
      <c r="C65" t="s">
        <v>1190</v>
      </c>
      <c r="D65" t="s">
        <v>163</v>
      </c>
      <c r="E65">
        <f>IF(C65="","",IF(OR(C65="High - robust history",C65="High"),0,IF(C65="Moderate",10,IF(C65="Low or repeated issues",20,IF(C65="Unknown",10,"")))))</f>
        <v>0</v>
      </c>
      <c r="F65">
        <f>IF(D65="High",0,IF(D65="Medium",0.05,IF(D65="Low",0.1,IF(D65="Unknown",0.15,""))))</f>
        <v>0</v>
      </c>
      <c r="G65">
        <f>E65*(1+F65)</f>
        <v>0</v>
      </c>
      <c r="H65" t="s">
        <v>1191</v>
      </c>
      <c r="I65" t="s">
        <v>1192</v>
      </c>
      <c r="J65" t="s">
        <v>166</v>
      </c>
      <c r="K65" s="24">
        <f>IF(I65="","",MAX(IFERROR(DATEVALUE(TRIM(MID(SUBSTITUTE(I65,";",REPT(" ",50)),1,50))),0),IFERROR(DATEVALUE(TRIM(MID(SUBSTITUTE(I65,";",REPT(" ",50)),51,50))),0),IFERROR(DATEVALUE(TRIM(MID(SUBSTITUTE(I65,";",REPT(" ",50)),101,50))),0),IFERROR(DATEVALUE(TRIM(MID(SUBSTITUTE(I65,";",REPT(" ",50)),151,50))),0),IFERROR(DATEVALUE(TRIM(MID(SUBSTITUTE(I65,";",REPT(" ",50)),201,50))),0),IFERROR(DATEVALUE(TRIM(MID(SUBSTITUTE(I65,";",REPT(" ",50)),251,50))),0),IFERROR(DATEVALUE(TRIM(MID(SUBSTITUTE(I65,";",REPT(" ",50)),301,50))),0),IFERROR(DATEVALUE(TRIM(MID(SUBSTITUTE(I65,";",REPT(" ",50)),351,50))),0),IFERROR(DATEVALUE(TRIM(MID(SUBSTITUTE(I65,";",REPT(" ",50)),401,50))),0),IFERROR(DATEVALUE(TRIM(MID(SUBSTITUTE(I65,";",REPT(" ",50)),451,50))),0)))</f>
        <v>45876</v>
      </c>
      <c r="L65">
        <f ca="1">IF(K65="","",TODAY()-K65)</f>
        <v>136</v>
      </c>
      <c r="M65" t="s">
        <v>300</v>
      </c>
      <c r="N65">
        <f ca="1">IF(M65="","",IF(L65="",INDEX($F$110:$F$113,MATCH(M65,$C$110:$C$113,0)),IF(L65&lt;=INDEX($D$110:$D$113,MATCH(M65,$C$110:$C$113,0)),0,IF(L65&lt;=INDEX($E$110:$E$113,MATCH(M65,$C$110:$C$113,0)),INDEX($F$110:$F$113,MATCH(M65,$C$110:$C$113,0)),INDEX($G$110:$G$113,MATCH(M65,$C$110:$C$113,0))))))</f>
        <v>0</v>
      </c>
      <c r="O65">
        <f ca="1">G65+N65</f>
        <v>0</v>
      </c>
      <c r="P65" t="str">
        <f>IF(AND(C65="Low or repeated issues",OR(D65="High",D65="Medium")),"Review Required","No Review")</f>
        <v>No Review</v>
      </c>
      <c r="Q65" t="s">
        <v>1193</v>
      </c>
      <c r="R65" t="s">
        <v>1194</v>
      </c>
    </row>
    <row r="66" spans="1:18" x14ac:dyDescent="0.2">
      <c r="A66" t="s">
        <v>867</v>
      </c>
      <c r="B66" t="s">
        <v>1195</v>
      </c>
      <c r="C66" t="s">
        <v>1196</v>
      </c>
      <c r="D66" t="s">
        <v>182</v>
      </c>
      <c r="E66">
        <f>IF(C66="Yes – formal/high quality audit",0,IF(C66="Yes – limited audit",10,IF(C66="No audit",20,IF(C66="Unknown",10,""))))</f>
        <v>10</v>
      </c>
      <c r="F66">
        <f>IF(D66="High",0,IF(D66="Medium",0.05,IF(D66="Low",0.1,IF(D66="Unknown",0.15,""))))</f>
        <v>0.05</v>
      </c>
      <c r="G66">
        <f>E66*(1+F66)</f>
        <v>10.5</v>
      </c>
      <c r="H66" t="s">
        <v>1197</v>
      </c>
      <c r="I66" t="s">
        <v>1198</v>
      </c>
      <c r="J66" t="s">
        <v>176</v>
      </c>
      <c r="K66" s="24">
        <f>IF(I66="","",MAX(IFERROR(DATEVALUE(TRIM(MID(SUBSTITUTE(I66,";",REPT(" ",50)),1,50))),0),IFERROR(DATEVALUE(TRIM(MID(SUBSTITUTE(I66,";",REPT(" ",50)),51,50))),0),IFERROR(DATEVALUE(TRIM(MID(SUBSTITUTE(I66,";",REPT(" ",50)),101,50))),0),IFERROR(DATEVALUE(TRIM(MID(SUBSTITUTE(I66,";",REPT(" ",50)),151,50))),0),IFERROR(DATEVALUE(TRIM(MID(SUBSTITUTE(I66,";",REPT(" ",50)),201,50))),0),IFERROR(DATEVALUE(TRIM(MID(SUBSTITUTE(I66,";",REPT(" ",50)),251,50))),0),IFERROR(DATEVALUE(TRIM(MID(SUBSTITUTE(I66,";",REPT(" ",50)),301,50))),0),IFERROR(DATEVALUE(TRIM(MID(SUBSTITUTE(I66,";",REPT(" ",50)),351,50))),0),IFERROR(DATEVALUE(TRIM(MID(SUBSTITUTE(I66,";",REPT(" ",50)),401,50))),0),IFERROR(DATEVALUE(TRIM(MID(SUBSTITUTE(I66,";",REPT(" ",50)),451,50))),0)))</f>
        <v>45985</v>
      </c>
      <c r="L66">
        <f ca="1">IF(K66="","",TODAY()-K66)</f>
        <v>27</v>
      </c>
      <c r="M66" t="s">
        <v>167</v>
      </c>
      <c r="N66">
        <f ca="1">IF(M66="","",IF(L66="",INDEX($F$110:$F$113,MATCH(M66,$C$110:$C$113,0)),IF(L66&lt;=INDEX($D$110:$D$113,MATCH(M66,$C$110:$C$113,0)),0,IF(L66&lt;=INDEX($E$110:$E$113,MATCH(M66,$C$110:$C$113,0)),INDEX($F$110:$F$113,MATCH(M66,$C$110:$C$113,0)),INDEX($G$110:$G$113,MATCH(M66,$C$110:$C$113,0))))))</f>
        <v>0</v>
      </c>
      <c r="O66">
        <f ca="1">G66+N66</f>
        <v>10.5</v>
      </c>
      <c r="P66" t="s">
        <v>168</v>
      </c>
      <c r="R66" t="s">
        <v>1199</v>
      </c>
    </row>
    <row r="67" spans="1:18" x14ac:dyDescent="0.2">
      <c r="A67" t="s">
        <v>873</v>
      </c>
      <c r="B67" t="s">
        <v>1200</v>
      </c>
      <c r="C67" t="s">
        <v>1201</v>
      </c>
      <c r="D67" t="s">
        <v>163</v>
      </c>
      <c r="E67">
        <v>0</v>
      </c>
      <c r="F67">
        <f>IF(D67="High",0,IF(D67="Medium",0.05,IF(D67="Low",0.1,IF(D67="Unknown",0.15,""))))</f>
        <v>0</v>
      </c>
      <c r="G67">
        <f>E67*(1+F67)</f>
        <v>0</v>
      </c>
      <c r="H67" t="s">
        <v>1202</v>
      </c>
      <c r="J67" t="s">
        <v>176</v>
      </c>
      <c r="K67" t="str">
        <f>IF(I67="","",MAX(IFERROR(DATEVALUE(TRIM(MID(SUBSTITUTE(I67,";",REPT(" ",50)),1,50))),0),IFERROR(DATEVALUE(TRIM(MID(SUBSTITUTE(I67,";",REPT(" ",50)),51,50))),0),IFERROR(DATEVALUE(TRIM(MID(SUBSTITUTE(I67,";",REPT(" ",50)),101,50))),0),IFERROR(DATEVALUE(TRIM(MID(SUBSTITUTE(I67,";",REPT(" ",50)),151,50))),0),IFERROR(DATEVALUE(TRIM(MID(SUBSTITUTE(I67,";",REPT(" ",50)),201,50))),0),IFERROR(DATEVALUE(TRIM(MID(SUBSTITUTE(I67,";",REPT(" ",50)),251,50))),0),IFERROR(DATEVALUE(TRIM(MID(SUBSTITUTE(I67,";",REPT(" ",50)),301,50))),0),IFERROR(DATEVALUE(TRIM(MID(SUBSTITUTE(I67,";",REPT(" ",50)),351,50))),0),IFERROR(DATEVALUE(TRIM(MID(SUBSTITUTE(I67,";",REPT(" ",50)),401,50))),0),IFERROR(DATEVALUE(TRIM(MID(SUBSTITUTE(I67,";",REPT(" ",50)),451,50))),0)))</f>
        <v/>
      </c>
      <c r="M67" t="s">
        <v>300</v>
      </c>
      <c r="N67">
        <f>IF(M67="","",IF(L67="",INDEX($F$110:$F$113,MATCH(M67,$C$110:$C$113,0)),IF(L67&lt;=INDEX($D$110:$D$113,MATCH(M67,$C$110:$C$113,0)),0,IF(L67&lt;=INDEX($E$110:$E$113,MATCH(M67,$C$110:$C$113,0)),INDEX($F$110:$F$113,MATCH(M67,$C$110:$C$113,0)),INDEX($G$110:$G$113,MATCH(M67,$C$110:$C$113,0))))))</f>
        <v>2</v>
      </c>
      <c r="O67">
        <f>G67+N67</f>
        <v>2</v>
      </c>
      <c r="P67" t="s">
        <v>168</v>
      </c>
      <c r="Q67" t="s">
        <v>823</v>
      </c>
      <c r="R67" t="s">
        <v>1203</v>
      </c>
    </row>
    <row r="68" spans="1:18" x14ac:dyDescent="0.2">
      <c r="A68" s="3"/>
      <c r="B68" s="48"/>
      <c r="C68" s="49"/>
      <c r="D68" s="49"/>
      <c r="E68" s="49"/>
      <c r="F68" s="49"/>
      <c r="G68" s="49"/>
      <c r="H68" s="49"/>
      <c r="I68" s="49"/>
      <c r="J68" s="49"/>
      <c r="K68" s="50"/>
      <c r="L68" s="49"/>
      <c r="M68" s="49"/>
      <c r="N68" s="49"/>
      <c r="O68" s="49"/>
      <c r="P68" s="49"/>
      <c r="Q68" s="49"/>
      <c r="R68" s="49"/>
    </row>
    <row r="69" spans="1:18" x14ac:dyDescent="0.2">
      <c r="A69" t="s">
        <v>877</v>
      </c>
      <c r="B69" t="s">
        <v>1204</v>
      </c>
      <c r="C69" t="s">
        <v>1205</v>
      </c>
      <c r="D69" t="s">
        <v>182</v>
      </c>
      <c r="E69">
        <f>IF(C69="Low concentration (top 5 &lt;25%)",0,IF(C69="Moderate (25–50%)",10,IF(C69="High concentration (top 5 &gt;50%)",20,IF(C69="Unknown",10,""))))</f>
        <v>20</v>
      </c>
      <c r="F69">
        <f>IF(D69="High",0,IF(D69="Medium",0.05,IF(D69="Low",0.1,IF(D69="Unknown",0.15,""))))</f>
        <v>0.05</v>
      </c>
      <c r="G69">
        <f>E69*(1+F69)</f>
        <v>21</v>
      </c>
      <c r="H69" t="s">
        <v>1206</v>
      </c>
      <c r="I69" t="s">
        <v>1207</v>
      </c>
      <c r="J69" t="s">
        <v>176</v>
      </c>
      <c r="K69" s="24">
        <f>IF(I69="","",MAX(IFERROR(DATEVALUE(TRIM(MID(SUBSTITUTE(I69,";",REPT(" ",50)),1,50))),0),IFERROR(DATEVALUE(TRIM(MID(SUBSTITUTE(I69,";",REPT(" ",50)),51,50))),0),IFERROR(DATEVALUE(TRIM(MID(SUBSTITUTE(I69,";",REPT(" ",50)),101,50))),0),IFERROR(DATEVALUE(TRIM(MID(SUBSTITUTE(I69,";",REPT(" ",50)),151,50))),0),IFERROR(DATEVALUE(TRIM(MID(SUBSTITUTE(I69,";",REPT(" ",50)),201,50))),0),IFERROR(DATEVALUE(TRIM(MID(SUBSTITUTE(I69,";",REPT(" ",50)),251,50))),0),IFERROR(DATEVALUE(TRIM(MID(SUBSTITUTE(I69,";",REPT(" ",50)),301,50))),0),IFERROR(DATEVALUE(TRIM(MID(SUBSTITUTE(I69,";",REPT(" ",50)),351,50))),0),IFERROR(DATEVALUE(TRIM(MID(SUBSTITUTE(I69,";",REPT(" ",50)),401,50))),0),IFERROR(DATEVALUE(TRIM(MID(SUBSTITUTE(I69,";",REPT(" ",50)),451,50))),0)))</f>
        <v>45931</v>
      </c>
      <c r="L69">
        <f ca="1">IF(K69="","",TODAY()-K69)</f>
        <v>81</v>
      </c>
      <c r="M69" t="s">
        <v>185</v>
      </c>
      <c r="N69">
        <f ca="1">IF(M69="","",IF(L69="",INDEX($F$110:$F$113,MATCH(M69,$C$110:$C$113,0)),IF(L69&lt;=INDEX($D$110:$D$113,MATCH(M69,$C$110:$C$113,0)),0,IF(L69&lt;=INDEX($E$110:$E$113,MATCH(M69,$C$110:$C$113,0)),INDEX($F$110:$F$113,MATCH(M69,$C$110:$C$113,0)),INDEX($G$110:$G$113,MATCH(M69,$C$110:$C$113,0))))))</f>
        <v>0</v>
      </c>
      <c r="O69">
        <f ca="1">G69+N69</f>
        <v>21</v>
      </c>
      <c r="P69" t="str">
        <f>IF(AND(C69="High concentration (top 5 &gt;50%)",OR(D69="High",D69="Medium")),"Review Required","No Review")</f>
        <v>Review Required</v>
      </c>
      <c r="Q69" t="s">
        <v>1208</v>
      </c>
      <c r="R69" t="s">
        <v>1209</v>
      </c>
    </row>
    <row r="70" spans="1:18" x14ac:dyDescent="0.2">
      <c r="A70" t="s">
        <v>884</v>
      </c>
      <c r="B70" t="s">
        <v>1210</v>
      </c>
      <c r="C70" t="s">
        <v>1211</v>
      </c>
      <c r="D70" t="s">
        <v>182</v>
      </c>
      <c r="E70">
        <f>IF(C70="No censorship reported",0,IF(C70="Minor/isolated incidents",10,IF(C70="Documented or sustained censorship",20,IF(C70="Unknown",10,""))))</f>
        <v>10</v>
      </c>
      <c r="F70">
        <f>IF(D70="High",0,IF(D70="Medium",0.05,IF(D70="Low",0.1,IF(D70="Unknown",0.15,""))))</f>
        <v>0.05</v>
      </c>
      <c r="G70">
        <f>E70*(1+F70)</f>
        <v>10.5</v>
      </c>
      <c r="H70" t="s">
        <v>1212</v>
      </c>
      <c r="I70" t="s">
        <v>1213</v>
      </c>
      <c r="J70" t="s">
        <v>176</v>
      </c>
      <c r="K70" s="24">
        <f>IF(I70="","",MAX(IFERROR(DATEVALUE(TRIM(MID(SUBSTITUTE(I70,";",REPT(" ",50)),1,50))),0),IFERROR(DATEVALUE(TRIM(MID(SUBSTITUTE(I70,";",REPT(" ",50)),51,50))),0),IFERROR(DATEVALUE(TRIM(MID(SUBSTITUTE(I70,";",REPT(" ",50)),101,50))),0),IFERROR(DATEVALUE(TRIM(MID(SUBSTITUTE(I70,";",REPT(" ",50)),151,50))),0),IFERROR(DATEVALUE(TRIM(MID(SUBSTITUTE(I70,";",REPT(" ",50)),201,50))),0),IFERROR(DATEVALUE(TRIM(MID(SUBSTITUTE(I70,";",REPT(" ",50)),251,50))),0),IFERROR(DATEVALUE(TRIM(MID(SUBSTITUTE(I70,";",REPT(" ",50)),301,50))),0),IFERROR(DATEVALUE(TRIM(MID(SUBSTITUTE(I70,";",REPT(" ",50)),351,50))),0),IFERROR(DATEVALUE(TRIM(MID(SUBSTITUTE(I70,";",REPT(" ",50)),401,50))),0),IFERROR(DATEVALUE(TRIM(MID(SUBSTITUTE(I70,";",REPT(" ",50)),451,50))),0)))</f>
        <v>45906</v>
      </c>
      <c r="L70">
        <f ca="1">IF(K70="","",TODAY()-K70)</f>
        <v>106</v>
      </c>
      <c r="M70" t="s">
        <v>185</v>
      </c>
      <c r="N70">
        <f ca="1">IF(M70="","",IF(L70="",INDEX($F$110:$F$113,MATCH(M70,$C$110:$C$113,0)),IF(L70&lt;=INDEX($D$110:$D$113,MATCH(M70,$C$110:$C$113,0)),0,IF(L70&lt;=INDEX($E$110:$E$113,MATCH(M70,$C$110:$C$113,0)),INDEX($F$110:$F$113,MATCH(M70,$C$110:$C$113,0)),INDEX($G$110:$G$113,MATCH(M70,$C$110:$C$113,0))))))</f>
        <v>0</v>
      </c>
      <c r="O70">
        <f ca="1">G70+N70</f>
        <v>10.5</v>
      </c>
      <c r="P70" t="str">
        <f>IF(AND(C70="Documented or sustained censorship",OR(D70="High",D70="Medium")),"Review Required","No Review")</f>
        <v>No Review</v>
      </c>
      <c r="Q70" t="s">
        <v>1214</v>
      </c>
      <c r="R70" t="s">
        <v>1215</v>
      </c>
    </row>
    <row r="71" spans="1:18" x14ac:dyDescent="0.2">
      <c r="A71" t="s">
        <v>890</v>
      </c>
      <c r="B71" t="s">
        <v>1216</v>
      </c>
      <c r="C71" t="s">
        <v>263</v>
      </c>
      <c r="D71" t="s">
        <v>182</v>
      </c>
      <c r="E71">
        <f>IF(C71="High reliability",0,IF(C71="Moderate",10,IF(C71="Low reliability or repeated liveness failures",20,IF(C71="Unknown",10,""))))</f>
        <v>10</v>
      </c>
      <c r="F71">
        <f>IF(D71="High",0,IF(D71="Medium",0.05,IF(D71="Low",0.1,IF(D71="Unknown",0.15,""))))</f>
        <v>0.05</v>
      </c>
      <c r="G71">
        <f>E71*(1+F71)</f>
        <v>10.5</v>
      </c>
      <c r="H71" t="s">
        <v>1217</v>
      </c>
      <c r="I71" t="s">
        <v>1218</v>
      </c>
      <c r="J71" t="s">
        <v>166</v>
      </c>
      <c r="K71" s="24">
        <f>IF(I71="","",MAX(IFERROR(DATEVALUE(TRIM(MID(SUBSTITUTE(I71,";",REPT(" ",50)),1,50))),0),IFERROR(DATEVALUE(TRIM(MID(SUBSTITUTE(I71,";",REPT(" ",50)),51,50))),0),IFERROR(DATEVALUE(TRIM(MID(SUBSTITUTE(I71,";",REPT(" ",50)),101,50))),0),IFERROR(DATEVALUE(TRIM(MID(SUBSTITUTE(I71,";",REPT(" ",50)),151,50))),0),IFERROR(DATEVALUE(TRIM(MID(SUBSTITUTE(I71,";",REPT(" ",50)),201,50))),0),IFERROR(DATEVALUE(TRIM(MID(SUBSTITUTE(I71,";",REPT(" ",50)),251,50))),0),IFERROR(DATEVALUE(TRIM(MID(SUBSTITUTE(I71,";",REPT(" ",50)),301,50))),0),IFERROR(DATEVALUE(TRIM(MID(SUBSTITUTE(I71,";",REPT(" ",50)),351,50))),0),IFERROR(DATEVALUE(TRIM(MID(SUBSTITUTE(I71,";",REPT(" ",50)),401,50))),0),IFERROR(DATEVALUE(TRIM(MID(SUBSTITUTE(I71,";",REPT(" ",50)),451,50))),0)))</f>
        <v>45902</v>
      </c>
      <c r="L71">
        <f ca="1">IF(K71="","",TODAY()-K71)</f>
        <v>110</v>
      </c>
      <c r="M71" t="s">
        <v>185</v>
      </c>
      <c r="N71">
        <f ca="1">IF(M71="","",IF(L71="",INDEX($F$110:$F$113,MATCH(M71,$C$110:$C$113,0)),IF(L71&lt;=INDEX($D$110:$D$113,MATCH(M71,$C$110:$C$113,0)),0,IF(L71&lt;=INDEX($E$110:$E$113,MATCH(M71,$C$110:$C$113,0)),INDEX($F$110:$F$113,MATCH(M71,$C$110:$C$113,0)),INDEX($G$110:$G$113,MATCH(M71,$C$110:$C$113,0))))))</f>
        <v>0</v>
      </c>
      <c r="O71">
        <f ca="1">G71+N71</f>
        <v>10.5</v>
      </c>
      <c r="P71" t="s">
        <v>168</v>
      </c>
      <c r="R71" t="s">
        <v>1219</v>
      </c>
    </row>
    <row r="72" spans="1:18" x14ac:dyDescent="0.2">
      <c r="A72" t="s">
        <v>897</v>
      </c>
      <c r="B72" t="s">
        <v>1220</v>
      </c>
      <c r="C72" t="s">
        <v>1221</v>
      </c>
      <c r="D72" t="s">
        <v>163</v>
      </c>
      <c r="E72">
        <v>0</v>
      </c>
      <c r="F72">
        <f>IF(D72="High",0,IF(D72="Medium",0.05,IF(D72="Low",0.1,IF(D72="Unknown",0.15,""))))</f>
        <v>0</v>
      </c>
      <c r="G72">
        <f>E72*(1+F72)</f>
        <v>0</v>
      </c>
      <c r="H72" t="s">
        <v>1222</v>
      </c>
      <c r="I72" t="s">
        <v>1223</v>
      </c>
      <c r="J72" t="s">
        <v>166</v>
      </c>
      <c r="K72">
        <f>IF(I72="","",MAX(IFERROR(DATEVALUE(TRIM(MID(SUBSTITUTE(I72,";",REPT(" ",50)),1,50))),0),IFERROR(DATEVALUE(TRIM(MID(SUBSTITUTE(I72,";",REPT(" ",50)),51,50))),0),IFERROR(DATEVALUE(TRIM(MID(SUBSTITUTE(I72,";",REPT(" ",50)),101,50))),0),IFERROR(DATEVALUE(TRIM(MID(SUBSTITUTE(I72,";",REPT(" ",50)),151,50))),0),IFERROR(DATEVALUE(TRIM(MID(SUBSTITUTE(I72,";",REPT(" ",50)),201,50))),0),IFERROR(DATEVALUE(TRIM(MID(SUBSTITUTE(I72,";",REPT(" ",50)),251,50))),0),IFERROR(DATEVALUE(TRIM(MID(SUBSTITUTE(I72,";",REPT(" ",50)),301,50))),0),IFERROR(DATEVALUE(TRIM(MID(SUBSTITUTE(I72,";",REPT(" ",50)),351,50))),0),IFERROR(DATEVALUE(TRIM(MID(SUBSTITUTE(I72,";",REPT(" ",50)),401,50))),0),IFERROR(DATEVALUE(TRIM(MID(SUBSTITUTE(I72,";",REPT(" ",50)),451,50))),0)))</f>
        <v>46011</v>
      </c>
      <c r="M72" t="s">
        <v>185</v>
      </c>
      <c r="N72">
        <f>IF(M72="","",IF(L72="",INDEX($F$110:$F$113,MATCH(M72,$C$110:$C$113,0)),IF(L72&lt;=INDEX($D$110:$D$113,MATCH(M72,$C$110:$C$113,0)),0,IF(L72&lt;=INDEX($E$110:$E$113,MATCH(M72,$C$110:$C$113,0)),INDEX($F$110:$F$113,MATCH(M72,$C$110:$C$113,0)),INDEX($G$110:$G$113,MATCH(M72,$C$110:$C$113,0))))))</f>
        <v>3</v>
      </c>
      <c r="O72">
        <f>G72+N72</f>
        <v>3</v>
      </c>
      <c r="P72" t="s">
        <v>168</v>
      </c>
      <c r="Q72" t="s">
        <v>823</v>
      </c>
      <c r="R72" t="s">
        <v>1224</v>
      </c>
    </row>
    <row r="73" spans="1:18" x14ac:dyDescent="0.2">
      <c r="A73" s="3"/>
      <c r="B73" s="48"/>
      <c r="C73" s="49"/>
      <c r="D73" s="49"/>
      <c r="E73" s="49"/>
      <c r="F73" s="49"/>
      <c r="G73" s="49"/>
      <c r="H73" s="49"/>
      <c r="I73" s="49"/>
      <c r="J73" s="49"/>
      <c r="K73" s="50"/>
      <c r="L73" s="49"/>
      <c r="M73" s="49"/>
      <c r="N73" s="49"/>
      <c r="O73" s="49"/>
      <c r="P73" s="49"/>
      <c r="Q73" s="49"/>
      <c r="R73" s="49"/>
    </row>
    <row r="74" spans="1:18" x14ac:dyDescent="0.2">
      <c r="A74" t="s">
        <v>1225</v>
      </c>
      <c r="B74" t="s">
        <v>1226</v>
      </c>
      <c r="C74" t="s">
        <v>1227</v>
      </c>
      <c r="D74" t="s">
        <v>163</v>
      </c>
      <c r="E74">
        <f>IF(C74="Low MEV exposure",0,IF(C74="Moderate exposure",10,IF(C74="High MEV exposure",20,IF(C74="Unknown",10,""))))</f>
        <v>20</v>
      </c>
      <c r="F74">
        <f>IF(D74="High",0,IF(D74="Medium",0.05,IF(D74="Low",0.1,IF(D74="Unknown",0.15,""))))</f>
        <v>0</v>
      </c>
      <c r="G74">
        <f>E74*(1+F74)</f>
        <v>20</v>
      </c>
      <c r="H74" t="s">
        <v>1228</v>
      </c>
      <c r="I74" t="s">
        <v>1229</v>
      </c>
      <c r="J74" t="s">
        <v>166</v>
      </c>
      <c r="K74" s="24">
        <f>IF(I74="","",MAX(IFERROR(DATEVALUE(TRIM(MID(SUBSTITUTE(I74,";",REPT(" ",50)),1,50))),0),IFERROR(DATEVALUE(TRIM(MID(SUBSTITUTE(I74,";",REPT(" ",50)),51,50))),0),IFERROR(DATEVALUE(TRIM(MID(SUBSTITUTE(I74,";",REPT(" ",50)),101,50))),0),IFERROR(DATEVALUE(TRIM(MID(SUBSTITUTE(I74,";",REPT(" ",50)),151,50))),0),IFERROR(DATEVALUE(TRIM(MID(SUBSTITUTE(I74,";",REPT(" ",50)),201,50))),0),IFERROR(DATEVALUE(TRIM(MID(SUBSTITUTE(I74,";",REPT(" ",50)),251,50))),0),IFERROR(DATEVALUE(TRIM(MID(SUBSTITUTE(I74,";",REPT(" ",50)),301,50))),0),IFERROR(DATEVALUE(TRIM(MID(SUBSTITUTE(I74,";",REPT(" ",50)),351,50))),0),IFERROR(DATEVALUE(TRIM(MID(SUBSTITUTE(I74,";",REPT(" ",50)),401,50))),0),IFERROR(DATEVALUE(TRIM(MID(SUBSTITUTE(I74,";",REPT(" ",50)),451,50))),0)))</f>
        <v>45903</v>
      </c>
      <c r="L74">
        <f ca="1">IF(K74="","",TODAY()-K74)</f>
        <v>109</v>
      </c>
      <c r="M74" t="s">
        <v>185</v>
      </c>
      <c r="N74">
        <f ca="1">IF(M74="","",IF(L74="",INDEX($F$110:$F$113,MATCH(M74,$C$110:$C$113,0)),IF(L74&lt;=INDEX($D$110:$D$113,MATCH(M74,$C$110:$C$113,0)),0,IF(L74&lt;=INDEX($E$110:$E$113,MATCH(M74,$C$110:$C$113,0)),INDEX($F$110:$F$113,MATCH(M74,$C$110:$C$113,0)),INDEX($G$110:$G$113,MATCH(M74,$C$110:$C$113,0))))))</f>
        <v>0</v>
      </c>
      <c r="O74">
        <f ca="1">G74+N74</f>
        <v>20</v>
      </c>
      <c r="P74" t="s">
        <v>168</v>
      </c>
      <c r="R74" t="s">
        <v>1230</v>
      </c>
    </row>
    <row r="75" spans="1:18" x14ac:dyDescent="0.2">
      <c r="A75" t="s">
        <v>1231</v>
      </c>
      <c r="B75" t="s">
        <v>1232</v>
      </c>
      <c r="C75" t="s">
        <v>1233</v>
      </c>
      <c r="D75" t="s">
        <v>163</v>
      </c>
      <c r="E75">
        <f>IF(C75="Strong finality",0,IF(C75="Moderate finality",10,IF(C75="Weak finality/rollback risk",20,IF(C75="Unknown",10,""))))</f>
        <v>0</v>
      </c>
      <c r="F75">
        <f>IF(D75="High",0,IF(D75="Medium",0.05,IF(D75="Low",0.1,IF(D75="Unknown",0.15,""))))</f>
        <v>0</v>
      </c>
      <c r="G75">
        <f>E75*(1+F75)</f>
        <v>0</v>
      </c>
      <c r="H75" t="s">
        <v>1234</v>
      </c>
      <c r="J75" t="s">
        <v>166</v>
      </c>
      <c r="K75" s="24" t="str">
        <f>IF(I75="","",MAX(IFERROR(DATEVALUE(TRIM(MID(SUBSTITUTE(I75,";",REPT(" ",50)),1,50))),0),IFERROR(DATEVALUE(TRIM(MID(SUBSTITUTE(I75,";",REPT(" ",50)),51,50))),0),IFERROR(DATEVALUE(TRIM(MID(SUBSTITUTE(I75,";",REPT(" ",50)),101,50))),0),IFERROR(DATEVALUE(TRIM(MID(SUBSTITUTE(I75,";",REPT(" ",50)),151,50))),0),IFERROR(DATEVALUE(TRIM(MID(SUBSTITUTE(I75,";",REPT(" ",50)),201,50))),0),IFERROR(DATEVALUE(TRIM(MID(SUBSTITUTE(I75,";",REPT(" ",50)),251,50))),0),IFERROR(DATEVALUE(TRIM(MID(SUBSTITUTE(I75,";",REPT(" ",50)),301,50))),0),IFERROR(DATEVALUE(TRIM(MID(SUBSTITUTE(I75,";",REPT(" ",50)),351,50))),0),IFERROR(DATEVALUE(TRIM(MID(SUBSTITUTE(I75,";",REPT(" ",50)),401,50))),0),IFERROR(DATEVALUE(TRIM(MID(SUBSTITUTE(I75,";",REPT(" ",50)),451,50))),0)))</f>
        <v/>
      </c>
      <c r="L75" t="str">
        <f ca="1">IF(K75="","",TODAY()-K75)</f>
        <v/>
      </c>
      <c r="M75" t="s">
        <v>167</v>
      </c>
      <c r="N75">
        <f ca="1">IF(M75="","",IF(L75="",INDEX($F$110:$F$113,MATCH(M75,$C$110:$C$113,0)),IF(L75&lt;=INDEX($D$110:$D$113,MATCH(M75,$C$110:$C$113,0)),0,IF(L75&lt;=INDEX($E$110:$E$113,MATCH(M75,$C$110:$C$113,0)),INDEX($F$110:$F$113,MATCH(M75,$C$110:$C$113,0)),INDEX($G$110:$G$113,MATCH(M75,$C$110:$C$113,0))))))</f>
        <v>0</v>
      </c>
      <c r="O75">
        <f ca="1">G75+N75</f>
        <v>0</v>
      </c>
      <c r="P75" t="str">
        <f>IF(AND(C75="Weak finality/rollback risk",OR(D75="High",D75="Medium")),"Review Required","No Review")</f>
        <v>No Review</v>
      </c>
      <c r="Q75" t="s">
        <v>1235</v>
      </c>
      <c r="R75" t="s">
        <v>1236</v>
      </c>
    </row>
    <row r="76" spans="1:18" x14ac:dyDescent="0.2">
      <c r="A76" t="s">
        <v>1237</v>
      </c>
      <c r="B76" t="s">
        <v>1238</v>
      </c>
      <c r="C76" t="s">
        <v>1239</v>
      </c>
      <c r="D76" t="s">
        <v>182</v>
      </c>
      <c r="E76">
        <f>IF(C76="No reorgs",0,IF(C76="Minor reorgs",10,IF(C76="Major or repeated reorgs",20,IF(C76="Unknown",10,""))))</f>
        <v>10</v>
      </c>
      <c r="F76">
        <f>IF(D76="High",0,IF(D76="Medium",0.05,IF(D76="Low",0.1,IF(D76="Unknown",0.15,""))))</f>
        <v>0.05</v>
      </c>
      <c r="G76">
        <f>E76*(1+F76)</f>
        <v>10.5</v>
      </c>
      <c r="H76" t="s">
        <v>1240</v>
      </c>
      <c r="I76" t="s">
        <v>1241</v>
      </c>
      <c r="J76" t="s">
        <v>176</v>
      </c>
      <c r="K76" s="24">
        <f>IF(I76="","",MAX(IFERROR(DATEVALUE(TRIM(MID(SUBSTITUTE(I76,";",REPT(" ",50)),1,50))),0),IFERROR(DATEVALUE(TRIM(MID(SUBSTITUTE(I76,";",REPT(" ",50)),51,50))),0),IFERROR(DATEVALUE(TRIM(MID(SUBSTITUTE(I76,";",REPT(" ",50)),101,50))),0),IFERROR(DATEVALUE(TRIM(MID(SUBSTITUTE(I76,";",REPT(" ",50)),151,50))),0),IFERROR(DATEVALUE(TRIM(MID(SUBSTITUTE(I76,";",REPT(" ",50)),201,50))),0),IFERROR(DATEVALUE(TRIM(MID(SUBSTITUTE(I76,";",REPT(" ",50)),251,50))),0),IFERROR(DATEVALUE(TRIM(MID(SUBSTITUTE(I76,";",REPT(" ",50)),301,50))),0),IFERROR(DATEVALUE(TRIM(MID(SUBSTITUTE(I76,";",REPT(" ",50)),351,50))),0),IFERROR(DATEVALUE(TRIM(MID(SUBSTITUTE(I76,";",REPT(" ",50)),401,50))),0),IFERROR(DATEVALUE(TRIM(MID(SUBSTITUTE(I76,";",REPT(" ",50)),451,50))),0)))</f>
        <v>45306</v>
      </c>
      <c r="L76">
        <f ca="1">IF(K76="","",TODAY()-K76)</f>
        <v>706</v>
      </c>
      <c r="M76" t="s">
        <v>275</v>
      </c>
      <c r="N76">
        <f ca="1">IF(M76="","",IF(L76="",INDEX($F$110:$F$113,MATCH(M76,$C$110:$C$113,0)),IF(L76&lt;=INDEX($D$110:$D$113,MATCH(M76,$C$110:$C$113,0)),0,IF(L76&lt;=INDEX($E$110:$E$113,MATCH(M76,$C$110:$C$113,0)),INDEX($F$110:$F$113,MATCH(M76,$C$110:$C$113,0)),INDEX($G$110:$G$113,MATCH(M76,$C$110:$C$113,0))))))</f>
        <v>10</v>
      </c>
      <c r="O76">
        <f ca="1">G76+N76</f>
        <v>20.5</v>
      </c>
      <c r="P76" t="str">
        <f>IF(AND(C76="Major or repeated reorgs",OR(D76="High",D76="Medium")),"Review Required","No Review")</f>
        <v>No Review</v>
      </c>
      <c r="Q76" t="s">
        <v>1242</v>
      </c>
      <c r="R76" t="s">
        <v>1243</v>
      </c>
    </row>
    <row r="77" spans="1:18" x14ac:dyDescent="0.2">
      <c r="A77" t="s">
        <v>1244</v>
      </c>
      <c r="B77" t="s">
        <v>1245</v>
      </c>
      <c r="C77" t="s">
        <v>1246</v>
      </c>
      <c r="D77" t="s">
        <v>182</v>
      </c>
      <c r="E77">
        <v>0</v>
      </c>
      <c r="F77">
        <f>IF(D77="High",0,IF(D77="Medium",0.05,IF(D77="Low",0.1,IF(D77="Unknown",0.15,""))))</f>
        <v>0.05</v>
      </c>
      <c r="G77">
        <f>E77*(1+F77)</f>
        <v>0</v>
      </c>
      <c r="H77" t="s">
        <v>1247</v>
      </c>
      <c r="I77" t="s">
        <v>1248</v>
      </c>
      <c r="J77" t="s">
        <v>166</v>
      </c>
      <c r="K77">
        <f>IF(I77="","",MAX(IFERROR(DATEVALUE(TRIM(MID(SUBSTITUTE(I77,";",REPT(" ",50)),1,50))),0),IFERROR(DATEVALUE(TRIM(MID(SUBSTITUTE(I77,";",REPT(" ",50)),51,50))),0),IFERROR(DATEVALUE(TRIM(MID(SUBSTITUTE(I77,";",REPT(" ",50)),101,50))),0),IFERROR(DATEVALUE(TRIM(MID(SUBSTITUTE(I77,";",REPT(" ",50)),151,50))),0),IFERROR(DATEVALUE(TRIM(MID(SUBSTITUTE(I77,";",REPT(" ",50)),201,50))),0),IFERROR(DATEVALUE(TRIM(MID(SUBSTITUTE(I77,";",REPT(" ",50)),251,50))),0),IFERROR(DATEVALUE(TRIM(MID(SUBSTITUTE(I77,";",REPT(" ",50)),301,50))),0),IFERROR(DATEVALUE(TRIM(MID(SUBSTITUTE(I77,";",REPT(" ",50)),351,50))),0),IFERROR(DATEVALUE(TRIM(MID(SUBSTITUTE(I77,";",REPT(" ",50)),401,50))),0),IFERROR(DATEVALUE(TRIM(MID(SUBSTITUTE(I77,";",REPT(" ",50)),451,50))),0)))</f>
        <v>45597</v>
      </c>
      <c r="M77" t="s">
        <v>185</v>
      </c>
      <c r="N77">
        <f>IF(M77="","",IF(L77="",INDEX($F$110:$F$113,MATCH(M77,$C$110:$C$113,0)),IF(L77&lt;=INDEX($D$110:$D$113,MATCH(M77,$C$110:$C$113,0)),0,IF(L77&lt;=INDEX($E$110:$E$113,MATCH(M77,$C$110:$C$113,0)),INDEX($F$110:$F$113,MATCH(M77,$C$110:$C$113,0)),INDEX($G$110:$G$113,MATCH(M77,$C$110:$C$113,0))))))</f>
        <v>3</v>
      </c>
      <c r="O77">
        <f>G77+N77</f>
        <v>3</v>
      </c>
      <c r="P77" t="s">
        <v>168</v>
      </c>
      <c r="Q77" t="s">
        <v>823</v>
      </c>
      <c r="R77" t="s">
        <v>1249</v>
      </c>
    </row>
    <row r="78" spans="1:18" x14ac:dyDescent="0.2">
      <c r="A78" s="3"/>
      <c r="B78" s="48"/>
      <c r="C78" s="49"/>
      <c r="D78" s="49"/>
      <c r="E78" s="49"/>
      <c r="F78" s="49"/>
      <c r="G78" s="49"/>
      <c r="H78" s="49"/>
      <c r="I78" s="49"/>
      <c r="J78" s="49"/>
      <c r="K78" s="50"/>
      <c r="L78" s="49"/>
      <c r="M78" s="49"/>
      <c r="N78" s="49"/>
      <c r="O78" s="49"/>
      <c r="P78" s="49"/>
      <c r="Q78" s="49"/>
      <c r="R78" s="49"/>
    </row>
    <row r="79" spans="1:18" x14ac:dyDescent="0.2">
      <c r="A79" t="s">
        <v>1250</v>
      </c>
      <c r="B79" t="s">
        <v>1251</v>
      </c>
      <c r="C79" t="s">
        <v>1252</v>
      </c>
      <c r="D79" t="s">
        <v>182</v>
      </c>
      <c r="E79">
        <f>IF(C79="No failures",0,IF(C79="Minor/short-lived event",10,IF(C79="Major or repeated failures",20,IF(C79="Unknown",10,""))))</f>
        <v>0</v>
      </c>
      <c r="F79">
        <f>IF(D79="High",0,IF(D79="Medium",0.05,IF(D79="Low",0.1,IF(D79="Unknown",0.15,""))))</f>
        <v>0.05</v>
      </c>
      <c r="G79">
        <f>E79*(1+F79)</f>
        <v>0</v>
      </c>
      <c r="H79" t="s">
        <v>1253</v>
      </c>
      <c r="J79" t="s">
        <v>176</v>
      </c>
      <c r="K79" s="24" t="str">
        <f>IF(I79="","",MAX(IFERROR(DATEVALUE(TRIM(MID(SUBSTITUTE(I79,";",REPT(" ",50)),1,50))),0),IFERROR(DATEVALUE(TRIM(MID(SUBSTITUTE(I79,";",REPT(" ",50)),51,50))),0),IFERROR(DATEVALUE(TRIM(MID(SUBSTITUTE(I79,";",REPT(" ",50)),101,50))),0),IFERROR(DATEVALUE(TRIM(MID(SUBSTITUTE(I79,";",REPT(" ",50)),151,50))),0),IFERROR(DATEVALUE(TRIM(MID(SUBSTITUTE(I79,";",REPT(" ",50)),201,50))),0),IFERROR(DATEVALUE(TRIM(MID(SUBSTITUTE(I79,";",REPT(" ",50)),251,50))),0),IFERROR(DATEVALUE(TRIM(MID(SUBSTITUTE(I79,";",REPT(" ",50)),301,50))),0),IFERROR(DATEVALUE(TRIM(MID(SUBSTITUTE(I79,";",REPT(" ",50)),351,50))),0),IFERROR(DATEVALUE(TRIM(MID(SUBSTITUTE(I79,";",REPT(" ",50)),401,50))),0),IFERROR(DATEVALUE(TRIM(MID(SUBSTITUTE(I79,";",REPT(" ",50)),451,50))),0)))</f>
        <v/>
      </c>
      <c r="L79" t="str">
        <f ca="1">IF(K79="","",TODAY()-K79)</f>
        <v/>
      </c>
      <c r="M79" t="s">
        <v>275</v>
      </c>
      <c r="N79">
        <f ca="1">IF(M79="","",IF(L79="",INDEX($F$110:$F$113,MATCH(M79,$C$110:$C$113,0)),IF(L79&lt;=INDEX($D$110:$D$113,MATCH(M79,$C$110:$C$113,0)),0,IF(L79&lt;=INDEX($E$110:$E$113,MATCH(M79,$C$110:$C$113,0)),INDEX($F$110:$F$113,MATCH(M79,$C$110:$C$113,0)),INDEX($G$110:$G$113,MATCH(M79,$C$110:$C$113,0))))))</f>
        <v>5</v>
      </c>
      <c r="O79">
        <f ca="1">G79+N79</f>
        <v>5</v>
      </c>
      <c r="P79" t="s">
        <v>168</v>
      </c>
      <c r="R79" t="s">
        <v>1254</v>
      </c>
    </row>
    <row r="80" spans="1:18" x14ac:dyDescent="0.2">
      <c r="A80" t="s">
        <v>1255</v>
      </c>
      <c r="B80" t="s">
        <v>1256</v>
      </c>
      <c r="C80" t="s">
        <v>1257</v>
      </c>
      <c r="D80" t="s">
        <v>182</v>
      </c>
      <c r="E80">
        <f>IF(C80="No breaches",0,IF(C80="Minor issue fully resolved",10,IF(C80="Significant breach",20,IF(C80="Unknown",10,""))))</f>
        <v>0</v>
      </c>
      <c r="F80">
        <f>IF(D80="High",0,IF(D80="Medium",0.05,IF(D80="Low",0.1,IF(D80="Unknown",0.15,""))))</f>
        <v>0.05</v>
      </c>
      <c r="G80">
        <f>E80*(1+F80)</f>
        <v>0</v>
      </c>
      <c r="H80" t="s">
        <v>1258</v>
      </c>
      <c r="I80" t="s">
        <v>1259</v>
      </c>
      <c r="J80" t="s">
        <v>166</v>
      </c>
      <c r="K80" s="24">
        <f>IF(I80="","",MAX(IFERROR(DATEVALUE(TRIM(MID(SUBSTITUTE(I80,";",REPT(" ",50)),1,50))),0),IFERROR(DATEVALUE(TRIM(MID(SUBSTITUTE(I80,";",REPT(" ",50)),51,50))),0),IFERROR(DATEVALUE(TRIM(MID(SUBSTITUTE(I80,";",REPT(" ",50)),101,50))),0),IFERROR(DATEVALUE(TRIM(MID(SUBSTITUTE(I80,";",REPT(" ",50)),151,50))),0),IFERROR(DATEVALUE(TRIM(MID(SUBSTITUTE(I80,";",REPT(" ",50)),201,50))),0),IFERROR(DATEVALUE(TRIM(MID(SUBSTITUTE(I80,";",REPT(" ",50)),251,50))),0),IFERROR(DATEVALUE(TRIM(MID(SUBSTITUTE(I80,";",REPT(" ",50)),301,50))),0),IFERROR(DATEVALUE(TRIM(MID(SUBSTITUTE(I80,";",REPT(" ",50)),351,50))),0),IFERROR(DATEVALUE(TRIM(MID(SUBSTITUTE(I80,";",REPT(" ",50)),401,50))),0),IFERROR(DATEVALUE(TRIM(MID(SUBSTITUTE(I80,";",REPT(" ",50)),451,50))),0)))</f>
        <v>45981</v>
      </c>
      <c r="L80">
        <f ca="1">IF(K80="","",TODAY()-K80)</f>
        <v>31</v>
      </c>
      <c r="M80" t="s">
        <v>275</v>
      </c>
      <c r="N80">
        <f ca="1">IF(M80="","",IF(L80="",INDEX($F$110:$F$113,MATCH(M80,$C$110:$C$113,0)),IF(L80&lt;=INDEX($D$110:$D$113,MATCH(M80,$C$110:$C$113,0)),0,IF(L80&lt;=INDEX($E$110:$E$113,MATCH(M80,$C$110:$C$113,0)),INDEX($F$110:$F$113,MATCH(M80,$C$110:$C$113,0)),INDEX($G$110:$G$113,MATCH(M80,$C$110:$C$113,0))))))</f>
        <v>0</v>
      </c>
      <c r="O80">
        <f ca="1">G80+N80</f>
        <v>0</v>
      </c>
      <c r="P80" t="s">
        <v>168</v>
      </c>
      <c r="R80" t="s">
        <v>1260</v>
      </c>
    </row>
    <row r="81" spans="1:18" x14ac:dyDescent="0.2">
      <c r="A81" t="s">
        <v>1261</v>
      </c>
      <c r="B81" t="s">
        <v>1262</v>
      </c>
      <c r="C81" t="s">
        <v>181</v>
      </c>
      <c r="D81" t="s">
        <v>163</v>
      </c>
      <c r="E81">
        <v>0</v>
      </c>
      <c r="F81">
        <f>IF(D81="High",0,IF(D81="Medium",0.05,IF(D81="Low",0.1,IF(D81="Unknown",0.15,""))))</f>
        <v>0</v>
      </c>
      <c r="G81">
        <f>E81*(1+F81)</f>
        <v>0</v>
      </c>
      <c r="H81" t="s">
        <v>1263</v>
      </c>
      <c r="I81" t="s">
        <v>1264</v>
      </c>
      <c r="J81" t="s">
        <v>176</v>
      </c>
      <c r="K81">
        <f>IF(I81="","",MAX(IFERROR(DATEVALUE(TRIM(MID(SUBSTITUTE(I81,";",REPT(" ",50)),1,50))),0),IFERROR(DATEVALUE(TRIM(MID(SUBSTITUTE(I81,";",REPT(" ",50)),51,50))),0),IFERROR(DATEVALUE(TRIM(MID(SUBSTITUTE(I81,";",REPT(" ",50)),101,50))),0),IFERROR(DATEVALUE(TRIM(MID(SUBSTITUTE(I81,";",REPT(" ",50)),151,50))),0),IFERROR(DATEVALUE(TRIM(MID(SUBSTITUTE(I81,";",REPT(" ",50)),201,50))),0),IFERROR(DATEVALUE(TRIM(MID(SUBSTITUTE(I81,";",REPT(" ",50)),251,50))),0),IFERROR(DATEVALUE(TRIM(MID(SUBSTITUTE(I81,";",REPT(" ",50)),301,50))),0),IFERROR(DATEVALUE(TRIM(MID(SUBSTITUTE(I81,";",REPT(" ",50)),351,50))),0),IFERROR(DATEVALUE(TRIM(MID(SUBSTITUTE(I81,";",REPT(" ",50)),401,50))),0),IFERROR(DATEVALUE(TRIM(MID(SUBSTITUTE(I81,";",REPT(" ",50)),451,50))),0)))</f>
        <v>42571</v>
      </c>
      <c r="M81" t="s">
        <v>275</v>
      </c>
      <c r="N81">
        <f>IF(M81="","",IF(L81="",INDEX($F$110:$F$113,MATCH(M81,$C$110:$C$113,0)),IF(L81&lt;=INDEX($D$110:$D$113,MATCH(M81,$C$110:$C$113,0)),0,IF(L81&lt;=INDEX($E$110:$E$113,MATCH(M81,$C$110:$C$113,0)),INDEX($F$110:$F$113,MATCH(M81,$C$110:$C$113,0)),INDEX($G$110:$G$113,MATCH(M81,$C$110:$C$113,0))))))</f>
        <v>5</v>
      </c>
      <c r="O81">
        <f>G81+N81</f>
        <v>5</v>
      </c>
      <c r="P81" t="str">
        <f>IF(AND(OR(C79="Major or repeated failures",C76="Major or repeated reorgs"),C80="Significant breach",OR(D79="High",D79="Medium",D76="High",D76="Medium",D80="High",D80="Medium")),"Review Required","No Review")</f>
        <v>No Review</v>
      </c>
      <c r="Q81" t="s">
        <v>1265</v>
      </c>
      <c r="R81" t="s">
        <v>1266</v>
      </c>
    </row>
    <row r="82" spans="1:18" x14ac:dyDescent="0.2">
      <c r="A82" t="s">
        <v>1267</v>
      </c>
      <c r="B82" t="s">
        <v>1268</v>
      </c>
      <c r="C82" t="s">
        <v>1269</v>
      </c>
      <c r="D82" t="s">
        <v>182</v>
      </c>
      <c r="E82">
        <v>0</v>
      </c>
      <c r="F82">
        <f>IF(D82="High",0,IF(D82="Medium",0.05,IF(D82="Low",0.1,IF(D82="Unknown",0.15,""))))</f>
        <v>0.05</v>
      </c>
      <c r="G82">
        <f>E82*(1+F82)</f>
        <v>0</v>
      </c>
      <c r="H82" t="s">
        <v>1270</v>
      </c>
      <c r="I82" t="s">
        <v>1271</v>
      </c>
      <c r="J82" t="s">
        <v>166</v>
      </c>
      <c r="K82">
        <f>IF(I82="","",MAX(IFERROR(DATEVALUE(TRIM(MID(SUBSTITUTE(I82,";",REPT(" ",50)),1,50))),0),IFERROR(DATEVALUE(TRIM(MID(SUBSTITUTE(I82,";",REPT(" ",50)),51,50))),0),IFERROR(DATEVALUE(TRIM(MID(SUBSTITUTE(I82,";",REPT(" ",50)),101,50))),0),IFERROR(DATEVALUE(TRIM(MID(SUBSTITUTE(I82,";",REPT(" ",50)),151,50))),0),IFERROR(DATEVALUE(TRIM(MID(SUBSTITUTE(I82,";",REPT(" ",50)),201,50))),0),IFERROR(DATEVALUE(TRIM(MID(SUBSTITUTE(I82,";",REPT(" ",50)),251,50))),0),IFERROR(DATEVALUE(TRIM(MID(SUBSTITUTE(I82,";",REPT(" ",50)),301,50))),0),IFERROR(DATEVALUE(TRIM(MID(SUBSTITUTE(I82,";",REPT(" ",50)),351,50))),0),IFERROR(DATEVALUE(TRIM(MID(SUBSTITUTE(I82,";",REPT(" ",50)),401,50))),0),IFERROR(DATEVALUE(TRIM(MID(SUBSTITUTE(I82,";",REPT(" ",50)),451,50))),0)))</f>
        <v>45985</v>
      </c>
      <c r="M82" t="s">
        <v>275</v>
      </c>
      <c r="N82">
        <f>IF(M82="","",IF(L82="",INDEX($F$110:$F$113,MATCH(M82,$C$110:$C$113,0)),IF(L82&lt;=INDEX($D$110:$D$113,MATCH(M82,$C$110:$C$113,0)),0,IF(L82&lt;=INDEX($E$110:$E$113,MATCH(M82,$C$110:$C$113,0)),INDEX($F$110:$F$113,MATCH(M82,$C$110:$C$113,0)),INDEX($G$110:$G$113,MATCH(M82,$C$110:$C$113,0))))))</f>
        <v>5</v>
      </c>
      <c r="O82">
        <f>G82+N82</f>
        <v>5</v>
      </c>
      <c r="P82" t="s">
        <v>168</v>
      </c>
      <c r="Q82" t="s">
        <v>823</v>
      </c>
      <c r="R82" t="s">
        <v>1272</v>
      </c>
    </row>
    <row r="83" spans="1:18" x14ac:dyDescent="0.2">
      <c r="A83" s="4"/>
      <c r="B83" s="5" t="s">
        <v>1273</v>
      </c>
      <c r="C83" s="4"/>
      <c r="D83" s="4"/>
      <c r="E83" s="4"/>
      <c r="F83" s="4"/>
      <c r="G83" s="4"/>
      <c r="H83" s="4"/>
      <c r="I83" s="4"/>
      <c r="J83" s="4"/>
      <c r="K83" s="23" t="str">
        <f>IF(I83="","",MAX(IFERROR(DATEVALUE(TRIM(MID(SUBSTITUTE(I83,";",REPT(" ",50)),1,50))),0),IFERROR(DATEVALUE(TRIM(MID(SUBSTITUTE(I83,";",REPT(" ",50)),51,50))),0),IFERROR(DATEVALUE(TRIM(MID(SUBSTITUTE(I83,";",REPT(" ",50)),101,50))),0),IFERROR(DATEVALUE(TRIM(MID(SUBSTITUTE(I83,";",REPT(" ",50)),151,50))),0),IFERROR(DATEVALUE(TRIM(MID(SUBSTITUTE(I83,";",REPT(" ",50)),201,50))),0),IFERROR(DATEVALUE(TRIM(MID(SUBSTITUTE(I83,";",REPT(" ",50)),251,50))),0),IFERROR(DATEVALUE(TRIM(MID(SUBSTITUTE(I83,";",REPT(" ",50)),301,50))),0),IFERROR(DATEVALUE(TRIM(MID(SUBSTITUTE(I83,";",REPT(" ",50)),351,50))),0),IFERROR(DATEVALUE(TRIM(MID(SUBSTITUTE(I83,";",REPT(" ",50)),401,50))),0),IFERROR(DATEVALUE(TRIM(MID(SUBSTITUTE(I83,";",REPT(" ",50)),451,50))),0)))</f>
        <v/>
      </c>
      <c r="L83" s="4"/>
      <c r="M83" s="4"/>
      <c r="N83" s="4" t="str">
        <f>IF(M83="","",IF(L83="",INDEX($F$110:$F$113,MATCH(M83,$C$110:$C$113,0)),IF(L83&lt;=INDEX($D$110:$D$113,MATCH(M83,$C$110:$C$113,0)),0,IF(L83&lt;=INDEX($E$110:$E$113,MATCH(M83,$C$110:$C$113,0)),INDEX($F$110:$F$113,MATCH(M83,$C$110:$C$113,0)),INDEX($G$110:$G$113,MATCH(M83,$C$110:$C$113,0))))))</f>
        <v/>
      </c>
      <c r="O83" s="4"/>
      <c r="P83" s="4"/>
      <c r="Q83" s="4"/>
      <c r="R83" s="4"/>
    </row>
    <row r="84" spans="1:18" x14ac:dyDescent="0.2">
      <c r="A84" s="3"/>
      <c r="B84" s="48"/>
      <c r="C84" s="49"/>
      <c r="D84" s="49"/>
      <c r="E84" s="49"/>
      <c r="F84" s="49"/>
      <c r="G84" s="49"/>
      <c r="H84" s="49"/>
      <c r="I84" s="49"/>
      <c r="J84" s="49"/>
      <c r="K84" s="50"/>
      <c r="L84" s="49"/>
      <c r="M84" s="49"/>
      <c r="N84" s="49"/>
      <c r="O84" s="49"/>
      <c r="P84" s="49"/>
      <c r="Q84" s="49"/>
      <c r="R84" s="49"/>
    </row>
    <row r="85" spans="1:18" x14ac:dyDescent="0.2">
      <c r="A85" t="s">
        <v>432</v>
      </c>
      <c r="B85" t="s">
        <v>1274</v>
      </c>
      <c r="C85" t="s">
        <v>263</v>
      </c>
      <c r="D85" t="s">
        <v>182</v>
      </c>
      <c r="E85">
        <f>IF(C85="Highly diversified (multiple providers)",0,IF(C85="Moderately diversified",10,IF(C85="Single provider dependency",20,IF(C85="Unknown",10,""))))</f>
        <v>10</v>
      </c>
      <c r="F85">
        <f>IF(D85="High",0,IF(D85="Medium",0.05,IF(D85="Low",0.1,IF(D85="Unknown",0.15,""))))</f>
        <v>0.05</v>
      </c>
      <c r="G85">
        <f>E85*(1+F85)</f>
        <v>10.5</v>
      </c>
      <c r="K85" s="24" t="str">
        <f>IF(I85="","",MAX(IFERROR(DATEVALUE(TRIM(MID(SUBSTITUTE(I85,";",REPT(" ",50)),1,50))),0),IFERROR(DATEVALUE(TRIM(MID(SUBSTITUTE(I85,";",REPT(" ",50)),51,50))),0),IFERROR(DATEVALUE(TRIM(MID(SUBSTITUTE(I85,";",REPT(" ",50)),101,50))),0),IFERROR(DATEVALUE(TRIM(MID(SUBSTITUTE(I85,";",REPT(" ",50)),151,50))),0),IFERROR(DATEVALUE(TRIM(MID(SUBSTITUTE(I85,";",REPT(" ",50)),201,50))),0),IFERROR(DATEVALUE(TRIM(MID(SUBSTITUTE(I85,";",REPT(" ",50)),251,50))),0),IFERROR(DATEVALUE(TRIM(MID(SUBSTITUTE(I85,";",REPT(" ",50)),301,50))),0),IFERROR(DATEVALUE(TRIM(MID(SUBSTITUTE(I85,";",REPT(" ",50)),351,50))),0),IFERROR(DATEVALUE(TRIM(MID(SUBSTITUTE(I85,";",REPT(" ",50)),401,50))),0),IFERROR(DATEVALUE(TRIM(MID(SUBSTITUTE(I85,";",REPT(" ",50)),451,50))),0)))</f>
        <v/>
      </c>
      <c r="L85" t="str">
        <f ca="1">IF(K85="","",TODAY()-K85)</f>
        <v/>
      </c>
      <c r="M85" t="s">
        <v>185</v>
      </c>
      <c r="N85">
        <f ca="1">IF(M85="","",IF(L85="",INDEX($F$110:$F$113,MATCH(M85,$C$110:$C$113,0)),IF(L85&lt;=INDEX($D$110:$D$113,MATCH(M85,$C$110:$C$113,0)),0,IF(L85&lt;=INDEX($E$110:$E$113,MATCH(M85,$C$110:$C$113,0)),INDEX($F$110:$F$113,MATCH(M85,$C$110:$C$113,0)),INDEX($G$110:$G$113,MATCH(M85,$C$110:$C$113,0))))))</f>
        <v>3</v>
      </c>
      <c r="O85">
        <f ca="1">G85+N85</f>
        <v>13.5</v>
      </c>
      <c r="P85" t="s">
        <v>168</v>
      </c>
      <c r="R85" t="s">
        <v>1275</v>
      </c>
    </row>
    <row r="86" spans="1:18" x14ac:dyDescent="0.2">
      <c r="A86" t="s">
        <v>439</v>
      </c>
      <c r="B86" t="s">
        <v>1276</v>
      </c>
      <c r="C86" t="s">
        <v>1277</v>
      </c>
      <c r="D86" t="s">
        <v>182</v>
      </c>
      <c r="E86">
        <f>IF(C86="High reliability",0,IF(C86="Moderate reliability",10,IF(C86="Repeated outages/instability",20,IF(C86="Unknown",10,""))))</f>
        <v>10</v>
      </c>
      <c r="F86">
        <f>IF(D86="High",0,IF(D86="Medium",0.05,IF(D86="Low",0.1,IF(D86="Unknown",0.15,""))))</f>
        <v>0.05</v>
      </c>
      <c r="G86">
        <f>E86*(1+F86)</f>
        <v>10.5</v>
      </c>
      <c r="H86" t="s">
        <v>1278</v>
      </c>
      <c r="I86" t="s">
        <v>1279</v>
      </c>
      <c r="J86" t="s">
        <v>166</v>
      </c>
      <c r="K86" s="24">
        <f>IF(I86="","",MAX(IFERROR(DATEVALUE(TRIM(MID(SUBSTITUTE(I86,";",REPT(" ",50)),1,50))),0),IFERROR(DATEVALUE(TRIM(MID(SUBSTITUTE(I86,";",REPT(" ",50)),51,50))),0),IFERROR(DATEVALUE(TRIM(MID(SUBSTITUTE(I86,";",REPT(" ",50)),101,50))),0),IFERROR(DATEVALUE(TRIM(MID(SUBSTITUTE(I86,";",REPT(" ",50)),151,50))),0),IFERROR(DATEVALUE(TRIM(MID(SUBSTITUTE(I86,";",REPT(" ",50)),201,50))),0),IFERROR(DATEVALUE(TRIM(MID(SUBSTITUTE(I86,";",REPT(" ",50)),251,50))),0),IFERROR(DATEVALUE(TRIM(MID(SUBSTITUTE(I86,";",REPT(" ",50)),301,50))),0),IFERROR(DATEVALUE(TRIM(MID(SUBSTITUTE(I86,";",REPT(" ",50)),351,50))),0),IFERROR(DATEVALUE(TRIM(MID(SUBSTITUTE(I86,";",REPT(" ",50)),401,50))),0),IFERROR(DATEVALUE(TRIM(MID(SUBSTITUTE(I86,";",REPT(" ",50)),451,50))),0)))</f>
        <v>44155</v>
      </c>
      <c r="L86">
        <f ca="1">IF(K86="","",TODAY()-K86)</f>
        <v>1857</v>
      </c>
      <c r="M86" t="s">
        <v>185</v>
      </c>
      <c r="N86">
        <f ca="1">IF(M86="","",IF(L86="",INDEX($F$110:$F$113,MATCH(M86,$C$110:$C$113,0)),IF(L86&lt;=INDEX($D$110:$D$113,MATCH(M86,$C$110:$C$113,0)),0,IF(L86&lt;=INDEX($E$110:$E$113,MATCH(M86,$C$110:$C$113,0)),INDEX($F$110:$F$113,MATCH(M86,$C$110:$C$113,0)),INDEX($G$110:$G$113,MATCH(M86,$C$110:$C$113,0))))))</f>
        <v>6</v>
      </c>
      <c r="O86">
        <f ca="1">G86+N86</f>
        <v>16.5</v>
      </c>
      <c r="P86" t="s">
        <v>168</v>
      </c>
      <c r="R86" t="s">
        <v>1280</v>
      </c>
    </row>
    <row r="87" spans="1:18" x14ac:dyDescent="0.2">
      <c r="A87" t="s">
        <v>444</v>
      </c>
      <c r="B87" t="s">
        <v>1281</v>
      </c>
      <c r="C87" t="s">
        <v>263</v>
      </c>
      <c r="D87" t="s">
        <v>217</v>
      </c>
      <c r="E87">
        <f>IF(C87="Decentralised",0,IF(C87="Partially decentralised",10,IF(C87="Centralised infra",20,IF(C87="Unknown",10,""))))</f>
        <v>10</v>
      </c>
      <c r="F87">
        <f>IF(D87="High",0,IF(D87="Medium",0.05,IF(D87="Low",0.1,IF(D87="Unknown",0.15,""))))</f>
        <v>0.1</v>
      </c>
      <c r="G87">
        <f>E87*(1+F87)</f>
        <v>11</v>
      </c>
      <c r="H87" t="s">
        <v>1282</v>
      </c>
      <c r="I87" t="s">
        <v>1283</v>
      </c>
      <c r="J87" t="s">
        <v>176</v>
      </c>
      <c r="K87" s="24">
        <f>IF(I87="","",MAX(IFERROR(DATEVALUE(TRIM(MID(SUBSTITUTE(I87,";",REPT(" ",50)),1,50))),0),IFERROR(DATEVALUE(TRIM(MID(SUBSTITUTE(I87,";",REPT(" ",50)),51,50))),0),IFERROR(DATEVALUE(TRIM(MID(SUBSTITUTE(I87,";",REPT(" ",50)),101,50))),0),IFERROR(DATEVALUE(TRIM(MID(SUBSTITUTE(I87,";",REPT(" ",50)),151,50))),0),IFERROR(DATEVALUE(TRIM(MID(SUBSTITUTE(I87,";",REPT(" ",50)),201,50))),0),IFERROR(DATEVALUE(TRIM(MID(SUBSTITUTE(I87,";",REPT(" ",50)),251,50))),0),IFERROR(DATEVALUE(TRIM(MID(SUBSTITUTE(I87,";",REPT(" ",50)),301,50))),0),IFERROR(DATEVALUE(TRIM(MID(SUBSTITUTE(I87,";",REPT(" ",50)),351,50))),0),IFERROR(DATEVALUE(TRIM(MID(SUBSTITUTE(I87,";",REPT(" ",50)),401,50))),0),IFERROR(DATEVALUE(TRIM(MID(SUBSTITUTE(I87,";",REPT(" ",50)),451,50))),0)))</f>
        <v>45892</v>
      </c>
      <c r="L87">
        <f ca="1">IF(K87="","",TODAY()-K87)</f>
        <v>120</v>
      </c>
      <c r="M87" t="s">
        <v>300</v>
      </c>
      <c r="N87">
        <f ca="1">IF(M87="","",IF(L87="",INDEX($F$110:$F$113,MATCH(M87,$C$110:$C$113,0)),IF(L87&lt;=INDEX($D$110:$D$113,MATCH(M87,$C$110:$C$113,0)),0,IF(L87&lt;=INDEX($E$110:$E$113,MATCH(M87,$C$110:$C$113,0)),INDEX($F$110:$F$113,MATCH(M87,$C$110:$C$113,0)),INDEX($G$110:$G$113,MATCH(M87,$C$110:$C$113,0))))))</f>
        <v>0</v>
      </c>
      <c r="O87">
        <f ca="1">G87+N87</f>
        <v>11</v>
      </c>
      <c r="P87" t="str">
        <f>IF(AND(C87="Centralised infra",OR(D87="High",D87="Medium")),"Review Required","No Review")</f>
        <v>No Review</v>
      </c>
      <c r="Q87" t="s">
        <v>1284</v>
      </c>
      <c r="R87" t="s">
        <v>1285</v>
      </c>
    </row>
    <row r="88" spans="1:18" x14ac:dyDescent="0.2">
      <c r="A88" t="s">
        <v>454</v>
      </c>
      <c r="B88" t="s">
        <v>1286</v>
      </c>
      <c r="C88" t="s">
        <v>1287</v>
      </c>
      <c r="D88" t="s">
        <v>182</v>
      </c>
      <c r="E88">
        <v>0</v>
      </c>
      <c r="F88">
        <f>IF(D88="High",0,IF(D88="Medium",0.05,IF(D88="Low",0.1,IF(D88="Unknown",0.15,""))))</f>
        <v>0.05</v>
      </c>
      <c r="G88">
        <f>E88*(1+F88)</f>
        <v>0</v>
      </c>
      <c r="H88" t="s">
        <v>1288</v>
      </c>
      <c r="I88" t="s">
        <v>1289</v>
      </c>
      <c r="J88" t="s">
        <v>166</v>
      </c>
      <c r="K88">
        <f>IF(I88="","",MAX(IFERROR(DATEVALUE(TRIM(MID(SUBSTITUTE(I88,";",REPT(" ",50)),1,50))),0),IFERROR(DATEVALUE(TRIM(MID(SUBSTITUTE(I88,";",REPT(" ",50)),51,50))),0),IFERROR(DATEVALUE(TRIM(MID(SUBSTITUTE(I88,";",REPT(" ",50)),101,50))),0),IFERROR(DATEVALUE(TRIM(MID(SUBSTITUTE(I88,";",REPT(" ",50)),151,50))),0),IFERROR(DATEVALUE(TRIM(MID(SUBSTITUTE(I88,";",REPT(" ",50)),201,50))),0),IFERROR(DATEVALUE(TRIM(MID(SUBSTITUTE(I88,";",REPT(" ",50)),251,50))),0),IFERROR(DATEVALUE(TRIM(MID(SUBSTITUTE(I88,";",REPT(" ",50)),301,50))),0),IFERROR(DATEVALUE(TRIM(MID(SUBSTITUTE(I88,";",REPT(" ",50)),351,50))),0),IFERROR(DATEVALUE(TRIM(MID(SUBSTITUTE(I88,";",REPT(" ",50)),401,50))),0),IFERROR(DATEVALUE(TRIM(MID(SUBSTITUTE(I88,";",REPT(" ",50)),451,50))),0)))</f>
        <v>45902</v>
      </c>
      <c r="M88" t="s">
        <v>300</v>
      </c>
      <c r="N88">
        <f>IF(M88="","",IF(L88="",INDEX($F$110:$F$113,MATCH(M88,$C$110:$C$113,0)),IF(L88&lt;=INDEX($D$110:$D$113,MATCH(M88,$C$110:$C$113,0)),0,IF(L88&lt;=INDEX($E$110:$E$113,MATCH(M88,$C$110:$C$113,0)),INDEX($F$110:$F$113,MATCH(M88,$C$110:$C$113,0)),INDEX($G$110:$G$113,MATCH(M88,$C$110:$C$113,0))))))</f>
        <v>2</v>
      </c>
      <c r="O88">
        <f>G88+N88</f>
        <v>2</v>
      </c>
      <c r="P88" t="s">
        <v>168</v>
      </c>
      <c r="Q88" t="s">
        <v>823</v>
      </c>
      <c r="R88" t="s">
        <v>1290</v>
      </c>
    </row>
    <row r="89" spans="1:18" x14ac:dyDescent="0.2">
      <c r="A89" s="3"/>
      <c r="B89" s="48"/>
      <c r="C89" s="49"/>
      <c r="D89" s="49"/>
      <c r="E89" s="49"/>
      <c r="F89" s="49"/>
      <c r="G89" s="49"/>
      <c r="H89" s="49"/>
      <c r="I89" s="49"/>
      <c r="J89" s="49"/>
      <c r="K89" s="50"/>
      <c r="L89" s="49"/>
      <c r="M89" s="49"/>
      <c r="N89" s="49"/>
      <c r="O89" s="49"/>
      <c r="P89" s="49"/>
      <c r="Q89" s="49"/>
      <c r="R89" s="49"/>
    </row>
    <row r="90" spans="1:18" x14ac:dyDescent="0.2">
      <c r="A90" t="s">
        <v>460</v>
      </c>
      <c r="B90" t="s">
        <v>1291</v>
      </c>
      <c r="C90" t="s">
        <v>1292</v>
      </c>
      <c r="D90" t="s">
        <v>182</v>
      </c>
      <c r="E90">
        <f>IF(C90="High diversity (multiple clients)",0,IF(C90="Moderate diversity",10,IF(C90="Single dominant client (&gt;90%)",20,IF(C90="Unknown",10,""))))</f>
        <v>10</v>
      </c>
      <c r="F90">
        <f>IF(D90="High",0,IF(D90="Medium",0.05,IF(D90="Low",0.1,IF(D90="Unknown",0.15,""))))</f>
        <v>0.05</v>
      </c>
      <c r="G90">
        <f>E90*(1+F90)</f>
        <v>10.5</v>
      </c>
      <c r="H90" t="s">
        <v>1293</v>
      </c>
      <c r="J90" t="s">
        <v>176</v>
      </c>
      <c r="K90" s="24" t="str">
        <f>IF(I90="","",MAX(IFERROR(DATEVALUE(TRIM(MID(SUBSTITUTE(I90,";",REPT(" ",50)),1,50))),0),IFERROR(DATEVALUE(TRIM(MID(SUBSTITUTE(I90,";",REPT(" ",50)),51,50))),0),IFERROR(DATEVALUE(TRIM(MID(SUBSTITUTE(I90,";",REPT(" ",50)),101,50))),0),IFERROR(DATEVALUE(TRIM(MID(SUBSTITUTE(I90,";",REPT(" ",50)),151,50))),0),IFERROR(DATEVALUE(TRIM(MID(SUBSTITUTE(I90,";",REPT(" ",50)),201,50))),0),IFERROR(DATEVALUE(TRIM(MID(SUBSTITUTE(I90,";",REPT(" ",50)),251,50))),0),IFERROR(DATEVALUE(TRIM(MID(SUBSTITUTE(I90,";",REPT(" ",50)),301,50))),0),IFERROR(DATEVALUE(TRIM(MID(SUBSTITUTE(I90,";",REPT(" ",50)),351,50))),0),IFERROR(DATEVALUE(TRIM(MID(SUBSTITUTE(I90,";",REPT(" ",50)),401,50))),0),IFERROR(DATEVALUE(TRIM(MID(SUBSTITUTE(I90,";",REPT(" ",50)),451,50))),0)))</f>
        <v/>
      </c>
      <c r="L90" t="str">
        <f ca="1">IF(K90="","",TODAY()-K90)</f>
        <v/>
      </c>
      <c r="M90" t="s">
        <v>300</v>
      </c>
      <c r="N90">
        <f ca="1">IF(M90="","",IF(L90="",INDEX($F$110:$F$113,MATCH(M90,$C$110:$C$113,0)),IF(L90&lt;=INDEX($D$110:$D$113,MATCH(M90,$C$110:$C$113,0)),0,IF(L90&lt;=INDEX($E$110:$E$113,MATCH(M90,$C$110:$C$113,0)),INDEX($F$110:$F$113,MATCH(M90,$C$110:$C$113,0)),INDEX($G$110:$G$113,MATCH(M90,$C$110:$C$113,0))))))</f>
        <v>2</v>
      </c>
      <c r="O90">
        <f ca="1">G90+N90</f>
        <v>12.5</v>
      </c>
      <c r="P90" t="s">
        <v>168</v>
      </c>
      <c r="R90" t="s">
        <v>1294</v>
      </c>
    </row>
    <row r="91" spans="1:18" x14ac:dyDescent="0.2">
      <c r="A91" t="s">
        <v>466</v>
      </c>
      <c r="B91" t="s">
        <v>1295</v>
      </c>
      <c r="C91" t="s">
        <v>1296</v>
      </c>
      <c r="D91" t="s">
        <v>182</v>
      </c>
      <c r="E91">
        <f>IF(C91="Actively maintained",0,IF(C91="Moderately maintained",10,IF(C91="Poorly maintained/infrequent updates",20,IF(C91="Unknown",10,""))))</f>
        <v>0</v>
      </c>
      <c r="F91">
        <f>IF(D91="High",0,IF(D91="Medium",0.05,IF(D91="Low",0.1,IF(D91="Unknown",0.15,""))))</f>
        <v>0.05</v>
      </c>
      <c r="G91">
        <f>E91*(1+F91)</f>
        <v>0</v>
      </c>
      <c r="H91" t="s">
        <v>1297</v>
      </c>
      <c r="J91" t="s">
        <v>166</v>
      </c>
      <c r="K91" s="24" t="str">
        <f>IF(I91="","",MAX(IFERROR(DATEVALUE(TRIM(MID(SUBSTITUTE(I91,";",REPT(" ",50)),1,50))),0),IFERROR(DATEVALUE(TRIM(MID(SUBSTITUTE(I91,";",REPT(" ",50)),51,50))),0),IFERROR(DATEVALUE(TRIM(MID(SUBSTITUTE(I91,";",REPT(" ",50)),101,50))),0),IFERROR(DATEVALUE(TRIM(MID(SUBSTITUTE(I91,";",REPT(" ",50)),151,50))),0),IFERROR(DATEVALUE(TRIM(MID(SUBSTITUTE(I91,";",REPT(" ",50)),201,50))),0),IFERROR(DATEVALUE(TRIM(MID(SUBSTITUTE(I91,";",REPT(" ",50)),251,50))),0),IFERROR(DATEVALUE(TRIM(MID(SUBSTITUTE(I91,";",REPT(" ",50)),301,50))),0),IFERROR(DATEVALUE(TRIM(MID(SUBSTITUTE(I91,";",REPT(" ",50)),351,50))),0),IFERROR(DATEVALUE(TRIM(MID(SUBSTITUTE(I91,";",REPT(" ",50)),401,50))),0),IFERROR(DATEVALUE(TRIM(MID(SUBSTITUTE(I91,";",REPT(" ",50)),451,50))),0)))</f>
        <v/>
      </c>
      <c r="L91" t="str">
        <f ca="1">IF(K91="","",TODAY()-K91)</f>
        <v/>
      </c>
      <c r="M91" t="s">
        <v>300</v>
      </c>
      <c r="N91">
        <f ca="1">IF(M91="","",IF(L91="",INDEX($F$110:$F$113,MATCH(M91,$C$110:$C$113,0)),IF(L91&lt;=INDEX($D$110:$D$113,MATCH(M91,$C$110:$C$113,0)),0,IF(L91&lt;=INDEX($E$110:$E$113,MATCH(M91,$C$110:$C$113,0)),INDEX($F$110:$F$113,MATCH(M91,$C$110:$C$113,0)),INDEX($G$110:$G$113,MATCH(M91,$C$110:$C$113,0))))))</f>
        <v>2</v>
      </c>
      <c r="O91">
        <f ca="1">G91+N91</f>
        <v>2</v>
      </c>
      <c r="P91" t="s">
        <v>168</v>
      </c>
      <c r="R91" t="s">
        <v>1298</v>
      </c>
    </row>
    <row r="92" spans="1:18" x14ac:dyDescent="0.2">
      <c r="A92" t="s">
        <v>472</v>
      </c>
      <c r="B92" t="s">
        <v>1299</v>
      </c>
      <c r="C92" t="s">
        <v>263</v>
      </c>
      <c r="D92" t="s">
        <v>217</v>
      </c>
      <c r="E92">
        <f>IF(C92="No significant issues",0,IF(C92="Some minor issues",10,IF(C92="Major or recurring client bugs",20,IF(C92="Unknown",10,""))))</f>
        <v>10</v>
      </c>
      <c r="F92">
        <f>IF(D92="High",0,IF(D92="Medium",0.05,IF(D92="Low",0.1,IF(D92="Unknown",0.15,""))))</f>
        <v>0.1</v>
      </c>
      <c r="G92">
        <f>E92*(1+F92)</f>
        <v>11</v>
      </c>
      <c r="H92" t="s">
        <v>1300</v>
      </c>
      <c r="I92" t="s">
        <v>1301</v>
      </c>
      <c r="J92" t="s">
        <v>176</v>
      </c>
      <c r="K92" s="24">
        <f>IF(I92="","",MAX(IFERROR(DATEVALUE(TRIM(MID(SUBSTITUTE(I92,";",REPT(" ",50)),1,50))),0),IFERROR(DATEVALUE(TRIM(MID(SUBSTITUTE(I92,";",REPT(" ",50)),51,50))),0),IFERROR(DATEVALUE(TRIM(MID(SUBSTITUTE(I92,";",REPT(" ",50)),101,50))),0),IFERROR(DATEVALUE(TRIM(MID(SUBSTITUTE(I92,";",REPT(" ",50)),151,50))),0),IFERROR(DATEVALUE(TRIM(MID(SUBSTITUTE(I92,";",REPT(" ",50)),201,50))),0),IFERROR(DATEVALUE(TRIM(MID(SUBSTITUTE(I92,";",REPT(" ",50)),251,50))),0),IFERROR(DATEVALUE(TRIM(MID(SUBSTITUTE(I92,";",REPT(" ",50)),301,50))),0),IFERROR(DATEVALUE(TRIM(MID(SUBSTITUTE(I92,";",REPT(" ",50)),351,50))),0),IFERROR(DATEVALUE(TRIM(MID(SUBSTITUTE(I92,";",REPT(" ",50)),401,50))),0),IFERROR(DATEVALUE(TRIM(MID(SUBSTITUTE(I92,";",REPT(" ",50)),451,50))),0)))</f>
        <v>45976</v>
      </c>
      <c r="L92">
        <f ca="1">IF(K92="","",TODAY()-K92)</f>
        <v>36</v>
      </c>
      <c r="M92" t="s">
        <v>185</v>
      </c>
      <c r="N92">
        <f ca="1">IF(M92="","",IF(L92="",INDEX($F$110:$F$113,MATCH(M92,$C$110:$C$113,0)),IF(L92&lt;=INDEX($D$110:$D$113,MATCH(M92,$C$110:$C$113,0)),0,IF(L92&lt;=INDEX($E$110:$E$113,MATCH(M92,$C$110:$C$113,0)),INDEX($F$110:$F$113,MATCH(M92,$C$110:$C$113,0)),INDEX($G$110:$G$113,MATCH(M92,$C$110:$C$113,0))))))</f>
        <v>0</v>
      </c>
      <c r="O92">
        <f ca="1">G92+N92</f>
        <v>11</v>
      </c>
      <c r="P92" t="str">
        <f>IF(AND(C92="Major or recurring client bugs",OR(D92="High",D92="Medium")),"Review Required","No Review")</f>
        <v>No Review</v>
      </c>
      <c r="Q92" t="s">
        <v>1302</v>
      </c>
      <c r="R92" t="s">
        <v>1303</v>
      </c>
    </row>
    <row r="93" spans="1:18" x14ac:dyDescent="0.2">
      <c r="A93" t="s">
        <v>488</v>
      </c>
      <c r="B93" t="s">
        <v>1304</v>
      </c>
      <c r="C93" t="s">
        <v>1305</v>
      </c>
      <c r="D93" t="s">
        <v>182</v>
      </c>
      <c r="E93">
        <v>0</v>
      </c>
      <c r="F93">
        <f>IF(D93="High",0,IF(D93="Medium",0.05,IF(D93="Low",0.1,IF(D93="Unknown",0.15,""))))</f>
        <v>0.05</v>
      </c>
      <c r="G93">
        <f>E93*(1+F93)</f>
        <v>0</v>
      </c>
      <c r="H93" t="s">
        <v>1306</v>
      </c>
      <c r="I93" t="s">
        <v>436</v>
      </c>
      <c r="J93" t="s">
        <v>166</v>
      </c>
      <c r="K93">
        <f>IF(I93="","",MAX(IFERROR(DATEVALUE(TRIM(MID(SUBSTITUTE(I93,";",REPT(" ",50)),1,50))),0),IFERROR(DATEVALUE(TRIM(MID(SUBSTITUTE(I93,";",REPT(" ",50)),51,50))),0),IFERROR(DATEVALUE(TRIM(MID(SUBSTITUTE(I93,";",REPT(" ",50)),101,50))),0),IFERROR(DATEVALUE(TRIM(MID(SUBSTITUTE(I93,";",REPT(" ",50)),151,50))),0),IFERROR(DATEVALUE(TRIM(MID(SUBSTITUTE(I93,";",REPT(" ",50)),201,50))),0),IFERROR(DATEVALUE(TRIM(MID(SUBSTITUTE(I93,";",REPT(" ",50)),251,50))),0),IFERROR(DATEVALUE(TRIM(MID(SUBSTITUTE(I93,";",REPT(" ",50)),301,50))),0),IFERROR(DATEVALUE(TRIM(MID(SUBSTITUTE(I93,";",REPT(" ",50)),351,50))),0),IFERROR(DATEVALUE(TRIM(MID(SUBSTITUTE(I93,";",REPT(" ",50)),401,50))),0),IFERROR(DATEVALUE(TRIM(MID(SUBSTITUTE(I93,";",REPT(" ",50)),451,50))),0)))</f>
        <v>46011</v>
      </c>
      <c r="M93" t="s">
        <v>300</v>
      </c>
      <c r="N93">
        <f>IF(M93="","",IF(L93="",INDEX($F$110:$F$113,MATCH(M93,$C$110:$C$113,0)),IF(L93&lt;=INDEX($D$110:$D$113,MATCH(M93,$C$110:$C$113,0)),0,IF(L93&lt;=INDEX($E$110:$E$113,MATCH(M93,$C$110:$C$113,0)),INDEX($F$110:$F$113,MATCH(M93,$C$110:$C$113,0)),INDEX($G$110:$G$113,MATCH(M93,$C$110:$C$113,0))))))</f>
        <v>2</v>
      </c>
      <c r="O93">
        <f>G93+N93</f>
        <v>2</v>
      </c>
      <c r="P93" t="s">
        <v>168</v>
      </c>
      <c r="Q93" t="s">
        <v>823</v>
      </c>
      <c r="R93" t="s">
        <v>1307</v>
      </c>
    </row>
    <row r="94" spans="1:18" x14ac:dyDescent="0.2">
      <c r="A94" s="3"/>
      <c r="B94" s="48"/>
      <c r="C94" s="49"/>
      <c r="D94" s="49"/>
      <c r="E94" s="49"/>
      <c r="F94" s="49"/>
      <c r="G94" s="49"/>
      <c r="H94" s="49"/>
      <c r="I94" s="49"/>
      <c r="J94" s="49"/>
      <c r="K94" s="50"/>
      <c r="L94" s="49"/>
      <c r="M94" s="49"/>
      <c r="N94" s="49"/>
      <c r="O94" s="49"/>
      <c r="P94" s="49"/>
      <c r="Q94" s="49"/>
      <c r="R94" s="49"/>
    </row>
    <row r="95" spans="1:18" x14ac:dyDescent="0.2">
      <c r="A95" t="s">
        <v>492</v>
      </c>
      <c r="B95" t="s">
        <v>1308</v>
      </c>
      <c r="C95" t="s">
        <v>263</v>
      </c>
      <c r="D95" t="s">
        <v>182</v>
      </c>
      <c r="E95">
        <f>IF(C95="Strong resilience",0,IF(C95="Moderate resilience",10,IF(C95="Weak or unprotected",20,IF(C95="Unknown",10,""))))</f>
        <v>10</v>
      </c>
      <c r="F95">
        <f>IF(D95="High",0,IF(D95="Medium",0.05,IF(D95="Low",0.1,IF(D95="Unknown",0.15,""))))</f>
        <v>0.05</v>
      </c>
      <c r="G95">
        <f>E95*(1+F95)</f>
        <v>10.5</v>
      </c>
      <c r="H95" t="s">
        <v>1309</v>
      </c>
      <c r="I95" t="s">
        <v>176</v>
      </c>
      <c r="J95" t="s">
        <v>176</v>
      </c>
      <c r="K95" s="24">
        <f>IF(I95="","",MAX(IFERROR(DATEVALUE(TRIM(MID(SUBSTITUTE(I95,";",REPT(" ",50)),1,50))),0),IFERROR(DATEVALUE(TRIM(MID(SUBSTITUTE(I95,";",REPT(" ",50)),51,50))),0),IFERROR(DATEVALUE(TRIM(MID(SUBSTITUTE(I95,";",REPT(" ",50)),101,50))),0),IFERROR(DATEVALUE(TRIM(MID(SUBSTITUTE(I95,";",REPT(" ",50)),151,50))),0),IFERROR(DATEVALUE(TRIM(MID(SUBSTITUTE(I95,";",REPT(" ",50)),201,50))),0),IFERROR(DATEVALUE(TRIM(MID(SUBSTITUTE(I95,";",REPT(" ",50)),251,50))),0),IFERROR(DATEVALUE(TRIM(MID(SUBSTITUTE(I95,";",REPT(" ",50)),301,50))),0),IFERROR(DATEVALUE(TRIM(MID(SUBSTITUTE(I95,";",REPT(" ",50)),351,50))),0),IFERROR(DATEVALUE(TRIM(MID(SUBSTITUTE(I95,";",REPT(" ",50)),401,50))),0),IFERROR(DATEVALUE(TRIM(MID(SUBSTITUTE(I95,";",REPT(" ",50)),451,50))),0)))</f>
        <v>46012</v>
      </c>
      <c r="L95">
        <f ca="1">IF(K95="","",TODAY()-K95)</f>
        <v>0</v>
      </c>
      <c r="M95" t="s">
        <v>185</v>
      </c>
      <c r="N95">
        <f ca="1">IF(M95="","",IF(L95="",INDEX($F$110:$F$113,MATCH(M95,$C$110:$C$113,0)),IF(L95&lt;=INDEX($D$110:$D$113,MATCH(M95,$C$110:$C$113,0)),0,IF(L95&lt;=INDEX($E$110:$E$113,MATCH(M95,$C$110:$C$113,0)),INDEX($F$110:$F$113,MATCH(M95,$C$110:$C$113,0)),INDEX($G$110:$G$113,MATCH(M95,$C$110:$C$113,0))))))</f>
        <v>0</v>
      </c>
      <c r="O95">
        <f ca="1">G95+N95</f>
        <v>10.5</v>
      </c>
      <c r="P95" t="s">
        <v>168</v>
      </c>
      <c r="R95" t="s">
        <v>1310</v>
      </c>
    </row>
    <row r="96" spans="1:18" x14ac:dyDescent="0.2">
      <c r="A96" t="s">
        <v>498</v>
      </c>
      <c r="B96" t="s">
        <v>1311</v>
      </c>
      <c r="C96" t="s">
        <v>1312</v>
      </c>
      <c r="D96" t="s">
        <v>182</v>
      </c>
      <c r="E96">
        <f>IF(C96="Comprehensive monitoring",0,IF(C96="Partial monitoring",10,IF(C96="Limited or no monitoring",20,IF(C96="Unknown",10,""))))</f>
        <v>10</v>
      </c>
      <c r="F96">
        <f>IF(D96="High",0,IF(D96="Medium",0.05,IF(D96="Low",0.1,IF(D96="Unknown",0.15,""))))</f>
        <v>0.05</v>
      </c>
      <c r="G96">
        <f>E96*(1+F96)</f>
        <v>10.5</v>
      </c>
      <c r="H96" t="s">
        <v>1313</v>
      </c>
      <c r="I96" t="s">
        <v>1314</v>
      </c>
      <c r="J96" t="s">
        <v>166</v>
      </c>
      <c r="K96" s="24">
        <f>IF(I96="","",MAX(IFERROR(DATEVALUE(TRIM(MID(SUBSTITUTE(I96,";",REPT(" ",50)),1,50))),0),IFERROR(DATEVALUE(TRIM(MID(SUBSTITUTE(I96,";",REPT(" ",50)),51,50))),0),IFERROR(DATEVALUE(TRIM(MID(SUBSTITUTE(I96,";",REPT(" ",50)),101,50))),0),IFERROR(DATEVALUE(TRIM(MID(SUBSTITUTE(I96,";",REPT(" ",50)),151,50))),0),IFERROR(DATEVALUE(TRIM(MID(SUBSTITUTE(I96,";",REPT(" ",50)),201,50))),0),IFERROR(DATEVALUE(TRIM(MID(SUBSTITUTE(I96,";",REPT(" ",50)),251,50))),0),IFERROR(DATEVALUE(TRIM(MID(SUBSTITUTE(I96,";",REPT(" ",50)),301,50))),0),IFERROR(DATEVALUE(TRIM(MID(SUBSTITUTE(I96,";",REPT(" ",50)),351,50))),0),IFERROR(DATEVALUE(TRIM(MID(SUBSTITUTE(I96,";",REPT(" ",50)),401,50))),0),IFERROR(DATEVALUE(TRIM(MID(SUBSTITUTE(I96,";",REPT(" ",50)),451,50))),0)))</f>
        <v>46012</v>
      </c>
      <c r="L96">
        <f ca="1">IF(K96="","",TODAY()-K96)</f>
        <v>0</v>
      </c>
      <c r="M96" t="s">
        <v>185</v>
      </c>
      <c r="N96">
        <f ca="1">IF(M96="","",IF(L96="",INDEX($F$110:$F$113,MATCH(M96,$C$110:$C$113,0)),IF(L96&lt;=INDEX($D$110:$D$113,MATCH(M96,$C$110:$C$113,0)),0,IF(L96&lt;=INDEX($E$110:$E$113,MATCH(M96,$C$110:$C$113,0)),INDEX($F$110:$F$113,MATCH(M96,$C$110:$C$113,0)),INDEX($G$110:$G$113,MATCH(M96,$C$110:$C$113,0))))))</f>
        <v>0</v>
      </c>
      <c r="O96">
        <f ca="1">G96+N96</f>
        <v>10.5</v>
      </c>
      <c r="P96" t="s">
        <v>168</v>
      </c>
      <c r="R96" t="s">
        <v>1315</v>
      </c>
    </row>
    <row r="97" spans="1:18" x14ac:dyDescent="0.2">
      <c r="A97" t="s">
        <v>502</v>
      </c>
      <c r="B97" t="s">
        <v>1316</v>
      </c>
      <c r="C97" t="s">
        <v>263</v>
      </c>
      <c r="D97" t="s">
        <v>182</v>
      </c>
      <c r="E97">
        <f>IF(C97="Hardened/multi-cloud",0,IF(C97="Partially hardened",10,IF(C97="Single-cloud or poorly hardened",20,IF(C97="Unknown",10,""))))</f>
        <v>10</v>
      </c>
      <c r="F97">
        <f>IF(D97="High",0,IF(D97="Medium",0.05,IF(D97="Low",0.1,IF(D97="Unknown",0.15,""))))</f>
        <v>0.05</v>
      </c>
      <c r="G97">
        <f>E97*(1+F97)</f>
        <v>10.5</v>
      </c>
      <c r="H97" t="s">
        <v>1317</v>
      </c>
      <c r="I97" t="s">
        <v>1318</v>
      </c>
      <c r="J97" t="s">
        <v>166</v>
      </c>
      <c r="K97" s="24">
        <f>IF(I97="","",MAX(IFERROR(DATEVALUE(TRIM(MID(SUBSTITUTE(I97,";",REPT(" ",50)),1,50))),0),IFERROR(DATEVALUE(TRIM(MID(SUBSTITUTE(I97,";",REPT(" ",50)),51,50))),0),IFERROR(DATEVALUE(TRIM(MID(SUBSTITUTE(I97,";",REPT(" ",50)),101,50))),0),IFERROR(DATEVALUE(TRIM(MID(SUBSTITUTE(I97,";",REPT(" ",50)),151,50))),0),IFERROR(DATEVALUE(TRIM(MID(SUBSTITUTE(I97,";",REPT(" ",50)),201,50))),0),IFERROR(DATEVALUE(TRIM(MID(SUBSTITUTE(I97,";",REPT(" ",50)),251,50))),0),IFERROR(DATEVALUE(TRIM(MID(SUBSTITUTE(I97,";",REPT(" ",50)),301,50))),0),IFERROR(DATEVALUE(TRIM(MID(SUBSTITUTE(I97,";",REPT(" ",50)),351,50))),0),IFERROR(DATEVALUE(TRIM(MID(SUBSTITUTE(I97,";",REPT(" ",50)),401,50))),0),IFERROR(DATEVALUE(TRIM(MID(SUBSTITUTE(I97,";",REPT(" ",50)),451,50))),0)))</f>
        <v>46009</v>
      </c>
      <c r="L97">
        <f ca="1">IF(K97="","",TODAY()-K97)</f>
        <v>3</v>
      </c>
      <c r="M97" t="s">
        <v>185</v>
      </c>
      <c r="N97">
        <f ca="1">IF(M97="","",IF(L97="",INDEX($F$110:$F$113,MATCH(M97,$C$110:$C$113,0)),IF(L97&lt;=INDEX($D$110:$D$113,MATCH(M97,$C$110:$C$113,0)),0,IF(L97&lt;=INDEX($E$110:$E$113,MATCH(M97,$C$110:$C$113,0)),INDEX($F$110:$F$113,MATCH(M97,$C$110:$C$113,0)),INDEX($G$110:$G$113,MATCH(M97,$C$110:$C$113,0))))))</f>
        <v>0</v>
      </c>
      <c r="O97">
        <f ca="1">G97+N97</f>
        <v>10.5</v>
      </c>
      <c r="P97" t="str">
        <f>IF(AND(C97="Single-cloud or poorly hardened",OR(D97="High",D97="Medium")),"Review Required","No Review")</f>
        <v>No Review</v>
      </c>
      <c r="Q97" t="s">
        <v>1319</v>
      </c>
      <c r="R97" t="s">
        <v>1320</v>
      </c>
    </row>
    <row r="98" spans="1:18" x14ac:dyDescent="0.2">
      <c r="A98" t="s">
        <v>507</v>
      </c>
      <c r="B98" t="s">
        <v>1321</v>
      </c>
      <c r="C98" t="s">
        <v>1322</v>
      </c>
      <c r="D98" t="s">
        <v>217</v>
      </c>
      <c r="E98">
        <v>0</v>
      </c>
      <c r="F98">
        <f>IF(D98="High",0,IF(D98="Medium",0.05,IF(D98="Low",0.1,IF(D98="Unknown",0.15,""))))</f>
        <v>0.1</v>
      </c>
      <c r="G98">
        <f>E98*(1+F98)</f>
        <v>0</v>
      </c>
      <c r="H98" t="s">
        <v>1323</v>
      </c>
      <c r="I98" t="s">
        <v>1324</v>
      </c>
      <c r="J98" t="s">
        <v>166</v>
      </c>
      <c r="K98">
        <f>IF(I98="","",MAX(IFERROR(DATEVALUE(TRIM(MID(SUBSTITUTE(I98,";",REPT(" ",50)),1,50))),0),IFERROR(DATEVALUE(TRIM(MID(SUBSTITUTE(I98,";",REPT(" ",50)),51,50))),0),IFERROR(DATEVALUE(TRIM(MID(SUBSTITUTE(I98,";",REPT(" ",50)),101,50))),0),IFERROR(DATEVALUE(TRIM(MID(SUBSTITUTE(I98,";",REPT(" ",50)),151,50))),0),IFERROR(DATEVALUE(TRIM(MID(SUBSTITUTE(I98,";",REPT(" ",50)),201,50))),0),IFERROR(DATEVALUE(TRIM(MID(SUBSTITUTE(I98,";",REPT(" ",50)),251,50))),0),IFERROR(DATEVALUE(TRIM(MID(SUBSTITUTE(I98,";",REPT(" ",50)),301,50))),0),IFERROR(DATEVALUE(TRIM(MID(SUBSTITUTE(I98,";",REPT(" ",50)),351,50))),0),IFERROR(DATEVALUE(TRIM(MID(SUBSTITUTE(I98,";",REPT(" ",50)),401,50))),0),IFERROR(DATEVALUE(TRIM(MID(SUBSTITUTE(I98,";",REPT(" ",50)),451,50))),0)))</f>
        <v>45981</v>
      </c>
      <c r="M98" t="s">
        <v>300</v>
      </c>
      <c r="N98">
        <f>IF(M98="","",IF(L98="",INDEX($F$110:$F$113,MATCH(M98,$C$110:$C$113,0)),IF(L98&lt;=INDEX($D$110:$D$113,MATCH(M98,$C$110:$C$113,0)),0,IF(L98&lt;=INDEX($E$110:$E$113,MATCH(M98,$C$110:$C$113,0)),INDEX($F$110:$F$113,MATCH(M98,$C$110:$C$113,0)),INDEX($G$110:$G$113,MATCH(M98,$C$110:$C$113,0))))))</f>
        <v>2</v>
      </c>
      <c r="O98">
        <f>G98+N98</f>
        <v>2</v>
      </c>
      <c r="P98" t="s">
        <v>168</v>
      </c>
      <c r="Q98" t="s">
        <v>823</v>
      </c>
      <c r="R98" t="s">
        <v>1325</v>
      </c>
    </row>
    <row r="99" spans="1:18" x14ac:dyDescent="0.2">
      <c r="A99" s="3"/>
      <c r="B99" s="48"/>
      <c r="C99" s="49"/>
      <c r="D99" s="49"/>
      <c r="E99" s="49"/>
      <c r="F99" s="49"/>
      <c r="G99" s="49"/>
      <c r="H99" s="49"/>
      <c r="I99" s="49"/>
      <c r="J99" s="49"/>
      <c r="K99" s="50"/>
      <c r="L99" s="49"/>
      <c r="M99" s="49"/>
      <c r="N99" s="49"/>
      <c r="O99" s="49"/>
      <c r="P99" s="49"/>
      <c r="Q99" s="49"/>
      <c r="R99" s="49"/>
    </row>
    <row r="100" spans="1:18" x14ac:dyDescent="0.2">
      <c r="A100" t="s">
        <v>513</v>
      </c>
      <c r="B100" t="s">
        <v>1326</v>
      </c>
      <c r="C100" t="s">
        <v>263</v>
      </c>
      <c r="D100" t="s">
        <v>217</v>
      </c>
      <c r="E100">
        <f>IF(C100="No major outages",0,IF(C100="Minor/isolated outage",10,IF(C100="Major or repeated outages",20,IF(C100="Unknown",10,""))))</f>
        <v>10</v>
      </c>
      <c r="F100">
        <f>IF(D100="High",0,IF(D100="Medium",0.05,IF(D100="Low",0.1,IF(D100="Unknown",0.15,""))))</f>
        <v>0.1</v>
      </c>
      <c r="G100">
        <f>E100*(1+F100)</f>
        <v>11</v>
      </c>
      <c r="K100" s="24" t="str">
        <f>IF(I100="","",MAX(IFERROR(DATEVALUE(TRIM(MID(SUBSTITUTE(I100,";",REPT(" ",50)),1,50))),0),IFERROR(DATEVALUE(TRIM(MID(SUBSTITUTE(I100,";",REPT(" ",50)),51,50))),0),IFERROR(DATEVALUE(TRIM(MID(SUBSTITUTE(I100,";",REPT(" ",50)),101,50))),0),IFERROR(DATEVALUE(TRIM(MID(SUBSTITUTE(I100,";",REPT(" ",50)),151,50))),0),IFERROR(DATEVALUE(TRIM(MID(SUBSTITUTE(I100,";",REPT(" ",50)),201,50))),0),IFERROR(DATEVALUE(TRIM(MID(SUBSTITUTE(I100,";",REPT(" ",50)),251,50))),0),IFERROR(DATEVALUE(TRIM(MID(SUBSTITUTE(I100,";",REPT(" ",50)),301,50))),0),IFERROR(DATEVALUE(TRIM(MID(SUBSTITUTE(I100,";",REPT(" ",50)),351,50))),0),IFERROR(DATEVALUE(TRIM(MID(SUBSTITUTE(I100,";",REPT(" ",50)),401,50))),0),IFERROR(DATEVALUE(TRIM(MID(SUBSTITUTE(I100,";",REPT(" ",50)),451,50))),0)))</f>
        <v/>
      </c>
      <c r="L100" t="str">
        <f ca="1">IF(K100="","",TODAY()-K100)</f>
        <v/>
      </c>
      <c r="M100" t="s">
        <v>275</v>
      </c>
      <c r="N100">
        <f ca="1">IF(M100="","",IF(L100="",INDEX($F$110:$F$113,MATCH(M100,$C$110:$C$113,0)),IF(L100&lt;=INDEX($D$110:$D$113,MATCH(M100,$C$110:$C$113,0)),0,IF(L100&lt;=INDEX($E$110:$E$113,MATCH(M100,$C$110:$C$113,0)),INDEX($F$110:$F$113,MATCH(M100,$C$110:$C$113,0)),INDEX($G$110:$G$113,MATCH(M100,$C$110:$C$113,0))))))</f>
        <v>5</v>
      </c>
      <c r="O100">
        <f ca="1">G100+N100</f>
        <v>16</v>
      </c>
      <c r="P100" t="s">
        <v>168</v>
      </c>
      <c r="R100" t="s">
        <v>1327</v>
      </c>
    </row>
    <row r="101" spans="1:18" x14ac:dyDescent="0.2">
      <c r="A101" t="s">
        <v>519</v>
      </c>
      <c r="B101" t="s">
        <v>1328</v>
      </c>
      <c r="C101" t="s">
        <v>1329</v>
      </c>
      <c r="D101" t="s">
        <v>182</v>
      </c>
      <c r="E101">
        <f>IF(C101="No incidents",0,IF(C101="Minor issue fully resolved",10,IF(C101="Significant breach",20,IF(C101="Unknown",10,""))))</f>
        <v>0</v>
      </c>
      <c r="F101">
        <f>IF(D101="High",0,IF(D101="Medium",0.05,IF(D101="Low",0.1,IF(D101="Unknown",0.15,""))))</f>
        <v>0.05</v>
      </c>
      <c r="G101">
        <f>E101*(1+F101)</f>
        <v>0</v>
      </c>
      <c r="H101" t="s">
        <v>1330</v>
      </c>
      <c r="I101" t="s">
        <v>1331</v>
      </c>
      <c r="J101" t="s">
        <v>166</v>
      </c>
      <c r="K101" s="24">
        <f>IF(I101="","",MAX(IFERROR(DATEVALUE(TRIM(MID(SUBSTITUTE(I101,";",REPT(" ",50)),1,50))),0),IFERROR(DATEVALUE(TRIM(MID(SUBSTITUTE(I101,";",REPT(" ",50)),51,50))),0),IFERROR(DATEVALUE(TRIM(MID(SUBSTITUTE(I101,";",REPT(" ",50)),101,50))),0),IFERROR(DATEVALUE(TRIM(MID(SUBSTITUTE(I101,";",REPT(" ",50)),151,50))),0),IFERROR(DATEVALUE(TRIM(MID(SUBSTITUTE(I101,";",REPT(" ",50)),201,50))),0),IFERROR(DATEVALUE(TRIM(MID(SUBSTITUTE(I101,";",REPT(" ",50)),251,50))),0),IFERROR(DATEVALUE(TRIM(MID(SUBSTITUTE(I101,";",REPT(" ",50)),301,50))),0),IFERROR(DATEVALUE(TRIM(MID(SUBSTITUTE(I101,";",REPT(" ",50)),351,50))),0),IFERROR(DATEVALUE(TRIM(MID(SUBSTITUTE(I101,";",REPT(" ",50)),401,50))),0),IFERROR(DATEVALUE(TRIM(MID(SUBSTITUTE(I101,";",REPT(" ",50)),451,50))),0)))</f>
        <v>46009</v>
      </c>
      <c r="L101">
        <f ca="1">IF(K101="","",TODAY()-K101)</f>
        <v>3</v>
      </c>
      <c r="M101" t="s">
        <v>275</v>
      </c>
      <c r="N101">
        <f ca="1">IF(M101="","",IF(L101="",INDEX($F$110:$F$113,MATCH(M101,$C$110:$C$113,0)),IF(L101&lt;=INDEX($D$110:$D$113,MATCH(M101,$C$110:$C$113,0)),0,IF(L101&lt;=INDEX($E$110:$E$113,MATCH(M101,$C$110:$C$113,0)),INDEX($F$110:$F$113,MATCH(M101,$C$110:$C$113,0)),INDEX($G$110:$G$113,MATCH(M101,$C$110:$C$113,0))))))</f>
        <v>0</v>
      </c>
      <c r="O101">
        <f ca="1">G101+N101</f>
        <v>0</v>
      </c>
      <c r="P101" t="s">
        <v>168</v>
      </c>
      <c r="R101" t="s">
        <v>1332</v>
      </c>
    </row>
    <row r="102" spans="1:18" x14ac:dyDescent="0.2">
      <c r="A102" t="s">
        <v>523</v>
      </c>
      <c r="B102" t="s">
        <v>1333</v>
      </c>
      <c r="C102" t="s">
        <v>181</v>
      </c>
      <c r="D102" t="s">
        <v>182</v>
      </c>
      <c r="E102">
        <v>0</v>
      </c>
      <c r="F102">
        <f>IF(D102="High",0,IF(D102="Medium",0.05,IF(D102="Low",0.1,IF(D102="Unknown",0.15,""))))</f>
        <v>0.05</v>
      </c>
      <c r="G102">
        <f>E102*(1+F102)</f>
        <v>0</v>
      </c>
      <c r="H102" t="s">
        <v>1334</v>
      </c>
      <c r="I102" t="s">
        <v>1335</v>
      </c>
      <c r="J102" t="s">
        <v>176</v>
      </c>
      <c r="K102">
        <f>IF(I102="","",MAX(IFERROR(DATEVALUE(TRIM(MID(SUBSTITUTE(I102,";",REPT(" ",50)),1,50))),0),IFERROR(DATEVALUE(TRIM(MID(SUBSTITUTE(I102,";",REPT(" ",50)),51,50))),0),IFERROR(DATEVALUE(TRIM(MID(SUBSTITUTE(I102,";",REPT(" ",50)),101,50))),0),IFERROR(DATEVALUE(TRIM(MID(SUBSTITUTE(I102,";",REPT(" ",50)),151,50))),0),IFERROR(DATEVALUE(TRIM(MID(SUBSTITUTE(I102,";",REPT(" ",50)),201,50))),0),IFERROR(DATEVALUE(TRIM(MID(SUBSTITUTE(I102,";",REPT(" ",50)),251,50))),0),IFERROR(DATEVALUE(TRIM(MID(SUBSTITUTE(I102,";",REPT(" ",50)),301,50))),0),IFERROR(DATEVALUE(TRIM(MID(SUBSTITUTE(I102,";",REPT(" ",50)),351,50))),0),IFERROR(DATEVALUE(TRIM(MID(SUBSTITUTE(I102,";",REPT(" ",50)),401,50))),0),IFERROR(DATEVALUE(TRIM(MID(SUBSTITUTE(I102,";",REPT(" ",50)),451,50))),0)))</f>
        <v>45981</v>
      </c>
      <c r="M102" t="s">
        <v>275</v>
      </c>
      <c r="N102">
        <f>IF(M102="","",IF(L102="",INDEX($F$110:$F$113,MATCH(M102,$C$110:$C$113,0)),IF(L102&lt;=INDEX($D$110:$D$113,MATCH(M102,$C$110:$C$113,0)),0,IF(L102&lt;=INDEX($E$110:$E$113,MATCH(M102,$C$110:$C$113,0)),INDEX($F$110:$F$113,MATCH(M102,$C$110:$C$113,0)),INDEX($G$110:$G$113,MATCH(M102,$C$110:$C$113,0))))))</f>
        <v>5</v>
      </c>
      <c r="O102">
        <f>G102+N102</f>
        <v>5</v>
      </c>
      <c r="P102" t="str">
        <f>IF(AND(C100="Major or repeated outages",C101="Significant breach",OR(D100="High",D100="Medium",D101="High",D101="Medium")),"Review Required","No Review")</f>
        <v>No Review</v>
      </c>
      <c r="Q102" t="s">
        <v>1336</v>
      </c>
      <c r="R102" t="s">
        <v>1337</v>
      </c>
    </row>
    <row r="103" spans="1:18" x14ac:dyDescent="0.2">
      <c r="A103" t="s">
        <v>528</v>
      </c>
      <c r="B103" t="s">
        <v>1338</v>
      </c>
      <c r="C103" t="s">
        <v>1339</v>
      </c>
      <c r="D103" t="s">
        <v>217</v>
      </c>
      <c r="E103">
        <v>0</v>
      </c>
      <c r="F103">
        <f>IF(D103="High",0,IF(D103="Medium",0.05,IF(D103="Low",0.1,IF(D103="Unknown",0.15,""))))</f>
        <v>0.1</v>
      </c>
      <c r="G103">
        <f>E103*(1+F103)</f>
        <v>0</v>
      </c>
      <c r="K103" t="str">
        <f>IF(I103="","",MAX(IFERROR(DATEVALUE(TRIM(MID(SUBSTITUTE(I103,";",REPT(" ",50)),1,50))),0),IFERROR(DATEVALUE(TRIM(MID(SUBSTITUTE(I103,";",REPT(" ",50)),51,50))),0),IFERROR(DATEVALUE(TRIM(MID(SUBSTITUTE(I103,";",REPT(" ",50)),101,50))),0),IFERROR(DATEVALUE(TRIM(MID(SUBSTITUTE(I103,";",REPT(" ",50)),151,50))),0),IFERROR(DATEVALUE(TRIM(MID(SUBSTITUTE(I103,";",REPT(" ",50)),201,50))),0),IFERROR(DATEVALUE(TRIM(MID(SUBSTITUTE(I103,";",REPT(" ",50)),251,50))),0),IFERROR(DATEVALUE(TRIM(MID(SUBSTITUTE(I103,";",REPT(" ",50)),301,50))),0),IFERROR(DATEVALUE(TRIM(MID(SUBSTITUTE(I103,";",REPT(" ",50)),351,50))),0),IFERROR(DATEVALUE(TRIM(MID(SUBSTITUTE(I103,";",REPT(" ",50)),401,50))),0),IFERROR(DATEVALUE(TRIM(MID(SUBSTITUTE(I103,";",REPT(" ",50)),451,50))),0)))</f>
        <v/>
      </c>
      <c r="M103" t="s">
        <v>275</v>
      </c>
      <c r="N103">
        <f>IF(M103="","",IF(L103="",INDEX($F$110:$F$113,MATCH(M103,$C$110:$C$113,0)),IF(L103&lt;=INDEX($D$110:$D$113,MATCH(M103,$C$110:$C$113,0)),0,IF(L103&lt;=INDEX($E$110:$E$113,MATCH(M103,$C$110:$C$113,0)),INDEX($F$110:$F$113,MATCH(M103,$C$110:$C$113,0)),INDEX($G$110:$G$113,MATCH(M103,$C$110:$C$113,0))))))</f>
        <v>5</v>
      </c>
      <c r="O103">
        <f>G103+N103</f>
        <v>5</v>
      </c>
      <c r="P103" t="s">
        <v>168</v>
      </c>
      <c r="Q103" t="s">
        <v>823</v>
      </c>
      <c r="R103" t="s">
        <v>1340</v>
      </c>
    </row>
    <row r="106" spans="1:18" s="6" customFormat="1" x14ac:dyDescent="0.2">
      <c r="K106" s="26"/>
    </row>
    <row r="108" spans="1:18" x14ac:dyDescent="0.2">
      <c r="C108" s="56" t="s">
        <v>533</v>
      </c>
      <c r="D108" s="57"/>
      <c r="E108" s="57"/>
      <c r="F108" s="57"/>
      <c r="G108" s="58"/>
    </row>
    <row r="109" spans="1:18" x14ac:dyDescent="0.2">
      <c r="C109" s="31" t="s">
        <v>152</v>
      </c>
      <c r="D109" s="32" t="s">
        <v>534</v>
      </c>
      <c r="E109" s="32" t="s">
        <v>535</v>
      </c>
      <c r="F109" s="32" t="s">
        <v>536</v>
      </c>
      <c r="G109" s="32" t="s">
        <v>537</v>
      </c>
    </row>
    <row r="110" spans="1:18" x14ac:dyDescent="0.2">
      <c r="C110" s="33" t="s">
        <v>275</v>
      </c>
      <c r="D110" s="34">
        <v>90</v>
      </c>
      <c r="E110" s="34">
        <v>180</v>
      </c>
      <c r="F110" s="34">
        <v>5</v>
      </c>
      <c r="G110" s="35">
        <v>10</v>
      </c>
    </row>
    <row r="111" spans="1:18" x14ac:dyDescent="0.2">
      <c r="C111" s="36" t="s">
        <v>185</v>
      </c>
      <c r="D111" s="34">
        <v>180</v>
      </c>
      <c r="E111" s="34">
        <v>365</v>
      </c>
      <c r="F111" s="34">
        <v>3</v>
      </c>
      <c r="G111" s="35">
        <v>6</v>
      </c>
    </row>
    <row r="112" spans="1:18" x14ac:dyDescent="0.2">
      <c r="C112" s="36" t="s">
        <v>300</v>
      </c>
      <c r="D112" s="34">
        <v>365</v>
      </c>
      <c r="E112" s="34">
        <v>730</v>
      </c>
      <c r="F112" s="34">
        <v>2</v>
      </c>
      <c r="G112" s="35">
        <v>4</v>
      </c>
    </row>
    <row r="113" spans="3:7" x14ac:dyDescent="0.2">
      <c r="C113" s="31" t="s">
        <v>167</v>
      </c>
      <c r="D113" s="37">
        <v>9999</v>
      </c>
      <c r="E113" s="37">
        <v>9999</v>
      </c>
      <c r="F113" s="37">
        <v>0</v>
      </c>
      <c r="G113" s="32">
        <v>0</v>
      </c>
    </row>
    <row r="117" spans="3:7" ht="16" customHeight="1" thickBot="1" x14ac:dyDescent="0.25"/>
    <row r="118" spans="3:7" ht="16" customHeight="1" thickBot="1" x14ac:dyDescent="0.25">
      <c r="C118" s="52" t="s">
        <v>538</v>
      </c>
      <c r="D118" s="53"/>
      <c r="E118" s="54"/>
    </row>
    <row r="119" spans="3:7" x14ac:dyDescent="0.2">
      <c r="C119" s="44" t="s">
        <v>539</v>
      </c>
      <c r="D119" s="45"/>
      <c r="E119" s="8">
        <f ca="1">IF(COUNTIFS($A$4:$A$103,"A*",$C$4:$C$103,"&lt;&gt;")=0,"",AVERAGEIFS($O$4:$O$103,$A$4:$A$103,"A*",$C$4:$C$103,"&lt;&gt;"))</f>
        <v>8.2249999999999996</v>
      </c>
    </row>
    <row r="120" spans="3:7" x14ac:dyDescent="0.2">
      <c r="C120" s="44" t="s">
        <v>540</v>
      </c>
      <c r="D120" s="45"/>
      <c r="E120" s="8">
        <f ca="1">IF(COUNTIFS($A$4:$A$103,"B*",$C$4:$C$103,"&lt;&gt;")=0,"",AVERAGEIFS($O$4:$O$103,$A$4:$A$103,"B*",$C$4:$C$103,"&lt;&gt;"))</f>
        <v>9.045454545454545</v>
      </c>
    </row>
    <row r="121" spans="3:7" x14ac:dyDescent="0.2">
      <c r="C121" s="44" t="s">
        <v>541</v>
      </c>
      <c r="D121" s="45"/>
      <c r="E121" s="8">
        <f ca="1">IF(COUNTIFS($A$4:$A$103,"C*",$C$4:$C$103,"&lt;&gt;")=0,"",AVERAGEIFS($O$4:$O$103,$A$4:$A$103,"C*",$C$4:$C$103,"&lt;&gt;"))</f>
        <v>11.333333333333334</v>
      </c>
    </row>
    <row r="122" spans="3:7" x14ac:dyDescent="0.2">
      <c r="C122" s="44" t="s">
        <v>542</v>
      </c>
      <c r="D122" s="45"/>
      <c r="E122" s="8">
        <f ca="1">IF(COUNTIFS($A$4:$A$103,"D*",$C$4:$C$103,"&lt;&gt;")=0,"",AVERAGEIFS($O$4:$O$103,$A$4:$A$103,"D*",$C$4:$C$103,"&lt;&gt;"))</f>
        <v>7.25</v>
      </c>
    </row>
    <row r="123" spans="3:7" x14ac:dyDescent="0.2">
      <c r="C123" s="44" t="s">
        <v>543</v>
      </c>
      <c r="D123" s="45"/>
      <c r="E123" s="8">
        <f ca="1">IF(COUNTIFS($A$4:$A$103,"E*",$C$4:$C$103,"&lt;&gt;")=0,"",AVERAGEIFS($O$4:$O$103,$A$4:$A$103,"E*",$C$4:$C$103,"&lt;&gt;"))</f>
        <v>8.125</v>
      </c>
    </row>
    <row r="124" spans="3:7" x14ac:dyDescent="0.2">
      <c r="C124" s="44" t="s">
        <v>544</v>
      </c>
      <c r="D124" s="45"/>
      <c r="E124" s="8">
        <f ca="1">IF(COUNTIF($C$4:$C$103,"&lt;&gt;")=0,"",AVERAGEIFS($O$4:$O$103,$C$4:$C$103,"&lt;&gt;"))</f>
        <v>8.7179487179487172</v>
      </c>
    </row>
    <row r="125" spans="3:7" x14ac:dyDescent="0.2">
      <c r="C125" s="44" t="s">
        <v>545</v>
      </c>
      <c r="D125" s="45"/>
      <c r="E125" s="8" t="str">
        <f ca="1">IF(E124="","",IF(E124&lt;3,"Very Low",IF(E124&lt;6,"Low",IF(E124&lt;9,"Medium",IF(E124&lt;12,"Medium-High","High")))))</f>
        <v>Medium</v>
      </c>
    </row>
    <row r="126" spans="3:7" x14ac:dyDescent="0.2">
      <c r="C126" s="46" t="s">
        <v>546</v>
      </c>
      <c r="D126" s="47"/>
      <c r="E126" s="9" t="str">
        <f ca="1">IF(COUNT($E$119:$E$123)=0,"",IF($E$119=MIN($E$119:$E$123),"A",IF($E$120=MIN($E$119:$E$123),"B",IF($E$121=MIN($E$119:$E$123),"C",IF($E$122=MIN($E$119:$E$123),"D","E")))))</f>
        <v>D</v>
      </c>
    </row>
  </sheetData>
  <mergeCells count="29">
    <mergeCell ref="C122:D122"/>
    <mergeCell ref="B84:R84"/>
    <mergeCell ref="C125:D125"/>
    <mergeCell ref="B68:R68"/>
    <mergeCell ref="B33:R33"/>
    <mergeCell ref="B89:R89"/>
    <mergeCell ref="B94:R94"/>
    <mergeCell ref="B63:R63"/>
    <mergeCell ref="B78:R78"/>
    <mergeCell ref="B10:R10"/>
    <mergeCell ref="B28:R28"/>
    <mergeCell ref="C119:D119"/>
    <mergeCell ref="B99:R99"/>
    <mergeCell ref="C118:E118"/>
    <mergeCell ref="C108:G108"/>
    <mergeCell ref="B16:R16"/>
    <mergeCell ref="B3:R3"/>
    <mergeCell ref="C126:D126"/>
    <mergeCell ref="B22:R22"/>
    <mergeCell ref="B43:R43"/>
    <mergeCell ref="C121:D121"/>
    <mergeCell ref="B48:R48"/>
    <mergeCell ref="C124:D124"/>
    <mergeCell ref="B57:R57"/>
    <mergeCell ref="B53:R53"/>
    <mergeCell ref="B73:R73"/>
    <mergeCell ref="C120:D120"/>
    <mergeCell ref="B38:R38"/>
    <mergeCell ref="C123:D123"/>
  </mergeCells>
  <conditionalFormatting sqref="O4:O110">
    <cfRule type="colorScale" priority="20">
      <colorScale>
        <cfvo type="num" val="0"/>
        <cfvo type="percentile" val="50"/>
        <cfvo type="num" val="25"/>
        <color rgb="FF73FB79"/>
        <color rgb="FFFFFD78"/>
        <color rgb="FFFF2600"/>
      </colorScale>
    </cfRule>
  </conditionalFormatting>
  <conditionalFormatting sqref="P4:P103">
    <cfRule type="cellIs" dxfId="17" priority="21" operator="equal">
      <formula>"No Review"</formula>
    </cfRule>
    <cfRule type="cellIs" dxfId="16" priority="22" operator="equal">
      <formula>"Review Required"</formula>
    </cfRule>
  </conditionalFormatting>
  <dataValidations disablePrompts="1" count="1">
    <dataValidation type="list" showInputMessage="1" showErrorMessage="1" sqref="M4:M116" xr:uid="{00000000-0002-0000-0400-000000000000}">
      <formula1>"Critical–Fast,Operational–Medium,Background–Slow,Evergreen–No Penalty"</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77"/>
  <sheetViews>
    <sheetView topLeftCell="C49" workbookViewId="0">
      <selection activeCell="C69" sqref="C69:E77"/>
    </sheetView>
  </sheetViews>
  <sheetFormatPr baseColWidth="10" defaultColWidth="8.83203125" defaultRowHeight="15" x14ac:dyDescent="0.2"/>
  <cols>
    <col min="1" max="1" width="13.33203125" customWidth="1"/>
    <col min="2" max="2" width="227.33203125" customWidth="1"/>
    <col min="3" max="5" width="15.5" customWidth="1"/>
    <col min="6" max="6" width="17.1640625" customWidth="1"/>
    <col min="7" max="7" width="23.83203125" customWidth="1"/>
    <col min="8" max="10" width="15.5" customWidth="1"/>
    <col min="11" max="11" width="22.6640625" style="24" customWidth="1"/>
    <col min="12" max="12" width="15.5" customWidth="1"/>
    <col min="13" max="13" width="18.33203125" customWidth="1"/>
    <col min="14" max="15" width="15.5" customWidth="1"/>
    <col min="16" max="16" width="20.1640625" customWidth="1"/>
    <col min="17" max="17" width="137.1640625" customWidth="1"/>
    <col min="18" max="18" width="75.6640625" customWidth="1"/>
    <col min="20" max="23" width="17"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1" t="s">
        <v>151</v>
      </c>
      <c r="M1" s="1" t="s">
        <v>152</v>
      </c>
      <c r="N1" s="1" t="s">
        <v>153</v>
      </c>
      <c r="O1" s="1" t="s">
        <v>154</v>
      </c>
      <c r="P1" s="1" t="s">
        <v>155</v>
      </c>
      <c r="Q1" s="1" t="s">
        <v>156</v>
      </c>
      <c r="R1" s="1" t="s">
        <v>157</v>
      </c>
      <c r="S1" t="s">
        <v>158</v>
      </c>
    </row>
    <row r="2" spans="1:19" x14ac:dyDescent="0.2">
      <c r="A2" s="4"/>
      <c r="B2" s="5" t="s">
        <v>1341</v>
      </c>
      <c r="C2" s="4"/>
      <c r="D2" s="4"/>
      <c r="E2" s="4"/>
      <c r="F2" s="4"/>
      <c r="G2" s="4"/>
      <c r="H2" s="4"/>
      <c r="I2" s="4"/>
      <c r="J2" s="4"/>
      <c r="K2" s="23"/>
      <c r="L2" s="4"/>
      <c r="M2" s="4"/>
      <c r="N2" s="4"/>
      <c r="O2" s="4"/>
      <c r="P2" s="4"/>
      <c r="Q2" s="4"/>
      <c r="R2" s="4"/>
    </row>
    <row r="3" spans="1:19" x14ac:dyDescent="0.2">
      <c r="A3" s="3"/>
      <c r="B3" s="48"/>
      <c r="C3" s="49"/>
      <c r="D3" s="49"/>
      <c r="E3" s="49"/>
      <c r="F3" s="49"/>
      <c r="G3" s="49"/>
      <c r="H3" s="49"/>
      <c r="I3" s="49"/>
      <c r="J3" s="49"/>
      <c r="K3" s="50"/>
      <c r="L3" s="49"/>
      <c r="M3" s="49"/>
      <c r="N3" s="49"/>
      <c r="O3" s="49"/>
      <c r="P3" s="49"/>
      <c r="Q3" s="49"/>
      <c r="R3" s="49"/>
    </row>
    <row r="4" spans="1:19" x14ac:dyDescent="0.2">
      <c r="A4" t="s">
        <v>160</v>
      </c>
      <c r="B4" t="s">
        <v>1342</v>
      </c>
      <c r="C4" t="s">
        <v>1343</v>
      </c>
      <c r="D4" t="s">
        <v>182</v>
      </c>
      <c r="E4">
        <f>IF(C4="Deep (low market impact)",0,IF(C4="Moderate",10,IF(C4="Thin (high market impact)",20,IF(C4="Unknown",10,""))))</f>
        <v>0</v>
      </c>
      <c r="F4">
        <f>IF(D4="High",0,IF(D4="Medium",0.05,IF(D4="Low",0.1,IF(D4="Unknown",0.15,""))))</f>
        <v>0.05</v>
      </c>
      <c r="G4">
        <f>E4*(1+F4)</f>
        <v>0</v>
      </c>
      <c r="H4" t="s">
        <v>1344</v>
      </c>
      <c r="I4" t="s">
        <v>924</v>
      </c>
      <c r="J4" t="s">
        <v>166</v>
      </c>
      <c r="K4">
        <f>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45902</v>
      </c>
      <c r="M4" t="s">
        <v>275</v>
      </c>
      <c r="N4">
        <f>IF(M4="","",IF(L4="",INDEX($F$61:$F$64,MATCH(M4,$C$61:$C$64,0)),IF(L4&lt;=INDEX($D$61:$D$64,MATCH(M4,$C$61:$C$64,0)),0,IF(L4&lt;=INDEX($E$61:$E$64,MATCH(M4,$C$61:$C$64,0)),INDEX($F$61:$F$64,MATCH(M4,$C$61:$C$64,0)),INDEX($G$61:$G$64,MATCH(M4,$C$61:$C$64,0))))))</f>
        <v>5</v>
      </c>
      <c r="O4">
        <f>G4+N4</f>
        <v>5</v>
      </c>
      <c r="P4" t="s">
        <v>168</v>
      </c>
      <c r="R4" t="s">
        <v>1345</v>
      </c>
    </row>
    <row r="5" spans="1:19" x14ac:dyDescent="0.2">
      <c r="A5" t="s">
        <v>171</v>
      </c>
      <c r="B5" t="s">
        <v>1346</v>
      </c>
      <c r="C5" t="s">
        <v>1347</v>
      </c>
      <c r="D5" t="s">
        <v>182</v>
      </c>
      <c r="E5">
        <f>IF(C5="Low slippage (≤0.5%)",0,IF(C5="Moderate slippage (0.5–2%)",10,IF(C5="High slippage (&gt;2%)",20,IF(C5="Unknown",10,""))))</f>
        <v>0</v>
      </c>
      <c r="F5">
        <f>IF(D5="High",0,IF(D5="Medium",0.05,IF(D5="Low",0.1,IF(D5="Unknown",0.15,""))))</f>
        <v>0.05</v>
      </c>
      <c r="G5">
        <f>E5*(1+F5)</f>
        <v>0</v>
      </c>
      <c r="H5" t="s">
        <v>1348</v>
      </c>
      <c r="I5" t="s">
        <v>1349</v>
      </c>
      <c r="J5" t="s">
        <v>166</v>
      </c>
      <c r="K5">
        <f>IF(I5="","",MAX(IFERROR(DATEVALUE(TRIM(MID(SUBSTITUTE(I5,";",REPT(" ",50)),1,50))),0),IFERROR(DATEVALUE(TRIM(MID(SUBSTITUTE(I5,";",REPT(" ",50)),51,50))),0),IFERROR(DATEVALUE(TRIM(MID(SUBSTITUTE(I5,";",REPT(" ",50)),101,50))),0),IFERROR(DATEVALUE(TRIM(MID(SUBSTITUTE(I5,";",REPT(" ",50)),151,50))),0),IFERROR(DATEVALUE(TRIM(MID(SUBSTITUTE(I5,";",REPT(" ",50)),201,50))),0),IFERROR(DATEVALUE(TRIM(MID(SUBSTITUTE(I5,";",REPT(" ",50)),251,50))),0),IFERROR(DATEVALUE(TRIM(MID(SUBSTITUTE(I5,";",REPT(" ",50)),301,50))),0),IFERROR(DATEVALUE(TRIM(MID(SUBSTITUTE(I5,";",REPT(" ",50)),351,50))),0),IFERROR(DATEVALUE(TRIM(MID(SUBSTITUTE(I5,";",REPT(" ",50)),401,50))),0),IFERROR(DATEVALUE(TRIM(MID(SUBSTITUTE(I5,";",REPT(" ",50)),451,50))),0)))</f>
        <v>46012</v>
      </c>
      <c r="M5" t="s">
        <v>275</v>
      </c>
      <c r="N5">
        <f>IF(M5="","",IF(L5="",INDEX($F$61:$F$64,MATCH(M5,$C$61:$C$64,0)),IF(L5&lt;=INDEX($D$61:$D$64,MATCH(M5,$C$61:$C$64,0)),0,IF(L5&lt;=INDEX($E$61:$E$64,MATCH(M5,$C$61:$C$64,0)),INDEX($F$61:$F$64,MATCH(M5,$C$61:$C$64,0)),INDEX($G$61:$G$64,MATCH(M5,$C$61:$C$64,0))))))</f>
        <v>5</v>
      </c>
      <c r="O5">
        <f>G5+N5</f>
        <v>5</v>
      </c>
      <c r="P5" t="str">
        <f>IF(AND(C5="High slippage (&gt;2%)",OR(D5="High",D5="Medium")),"Review Required","No Review")</f>
        <v>No Review</v>
      </c>
      <c r="Q5" t="s">
        <v>1350</v>
      </c>
      <c r="R5" t="s">
        <v>1351</v>
      </c>
    </row>
    <row r="6" spans="1:19" x14ac:dyDescent="0.2">
      <c r="A6" t="s">
        <v>179</v>
      </c>
      <c r="B6" t="s">
        <v>1352</v>
      </c>
      <c r="C6" t="s">
        <v>1353</v>
      </c>
      <c r="D6" t="s">
        <v>163</v>
      </c>
      <c r="E6">
        <f>IF(C6="Tight (≤0.10%)",0,IF(C6="Moderate (0.10–0.50%)",10,IF(C6="Wide (&gt;0.50%)",20,IF(C6="Unknown",10,""))))</f>
        <v>0</v>
      </c>
      <c r="F6">
        <f>IF(D6="High",0,IF(D6="Medium",0.05,IF(D6="Low",0.1,IF(D6="Unknown",0.15,""))))</f>
        <v>0</v>
      </c>
      <c r="G6">
        <f>E6*(1+F6)</f>
        <v>0</v>
      </c>
      <c r="H6" t="s">
        <v>1354</v>
      </c>
      <c r="I6" t="s">
        <v>1355</v>
      </c>
      <c r="J6" t="s">
        <v>176</v>
      </c>
      <c r="K6">
        <f>IF(I6="","",MAX(IFERROR(DATEVALUE(TRIM(MID(SUBSTITUTE(I6,";",REPT(" ",50)),1,50))),0),IFERROR(DATEVALUE(TRIM(MID(SUBSTITUTE(I6,";",REPT(" ",50)),51,50))),0),IFERROR(DATEVALUE(TRIM(MID(SUBSTITUTE(I6,";",REPT(" ",50)),101,50))),0),IFERROR(DATEVALUE(TRIM(MID(SUBSTITUTE(I6,";",REPT(" ",50)),151,50))),0),IFERROR(DATEVALUE(TRIM(MID(SUBSTITUTE(I6,";",REPT(" ",50)),201,50))),0),IFERROR(DATEVALUE(TRIM(MID(SUBSTITUTE(I6,";",REPT(" ",50)),251,50))),0),IFERROR(DATEVALUE(TRIM(MID(SUBSTITUTE(I6,";",REPT(" ",50)),301,50))),0),IFERROR(DATEVALUE(TRIM(MID(SUBSTITUTE(I6,";",REPT(" ",50)),351,50))),0),IFERROR(DATEVALUE(TRIM(MID(SUBSTITUTE(I6,";",REPT(" ",50)),401,50))),0),IFERROR(DATEVALUE(TRIM(MID(SUBSTITUTE(I6,";",REPT(" ",50)),451,50))),0)))</f>
        <v>46012</v>
      </c>
      <c r="M6" t="s">
        <v>275</v>
      </c>
      <c r="N6">
        <f>IF(M6="","",IF(L6="",INDEX($F$61:$F$64,MATCH(M6,$C$61:$C$64,0)),IF(L6&lt;=INDEX($D$61:$D$64,MATCH(M6,$C$61:$C$64,0)),0,IF(L6&lt;=INDEX($E$61:$E$64,MATCH(M6,$C$61:$C$64,0)),INDEX($F$61:$F$64,MATCH(M6,$C$61:$C$64,0)),INDEX($G$61:$G$64,MATCH(M6,$C$61:$C$64,0))))))</f>
        <v>5</v>
      </c>
      <c r="O6">
        <f>G6+N6</f>
        <v>5</v>
      </c>
      <c r="P6" t="s">
        <v>168</v>
      </c>
      <c r="R6" t="s">
        <v>1356</v>
      </c>
    </row>
    <row r="7" spans="1:19" x14ac:dyDescent="0.2">
      <c r="A7" t="s">
        <v>202</v>
      </c>
      <c r="B7" t="s">
        <v>1357</v>
      </c>
      <c r="C7" t="s">
        <v>1358</v>
      </c>
      <c r="D7" t="s">
        <v>182</v>
      </c>
      <c r="E7">
        <v>0</v>
      </c>
      <c r="F7">
        <f>IF(D7="High",0,IF(D7="Medium",0.05,IF(D7="Low",0.1,IF(D7="Unknown",0.15,""))))</f>
        <v>0.05</v>
      </c>
      <c r="G7">
        <f>E7*(1+F7)</f>
        <v>0</v>
      </c>
      <c r="H7" t="s">
        <v>1359</v>
      </c>
      <c r="I7" t="s">
        <v>1360</v>
      </c>
      <c r="J7" t="s">
        <v>166</v>
      </c>
      <c r="K7">
        <f>IF(I7="","",MAX(IFERROR(DATEVALUE(TRIM(MID(SUBSTITUTE(I7,";",REPT(" ",50)),1,50))),0),IFERROR(DATEVALUE(TRIM(MID(SUBSTITUTE(I7,";",REPT(" ",50)),51,50))),0),IFERROR(DATEVALUE(TRIM(MID(SUBSTITUTE(I7,";",REPT(" ",50)),101,50))),0),IFERROR(DATEVALUE(TRIM(MID(SUBSTITUTE(I7,";",REPT(" ",50)),151,50))),0),IFERROR(DATEVALUE(TRIM(MID(SUBSTITUTE(I7,";",REPT(" ",50)),201,50))),0),IFERROR(DATEVALUE(TRIM(MID(SUBSTITUTE(I7,";",REPT(" ",50)),251,50))),0),IFERROR(DATEVALUE(TRIM(MID(SUBSTITUTE(I7,";",REPT(" ",50)),301,50))),0),IFERROR(DATEVALUE(TRIM(MID(SUBSTITUTE(I7,";",REPT(" ",50)),351,50))),0),IFERROR(DATEVALUE(TRIM(MID(SUBSTITUTE(I7,";",REPT(" ",50)),401,50))),0),IFERROR(DATEVALUE(TRIM(MID(SUBSTITUTE(I7,";",REPT(" ",50)),451,50))),0)))</f>
        <v>45904</v>
      </c>
      <c r="M7" t="s">
        <v>185</v>
      </c>
      <c r="N7">
        <f>IF(M7="","",IF(L7="",INDEX($F$61:$F$64,MATCH(M7,$C$61:$C$64,0)),IF(L7&lt;=INDEX($D$61:$D$64,MATCH(M7,$C$61:$C$64,0)),0,IF(L7&lt;=INDEX($E$61:$E$64,MATCH(M7,$C$61:$C$64,0)),INDEX($F$61:$F$64,MATCH(M7,$C$61:$C$64,0)),INDEX($G$61:$G$64,MATCH(M7,$C$61:$C$64,0))))))</f>
        <v>3</v>
      </c>
      <c r="O7">
        <f>G7+N7</f>
        <v>3</v>
      </c>
      <c r="P7" t="s">
        <v>168</v>
      </c>
      <c r="Q7" t="s">
        <v>823</v>
      </c>
      <c r="R7" t="s">
        <v>1361</v>
      </c>
    </row>
    <row r="8" spans="1:19" x14ac:dyDescent="0.2">
      <c r="A8" s="3"/>
      <c r="B8" s="48"/>
      <c r="C8" s="49"/>
      <c r="D8" s="49"/>
      <c r="E8" s="49"/>
      <c r="F8" s="49"/>
      <c r="G8" s="49"/>
      <c r="H8" s="49"/>
      <c r="I8" s="49"/>
      <c r="J8" s="49"/>
      <c r="K8" s="50"/>
      <c r="L8" s="49"/>
      <c r="M8" s="49"/>
      <c r="N8" s="49"/>
      <c r="O8" s="49"/>
      <c r="P8" s="49"/>
      <c r="Q8" s="49"/>
      <c r="R8" s="49"/>
    </row>
    <row r="9" spans="1:19" x14ac:dyDescent="0.2">
      <c r="A9" t="s">
        <v>209</v>
      </c>
      <c r="B9" t="s">
        <v>1362</v>
      </c>
      <c r="C9" t="s">
        <v>263</v>
      </c>
      <c r="D9" t="s">
        <v>182</v>
      </c>
      <c r="E9">
        <f>IF(C9="Resilient (remains tradeable with moderate impact)",0,IF(C9="Some deterioration but tradeable",10,IF(C9="Liquidity collapses/frequently disappears",20,IF(C9="Unknown",10,""))))</f>
        <v>10</v>
      </c>
      <c r="F9">
        <f>IF(D9="High",0,IF(D9="Medium",0.05,IF(D9="Low",0.1,IF(D9="Unknown",0.15,""))))</f>
        <v>0.05</v>
      </c>
      <c r="G9">
        <f>E9*(1+F9)</f>
        <v>10.5</v>
      </c>
      <c r="H9" t="s">
        <v>1363</v>
      </c>
      <c r="I9" t="s">
        <v>1364</v>
      </c>
      <c r="J9" t="s">
        <v>166</v>
      </c>
      <c r="K9">
        <f>IF(I9="","",MAX(IFERROR(DATEVALUE(TRIM(MID(SUBSTITUTE(I9,";",REPT(" ",50)),1,50))),0),IFERROR(DATEVALUE(TRIM(MID(SUBSTITUTE(I9,";",REPT(" ",50)),51,50))),0),IFERROR(DATEVALUE(TRIM(MID(SUBSTITUTE(I9,";",REPT(" ",50)),101,50))),0),IFERROR(DATEVALUE(TRIM(MID(SUBSTITUTE(I9,";",REPT(" ",50)),151,50))),0),IFERROR(DATEVALUE(TRIM(MID(SUBSTITUTE(I9,";",REPT(" ",50)),201,50))),0),IFERROR(DATEVALUE(TRIM(MID(SUBSTITUTE(I9,";",REPT(" ",50)),251,50))),0),IFERROR(DATEVALUE(TRIM(MID(SUBSTITUTE(I9,";",REPT(" ",50)),301,50))),0),IFERROR(DATEVALUE(TRIM(MID(SUBSTITUTE(I9,";",REPT(" ",50)),351,50))),0),IFERROR(DATEVALUE(TRIM(MID(SUBSTITUTE(I9,";",REPT(" ",50)),401,50))),0),IFERROR(DATEVALUE(TRIM(MID(SUBSTITUTE(I9,";",REPT(" ",50)),451,50))),0)))</f>
        <v>45902</v>
      </c>
      <c r="M9" t="s">
        <v>275</v>
      </c>
      <c r="N9">
        <f>IF(M9="","",IF(L9="",INDEX($F$61:$F$64,MATCH(M9,$C$61:$C$64,0)),IF(L9&lt;=INDEX($D$61:$D$64,MATCH(M9,$C$61:$C$64,0)),0,IF(L9&lt;=INDEX($E$61:$E$64,MATCH(M9,$C$61:$C$64,0)),INDEX($F$61:$F$64,MATCH(M9,$C$61:$C$64,0)),INDEX($G$61:$G$64,MATCH(M9,$C$61:$C$64,0))))))</f>
        <v>5</v>
      </c>
      <c r="O9">
        <f>G9+N9</f>
        <v>15.5</v>
      </c>
      <c r="P9" t="str">
        <f>IF(AND(C9="Liquidity collapses/frequently disappears",OR(D9="High",D9="Medium")),"Review Required","No Review")</f>
        <v>No Review</v>
      </c>
      <c r="Q9" t="s">
        <v>1365</v>
      </c>
      <c r="R9" t="s">
        <v>1366</v>
      </c>
    </row>
    <row r="10" spans="1:19" x14ac:dyDescent="0.2">
      <c r="A10" t="s">
        <v>214</v>
      </c>
      <c r="B10" t="s">
        <v>1367</v>
      </c>
      <c r="C10" t="s">
        <v>1368</v>
      </c>
      <c r="D10" t="s">
        <v>182</v>
      </c>
      <c r="E10">
        <f>IF(C10="Feasible with manageable impact",0,IF(C10="Feasible but with significant care",10,IF(C10="Very difficult without extreme impact",20,IF(C10="Unknown",10,""))))</f>
        <v>10</v>
      </c>
      <c r="F10">
        <f>IF(D10="High",0,IF(D10="Medium",0.05,IF(D10="Low",0.1,IF(D10="Unknown",0.15,""))))</f>
        <v>0.05</v>
      </c>
      <c r="G10">
        <f>E10*(1+F10)</f>
        <v>10.5</v>
      </c>
      <c r="H10" t="s">
        <v>1369</v>
      </c>
      <c r="I10" t="s">
        <v>1370</v>
      </c>
      <c r="J10" t="s">
        <v>166</v>
      </c>
      <c r="K10">
        <f>IF(I10="","",MAX(IFERROR(DATEVALUE(TRIM(MID(SUBSTITUTE(I10,";",REPT(" ",50)),1,50))),0),IFERROR(DATEVALUE(TRIM(MID(SUBSTITUTE(I10,";",REPT(" ",50)),51,50))),0),IFERROR(DATEVALUE(TRIM(MID(SUBSTITUTE(I10,";",REPT(" ",50)),101,50))),0),IFERROR(DATEVALUE(TRIM(MID(SUBSTITUTE(I10,";",REPT(" ",50)),151,50))),0),IFERROR(DATEVALUE(TRIM(MID(SUBSTITUTE(I10,";",REPT(" ",50)),201,50))),0),IFERROR(DATEVALUE(TRIM(MID(SUBSTITUTE(I10,";",REPT(" ",50)),251,50))),0),IFERROR(DATEVALUE(TRIM(MID(SUBSTITUTE(I10,";",REPT(" ",50)),301,50))),0),IFERROR(DATEVALUE(TRIM(MID(SUBSTITUTE(I10,";",REPT(" ",50)),351,50))),0),IFERROR(DATEVALUE(TRIM(MID(SUBSTITUTE(I10,";",REPT(" ",50)),401,50))),0),IFERROR(DATEVALUE(TRIM(MID(SUBSTITUTE(I10,";",REPT(" ",50)),451,50))),0)))</f>
        <v>46011</v>
      </c>
      <c r="M10" t="s">
        <v>185</v>
      </c>
      <c r="N10">
        <f>IF(M10="","",IF(L10="",INDEX($F$61:$F$64,MATCH(M10,$C$61:$C$64,0)),IF(L10&lt;=INDEX($D$61:$D$64,MATCH(M10,$C$61:$C$64,0)),0,IF(L10&lt;=INDEX($E$61:$E$64,MATCH(M10,$C$61:$C$64,0)),INDEX($F$61:$F$64,MATCH(M10,$C$61:$C$64,0)),INDEX($G$61:$G$64,MATCH(M10,$C$61:$C$64,0))))))</f>
        <v>3</v>
      </c>
      <c r="O10">
        <f>G10+N10</f>
        <v>13.5</v>
      </c>
      <c r="P10" t="s">
        <v>168</v>
      </c>
      <c r="R10" t="s">
        <v>1371</v>
      </c>
    </row>
    <row r="11" spans="1:19" x14ac:dyDescent="0.2">
      <c r="A11" t="s">
        <v>219</v>
      </c>
      <c r="B11" t="s">
        <v>1372</v>
      </c>
      <c r="C11" t="s">
        <v>1373</v>
      </c>
      <c r="D11" t="s">
        <v>163</v>
      </c>
      <c r="E11">
        <f>IF(C11="Concentrated in a few deep venues/pairs",0,IF(C11="Moderately fragmented",10,IF(C11="Highly fragmented across illiquid venues/pairs",20,IF(C11="Unknown",10,""))))</f>
        <v>0</v>
      </c>
      <c r="F11">
        <f>IF(D11="High",0,IF(D11="Medium",0.05,IF(D11="Low",0.1,IF(D11="Unknown",0.15,""))))</f>
        <v>0</v>
      </c>
      <c r="G11">
        <f>E11*(1+F11)</f>
        <v>0</v>
      </c>
      <c r="H11" t="s">
        <v>1374</v>
      </c>
      <c r="I11" t="s">
        <v>1375</v>
      </c>
      <c r="J11" t="s">
        <v>166</v>
      </c>
      <c r="K11">
        <f>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46011</v>
      </c>
      <c r="M11" t="s">
        <v>185</v>
      </c>
      <c r="N11">
        <f>IF(M11="","",IF(L11="",INDEX($F$61:$F$64,MATCH(M11,$C$61:$C$64,0)),IF(L11&lt;=INDEX($D$61:$D$64,MATCH(M11,$C$61:$C$64,0)),0,IF(L11&lt;=INDEX($E$61:$E$64,MATCH(M11,$C$61:$C$64,0)),INDEX($F$61:$F$64,MATCH(M11,$C$61:$C$64,0)),INDEX($G$61:$G$64,MATCH(M11,$C$61:$C$64,0))))))</f>
        <v>3</v>
      </c>
      <c r="O11">
        <f>G11+N11</f>
        <v>3</v>
      </c>
      <c r="P11" t="s">
        <v>168</v>
      </c>
      <c r="R11" t="s">
        <v>1376</v>
      </c>
    </row>
    <row r="12" spans="1:19" x14ac:dyDescent="0.2">
      <c r="A12" t="s">
        <v>224</v>
      </c>
      <c r="B12" t="s">
        <v>1377</v>
      </c>
      <c r="C12" t="s">
        <v>1378</v>
      </c>
      <c r="D12" t="s">
        <v>182</v>
      </c>
      <c r="E12">
        <v>0</v>
      </c>
      <c r="F12">
        <f>IF(D12="High",0,IF(D12="Medium",0.05,IF(D12="Low",0.1,IF(D12="Unknown",0.15,""))))</f>
        <v>0.05</v>
      </c>
      <c r="G12">
        <f>E12*(1+F12)</f>
        <v>0</v>
      </c>
      <c r="H12" t="s">
        <v>1379</v>
      </c>
      <c r="I12" t="s">
        <v>1289</v>
      </c>
      <c r="J12" t="s">
        <v>166</v>
      </c>
      <c r="K12">
        <f>IF(I12="","",MAX(IFERROR(DATEVALUE(TRIM(MID(SUBSTITUTE(I12,";",REPT(" ",50)),1,50))),0),IFERROR(DATEVALUE(TRIM(MID(SUBSTITUTE(I12,";",REPT(" ",50)),51,50))),0),IFERROR(DATEVALUE(TRIM(MID(SUBSTITUTE(I12,";",REPT(" ",50)),101,50))),0),IFERROR(DATEVALUE(TRIM(MID(SUBSTITUTE(I12,";",REPT(" ",50)),151,50))),0),IFERROR(DATEVALUE(TRIM(MID(SUBSTITUTE(I12,";",REPT(" ",50)),201,50))),0),IFERROR(DATEVALUE(TRIM(MID(SUBSTITUTE(I12,";",REPT(" ",50)),251,50))),0),IFERROR(DATEVALUE(TRIM(MID(SUBSTITUTE(I12,";",REPT(" ",50)),301,50))),0),IFERROR(DATEVALUE(TRIM(MID(SUBSTITUTE(I12,";",REPT(" ",50)),351,50))),0),IFERROR(DATEVALUE(TRIM(MID(SUBSTITUTE(I12,";",REPT(" ",50)),401,50))),0),IFERROR(DATEVALUE(TRIM(MID(SUBSTITUTE(I12,";",REPT(" ",50)),451,50))),0)))</f>
        <v>45902</v>
      </c>
      <c r="M12" t="s">
        <v>185</v>
      </c>
      <c r="N12">
        <f>IF(M12="","",IF(L12="",INDEX($F$61:$F$64,MATCH(M12,$C$61:$C$64,0)),IF(L12&lt;=INDEX($D$61:$D$64,MATCH(M12,$C$61:$C$64,0)),0,IF(L12&lt;=INDEX($E$61:$E$64,MATCH(M12,$C$61:$C$64,0)),INDEX($F$61:$F$64,MATCH(M12,$C$61:$C$64,0)),INDEX($G$61:$G$64,MATCH(M12,$C$61:$C$64,0))))))</f>
        <v>3</v>
      </c>
      <c r="O12">
        <f>G12+N12</f>
        <v>3</v>
      </c>
      <c r="P12" t="s">
        <v>168</v>
      </c>
      <c r="Q12" t="s">
        <v>823</v>
      </c>
      <c r="R12" t="s">
        <v>1380</v>
      </c>
    </row>
    <row r="13" spans="1:19" x14ac:dyDescent="0.2">
      <c r="A13" s="4"/>
      <c r="B13" s="5" t="s">
        <v>1381</v>
      </c>
      <c r="C13" s="4"/>
      <c r="D13" s="4"/>
      <c r="E13" s="4"/>
      <c r="F13" s="4"/>
      <c r="G13" s="4"/>
      <c r="H13" s="4"/>
      <c r="I13" s="4"/>
      <c r="J13" s="4"/>
      <c r="K13" s="23" t="str">
        <f>IF(I13="","",MAX(IFERROR(DATEVALUE(TRIM(MID(SUBSTITUTE(I13,";",REPT(" ",50)),1,50))),0),IFERROR(DATEVALUE(TRIM(MID(SUBSTITUTE(I13,";",REPT(" ",50)),51,50))),0),IFERROR(DATEVALUE(TRIM(MID(SUBSTITUTE(I13,";",REPT(" ",50)),101,50))),0),IFERROR(DATEVALUE(TRIM(MID(SUBSTITUTE(I13,";",REPT(" ",50)),151,50))),0),IFERROR(DATEVALUE(TRIM(MID(SUBSTITUTE(I13,";",REPT(" ",50)),201,50))),0),IFERROR(DATEVALUE(TRIM(MID(SUBSTITUTE(I13,";",REPT(" ",50)),251,50))),0),IFERROR(DATEVALUE(TRIM(MID(SUBSTITUTE(I13,";",REPT(" ",50)),301,50))),0),IFERROR(DATEVALUE(TRIM(MID(SUBSTITUTE(I13,";",REPT(" ",50)),351,50))),0),IFERROR(DATEVALUE(TRIM(MID(SUBSTITUTE(I13,";",REPT(" ",50)),401,50))),0),IFERROR(DATEVALUE(TRIM(MID(SUBSTITUTE(I13,";",REPT(" ",50)),451,50))),0)))</f>
        <v/>
      </c>
      <c r="L13" s="4"/>
      <c r="M13" s="4"/>
      <c r="N13" s="4" t="str">
        <f>IF(M13="","",IF(L13="",INDEX($F$61:$F$64,MATCH(M13,$C$61:$C$64,0)),IF(L13&lt;=INDEX($D$61:$D$64,MATCH(M13,$C$61:$C$64,0)),0,IF(L13&lt;=INDEX($E$61:$E$64,MATCH(M13,$C$61:$C$64,0)),INDEX($F$61:$F$64,MATCH(M13,$C$61:$C$64,0)),INDEX($G$61:$G$64,MATCH(M13,$C$61:$C$64,0))))))</f>
        <v/>
      </c>
      <c r="O13" s="4"/>
      <c r="P13" s="4"/>
      <c r="Q13" s="4"/>
      <c r="R13" s="4"/>
    </row>
    <row r="14" spans="1:19" x14ac:dyDescent="0.2">
      <c r="A14" s="3"/>
      <c r="B14" s="48"/>
      <c r="C14" s="49"/>
      <c r="D14" s="49"/>
      <c r="E14" s="49"/>
      <c r="F14" s="49"/>
      <c r="G14" s="49"/>
      <c r="H14" s="49"/>
      <c r="I14" s="49"/>
      <c r="J14" s="49"/>
      <c r="K14" s="50"/>
      <c r="L14" s="49"/>
      <c r="M14" s="49"/>
      <c r="N14" s="49"/>
      <c r="O14" s="49"/>
      <c r="P14" s="49"/>
      <c r="Q14" s="49"/>
      <c r="R14" s="49"/>
    </row>
    <row r="15" spans="1:19" x14ac:dyDescent="0.2">
      <c r="A15" t="s">
        <v>244</v>
      </c>
      <c r="B15" t="s">
        <v>1382</v>
      </c>
      <c r="C15" t="s">
        <v>1383</v>
      </c>
      <c r="D15" t="s">
        <v>163</v>
      </c>
      <c r="E15">
        <f>IF(C15="Low to moderate turnover",0,IF(C15="Elevated but plausible",10,IF(C15="Suspiciously high vs peers",20,IF(C15="Unknown",10,""))))</f>
        <v>0</v>
      </c>
      <c r="F15">
        <f>IF(D15="High",0,IF(D15="Medium",0.05,IF(D15="Low",0.1,IF(D15="Unknown",0.15,""))))</f>
        <v>0</v>
      </c>
      <c r="G15">
        <f>E15*(1+F15)</f>
        <v>0</v>
      </c>
      <c r="H15" t="s">
        <v>1384</v>
      </c>
      <c r="I15" t="s">
        <v>1385</v>
      </c>
      <c r="J15" t="s">
        <v>176</v>
      </c>
      <c r="K15">
        <f>IF(I15="","",MAX(IFERROR(DATEVALUE(TRIM(MID(SUBSTITUTE(I15,";",REPT(" ",50)),1,50))),0),IFERROR(DATEVALUE(TRIM(MID(SUBSTITUTE(I15,";",REPT(" ",50)),51,50))),0),IFERROR(DATEVALUE(TRIM(MID(SUBSTITUTE(I15,";",REPT(" ",50)),101,50))),0),IFERROR(DATEVALUE(TRIM(MID(SUBSTITUTE(I15,";",REPT(" ",50)),151,50))),0),IFERROR(DATEVALUE(TRIM(MID(SUBSTITUTE(I15,";",REPT(" ",50)),201,50))),0),IFERROR(DATEVALUE(TRIM(MID(SUBSTITUTE(I15,";",REPT(" ",50)),251,50))),0),IFERROR(DATEVALUE(TRIM(MID(SUBSTITUTE(I15,";",REPT(" ",50)),301,50))),0),IFERROR(DATEVALUE(TRIM(MID(SUBSTITUTE(I15,";",REPT(" ",50)),351,50))),0),IFERROR(DATEVALUE(TRIM(MID(SUBSTITUTE(I15,";",REPT(" ",50)),401,50))),0),IFERROR(DATEVALUE(TRIM(MID(SUBSTITUTE(I15,";",REPT(" ",50)),451,50))),0)))</f>
        <v>46012</v>
      </c>
      <c r="M15" t="s">
        <v>185</v>
      </c>
      <c r="N15">
        <f>IF(M15="","",IF(L15="",INDEX($F$61:$F$64,MATCH(M15,$C$61:$C$64,0)),IF(L15&lt;=INDEX($D$61:$D$64,MATCH(M15,$C$61:$C$64,0)),0,IF(L15&lt;=INDEX($E$61:$E$64,MATCH(M15,$C$61:$C$64,0)),INDEX($F$61:$F$64,MATCH(M15,$C$61:$C$64,0)),INDEX($G$61:$G$64,MATCH(M15,$C$61:$C$64,0))))))</f>
        <v>3</v>
      </c>
      <c r="O15">
        <f>G15+N15</f>
        <v>3</v>
      </c>
      <c r="P15" t="s">
        <v>168</v>
      </c>
      <c r="R15" t="s">
        <v>1386</v>
      </c>
    </row>
    <row r="16" spans="1:19" x14ac:dyDescent="0.2">
      <c r="A16" t="s">
        <v>250</v>
      </c>
      <c r="B16" t="s">
        <v>1387</v>
      </c>
      <c r="C16" t="s">
        <v>1388</v>
      </c>
      <c r="D16" t="s">
        <v>163</v>
      </c>
      <c r="E16">
        <f>IF(C16="Consistent/organic pattern",0,IF(C16="Some spikes but broadly organic",10,IF(C16="Highly spiky or unnatural pattern",20,IF(C16="Unknown",10,""))))</f>
        <v>20</v>
      </c>
      <c r="F16">
        <f>IF(D16="High",0,IF(D16="Medium",0.05,IF(D16="Low",0.1,IF(D16="Unknown",0.15,""))))</f>
        <v>0</v>
      </c>
      <c r="G16">
        <f>E16*(1+F16)</f>
        <v>20</v>
      </c>
      <c r="H16" t="s">
        <v>1389</v>
      </c>
      <c r="I16" t="s">
        <v>1390</v>
      </c>
      <c r="J16" t="s">
        <v>166</v>
      </c>
      <c r="K16">
        <f>IF(I16="","",MAX(IFERROR(DATEVALUE(TRIM(MID(SUBSTITUTE(I16,";",REPT(" ",50)),1,50))),0),IFERROR(DATEVALUE(TRIM(MID(SUBSTITUTE(I16,";",REPT(" ",50)),51,50))),0),IFERROR(DATEVALUE(TRIM(MID(SUBSTITUTE(I16,";",REPT(" ",50)),101,50))),0),IFERROR(DATEVALUE(TRIM(MID(SUBSTITUTE(I16,";",REPT(" ",50)),151,50))),0),IFERROR(DATEVALUE(TRIM(MID(SUBSTITUTE(I16,";",REPT(" ",50)),201,50))),0),IFERROR(DATEVALUE(TRIM(MID(SUBSTITUTE(I16,";",REPT(" ",50)),251,50))),0),IFERROR(DATEVALUE(TRIM(MID(SUBSTITUTE(I16,";",REPT(" ",50)),301,50))),0),IFERROR(DATEVALUE(TRIM(MID(SUBSTITUTE(I16,";",REPT(" ",50)),351,50))),0),IFERROR(DATEVALUE(TRIM(MID(SUBSTITUTE(I16,";",REPT(" ",50)),401,50))),0),IFERROR(DATEVALUE(TRIM(MID(SUBSTITUTE(I16,";",REPT(" ",50)),451,50))),0)))</f>
        <v>46011</v>
      </c>
      <c r="M16" t="s">
        <v>185</v>
      </c>
      <c r="N16">
        <f>IF(M16="","",IF(L16="",INDEX($F$61:$F$64,MATCH(M16,$C$61:$C$64,0)),IF(L16&lt;=INDEX($D$61:$D$64,MATCH(M16,$C$61:$C$64,0)),0,IF(L16&lt;=INDEX($E$61:$E$64,MATCH(M16,$C$61:$C$64,0)),INDEX($F$61:$F$64,MATCH(M16,$C$61:$C$64,0)),INDEX($G$61:$G$64,MATCH(M16,$C$61:$C$64,0))))))</f>
        <v>3</v>
      </c>
      <c r="O16">
        <f>G16+N16</f>
        <v>23</v>
      </c>
      <c r="P16" t="s">
        <v>168</v>
      </c>
      <c r="R16" t="s">
        <v>1391</v>
      </c>
    </row>
    <row r="17" spans="1:19" x14ac:dyDescent="0.2">
      <c r="A17" t="s">
        <v>256</v>
      </c>
      <c r="B17" t="s">
        <v>1392</v>
      </c>
      <c r="C17" t="s">
        <v>1393</v>
      </c>
      <c r="D17" t="s">
        <v>163</v>
      </c>
      <c r="E17">
        <f>IF(C17="Spot-dominant volume",0,IF(C17="Balanced spot/derivatives",10,IF(C17="Derivatives-dominant volume",20,IF(C17="Unknown",10,""))))</f>
        <v>20</v>
      </c>
      <c r="F17">
        <f>IF(D17="High",0,IF(D17="Medium",0.05,IF(D17="Low",0.1,IF(D17="Unknown",0.15,""))))</f>
        <v>0</v>
      </c>
      <c r="G17">
        <f>E17*(1+F17)</f>
        <v>20</v>
      </c>
      <c r="H17" t="s">
        <v>1394</v>
      </c>
      <c r="I17" t="s">
        <v>1100</v>
      </c>
      <c r="J17" t="s">
        <v>176</v>
      </c>
      <c r="K17">
        <f>IF(I17="","",MAX(IFERROR(DATEVALUE(TRIM(MID(SUBSTITUTE(I17,";",REPT(" ",50)),1,50))),0),IFERROR(DATEVALUE(TRIM(MID(SUBSTITUTE(I17,";",REPT(" ",50)),51,50))),0),IFERROR(DATEVALUE(TRIM(MID(SUBSTITUTE(I17,";",REPT(" ",50)),101,50))),0),IFERROR(DATEVALUE(TRIM(MID(SUBSTITUTE(I17,";",REPT(" ",50)),151,50))),0),IFERROR(DATEVALUE(TRIM(MID(SUBSTITUTE(I17,";",REPT(" ",50)),201,50))),0),IFERROR(DATEVALUE(TRIM(MID(SUBSTITUTE(I17,";",REPT(" ",50)),251,50))),0),IFERROR(DATEVALUE(TRIM(MID(SUBSTITUTE(I17,";",REPT(" ",50)),301,50))),0),IFERROR(DATEVALUE(TRIM(MID(SUBSTITUTE(I17,";",REPT(" ",50)),351,50))),0),IFERROR(DATEVALUE(TRIM(MID(SUBSTITUTE(I17,";",REPT(" ",50)),401,50))),0),IFERROR(DATEVALUE(TRIM(MID(SUBSTITUTE(I17,";",REPT(" ",50)),451,50))),0)))</f>
        <v>45962</v>
      </c>
      <c r="M17" t="s">
        <v>185</v>
      </c>
      <c r="N17">
        <f>IF(M17="","",IF(L17="",INDEX($F$61:$F$64,MATCH(M17,$C$61:$C$64,0)),IF(L17&lt;=INDEX($D$61:$D$64,MATCH(M17,$C$61:$C$64,0)),0,IF(L17&lt;=INDEX($E$61:$E$64,MATCH(M17,$C$61:$C$64,0)),INDEX($F$61:$F$64,MATCH(M17,$C$61:$C$64,0)),INDEX($G$61:$G$64,MATCH(M17,$C$61:$C$64,0))))))</f>
        <v>3</v>
      </c>
      <c r="O17">
        <f>G17+N17</f>
        <v>23</v>
      </c>
      <c r="P17" t="s">
        <v>168</v>
      </c>
      <c r="R17" t="s">
        <v>1395</v>
      </c>
    </row>
    <row r="18" spans="1:19" x14ac:dyDescent="0.2">
      <c r="A18" t="s">
        <v>600</v>
      </c>
      <c r="B18" t="s">
        <v>1396</v>
      </c>
      <c r="C18" t="s">
        <v>1397</v>
      </c>
      <c r="D18" t="s">
        <v>182</v>
      </c>
      <c r="E18">
        <v>0</v>
      </c>
      <c r="F18">
        <f>IF(D18="High",0,IF(D18="Medium",0.05,IF(D18="Low",0.1,IF(D18="Unknown",0.15,""))))</f>
        <v>0.05</v>
      </c>
      <c r="G18">
        <f>E18*(1+F18)</f>
        <v>0</v>
      </c>
      <c r="H18" t="s">
        <v>1398</v>
      </c>
      <c r="I18" t="s">
        <v>1364</v>
      </c>
      <c r="J18" t="s">
        <v>166</v>
      </c>
      <c r="K18">
        <f>IF(I18="","",MAX(IFERROR(DATEVALUE(TRIM(MID(SUBSTITUTE(I18,";",REPT(" ",50)),1,50))),0),IFERROR(DATEVALUE(TRIM(MID(SUBSTITUTE(I18,";",REPT(" ",50)),51,50))),0),IFERROR(DATEVALUE(TRIM(MID(SUBSTITUTE(I18,";",REPT(" ",50)),101,50))),0),IFERROR(DATEVALUE(TRIM(MID(SUBSTITUTE(I18,";",REPT(" ",50)),151,50))),0),IFERROR(DATEVALUE(TRIM(MID(SUBSTITUTE(I18,";",REPT(" ",50)),201,50))),0),IFERROR(DATEVALUE(TRIM(MID(SUBSTITUTE(I18,";",REPT(" ",50)),251,50))),0),IFERROR(DATEVALUE(TRIM(MID(SUBSTITUTE(I18,";",REPT(" ",50)),301,50))),0),IFERROR(DATEVALUE(TRIM(MID(SUBSTITUTE(I18,";",REPT(" ",50)),351,50))),0),IFERROR(DATEVALUE(TRIM(MID(SUBSTITUTE(I18,";",REPT(" ",50)),401,50))),0),IFERROR(DATEVALUE(TRIM(MID(SUBSTITUTE(I18,";",REPT(" ",50)),451,50))),0)))</f>
        <v>45902</v>
      </c>
      <c r="M18" t="s">
        <v>300</v>
      </c>
      <c r="N18">
        <f>IF(M18="","",IF(L18="",INDEX($F$61:$F$64,MATCH(M18,$C$61:$C$64,0)),IF(L18&lt;=INDEX($D$61:$D$64,MATCH(M18,$C$61:$C$64,0)),0,IF(L18&lt;=INDEX($E$61:$E$64,MATCH(M18,$C$61:$C$64,0)),INDEX($F$61:$F$64,MATCH(M18,$C$61:$C$64,0)),INDEX($G$61:$G$64,MATCH(M18,$C$61:$C$64,0))))))</f>
        <v>2</v>
      </c>
      <c r="O18">
        <f>G18+N18</f>
        <v>2</v>
      </c>
      <c r="P18" t="s">
        <v>168</v>
      </c>
      <c r="Q18" t="s">
        <v>823</v>
      </c>
      <c r="R18" t="s">
        <v>1399</v>
      </c>
    </row>
    <row r="19" spans="1:19" x14ac:dyDescent="0.2">
      <c r="A19" s="3"/>
      <c r="B19" s="48"/>
      <c r="C19" s="49"/>
      <c r="D19" s="49"/>
      <c r="E19" s="49"/>
      <c r="F19" s="49"/>
      <c r="G19" s="49"/>
      <c r="H19" s="49"/>
      <c r="I19" s="49"/>
      <c r="J19" s="49"/>
      <c r="K19" s="50"/>
      <c r="L19" s="49"/>
      <c r="M19" s="49"/>
      <c r="N19" s="49"/>
      <c r="O19" s="49"/>
      <c r="P19" s="49"/>
      <c r="Q19" s="49"/>
      <c r="R19" s="49"/>
    </row>
    <row r="20" spans="1:19" x14ac:dyDescent="0.2">
      <c r="A20" t="s">
        <v>272</v>
      </c>
      <c r="B20" t="s">
        <v>1400</v>
      </c>
      <c r="C20" t="s">
        <v>1401</v>
      </c>
      <c r="D20" t="s">
        <v>182</v>
      </c>
      <c r="E20">
        <f>IF(C20="No significant wash-trading flags",0,IF(C20="Some wash-trading flags",10,IF(C20="Strong wash-trading/fake volume flags",20,IF(C20="Unknown",10,""))))</f>
        <v>0</v>
      </c>
      <c r="F20">
        <f>IF(D20="High",0,IF(D20="Medium",0.05,IF(D20="Low",0.1,IF(D20="Unknown",0.15,""))))</f>
        <v>0.05</v>
      </c>
      <c r="G20">
        <f>E20*(1+F20)</f>
        <v>0</v>
      </c>
      <c r="H20" t="s">
        <v>1402</v>
      </c>
      <c r="I20" t="s">
        <v>1403</v>
      </c>
      <c r="J20" t="s">
        <v>166</v>
      </c>
      <c r="K20">
        <f>IF(I20="","",MAX(IFERROR(DATEVALUE(TRIM(MID(SUBSTITUTE(I20,";",REPT(" ",50)),1,50))),0),IFERROR(DATEVALUE(TRIM(MID(SUBSTITUTE(I20,";",REPT(" ",50)),51,50))),0),IFERROR(DATEVALUE(TRIM(MID(SUBSTITUTE(I20,";",REPT(" ",50)),101,50))),0),IFERROR(DATEVALUE(TRIM(MID(SUBSTITUTE(I20,";",REPT(" ",50)),151,50))),0),IFERROR(DATEVALUE(TRIM(MID(SUBSTITUTE(I20,";",REPT(" ",50)),201,50))),0),IFERROR(DATEVALUE(TRIM(MID(SUBSTITUTE(I20,";",REPT(" ",50)),251,50))),0),IFERROR(DATEVALUE(TRIM(MID(SUBSTITUTE(I20,";",REPT(" ",50)),301,50))),0),IFERROR(DATEVALUE(TRIM(MID(SUBSTITUTE(I20,";",REPT(" ",50)),351,50))),0),IFERROR(DATEVALUE(TRIM(MID(SUBSTITUTE(I20,";",REPT(" ",50)),401,50))),0),IFERROR(DATEVALUE(TRIM(MID(SUBSTITUTE(I20,";",REPT(" ",50)),451,50))),0)))</f>
        <v>46012</v>
      </c>
      <c r="M20" t="s">
        <v>185</v>
      </c>
      <c r="N20">
        <f>IF(M20="","",IF(L20="",INDEX($F$61:$F$64,MATCH(M20,$C$61:$C$64,0)),IF(L20&lt;=INDEX($D$61:$D$64,MATCH(M20,$C$61:$C$64,0)),0,IF(L20&lt;=INDEX($E$61:$E$64,MATCH(M20,$C$61:$C$64,0)),INDEX($F$61:$F$64,MATCH(M20,$C$61:$C$64,0)),INDEX($G$61:$G$64,MATCH(M20,$C$61:$C$64,0))))))</f>
        <v>3</v>
      </c>
      <c r="O20">
        <f>G20+N20</f>
        <v>3</v>
      </c>
      <c r="P20" t="str">
        <f>IF(AND(C20="Strong wash-trading/fake volume flags",OR(D20="High",D20="Medium")),"Review Required","No Review")</f>
        <v>No Review</v>
      </c>
      <c r="Q20" t="s">
        <v>1404</v>
      </c>
      <c r="R20" t="s">
        <v>1405</v>
      </c>
    </row>
    <row r="21" spans="1:19" x14ac:dyDescent="0.2">
      <c r="A21" t="s">
        <v>278</v>
      </c>
      <c r="B21" t="s">
        <v>1406</v>
      </c>
      <c r="C21" t="s">
        <v>1407</v>
      </c>
      <c r="D21" t="s">
        <v>163</v>
      </c>
      <c r="E21">
        <f>IF(C21="Volume mainly on reputable exchanges",0,IF(C21="Mixed (reputable and lower-quality)",10,IF(C21="Heavily concentrated on lower-quality/suspicious exchanges",20,IF(C21="Unknown",10,""))))</f>
        <v>0</v>
      </c>
      <c r="F21">
        <f>IF(D21="High",0,IF(D21="Medium",0.05,IF(D21="Low",0.1,IF(D21="Unknown",0.15,""))))</f>
        <v>0</v>
      </c>
      <c r="G21">
        <f>E21*(1+F21)</f>
        <v>0</v>
      </c>
      <c r="H21" t="s">
        <v>1408</v>
      </c>
      <c r="I21" t="s">
        <v>1409</v>
      </c>
      <c r="J21" t="s">
        <v>166</v>
      </c>
      <c r="K21">
        <f>IF(I21="","",MAX(IFERROR(DATEVALUE(TRIM(MID(SUBSTITUTE(I21,";",REPT(" ",50)),1,50))),0),IFERROR(DATEVALUE(TRIM(MID(SUBSTITUTE(I21,";",REPT(" ",50)),51,50))),0),IFERROR(DATEVALUE(TRIM(MID(SUBSTITUTE(I21,";",REPT(" ",50)),101,50))),0),IFERROR(DATEVALUE(TRIM(MID(SUBSTITUTE(I21,";",REPT(" ",50)),151,50))),0),IFERROR(DATEVALUE(TRIM(MID(SUBSTITUTE(I21,";",REPT(" ",50)),201,50))),0),IFERROR(DATEVALUE(TRIM(MID(SUBSTITUTE(I21,";",REPT(" ",50)),251,50))),0),IFERROR(DATEVALUE(TRIM(MID(SUBSTITUTE(I21,";",REPT(" ",50)),301,50))),0),IFERROR(DATEVALUE(TRIM(MID(SUBSTITUTE(I21,";",REPT(" ",50)),351,50))),0),IFERROR(DATEVALUE(TRIM(MID(SUBSTITUTE(I21,";",REPT(" ",50)),401,50))),0),IFERROR(DATEVALUE(TRIM(MID(SUBSTITUTE(I21,";",REPT(" ",50)),451,50))),0)))</f>
        <v>45905</v>
      </c>
      <c r="M21" t="s">
        <v>185</v>
      </c>
      <c r="N21">
        <f>IF(M21="","",IF(L21="",INDEX($F$61:$F$64,MATCH(M21,$C$61:$C$64,0)),IF(L21&lt;=INDEX($D$61:$D$64,MATCH(M21,$C$61:$C$64,0)),0,IF(L21&lt;=INDEX($E$61:$E$64,MATCH(M21,$C$61:$C$64,0)),INDEX($F$61:$F$64,MATCH(M21,$C$61:$C$64,0)),INDEX($G$61:$G$64,MATCH(M21,$C$61:$C$64,0))))))</f>
        <v>3</v>
      </c>
      <c r="O21">
        <f>G21+N21</f>
        <v>3</v>
      </c>
      <c r="P21" t="s">
        <v>168</v>
      </c>
      <c r="R21" t="s">
        <v>1410</v>
      </c>
    </row>
    <row r="22" spans="1:19" x14ac:dyDescent="0.2">
      <c r="A22" t="s">
        <v>284</v>
      </c>
      <c r="B22" t="s">
        <v>1411</v>
      </c>
      <c r="C22" t="s">
        <v>181</v>
      </c>
      <c r="D22" t="s">
        <v>182</v>
      </c>
      <c r="E22">
        <v>0</v>
      </c>
      <c r="F22">
        <f>IF(D22="High",0,IF(D22="Medium",0.05,IF(D22="Low",0.1,IF(D22="Unknown",0.15,""))))</f>
        <v>0.05</v>
      </c>
      <c r="G22">
        <f>E22*(1+F22)</f>
        <v>0</v>
      </c>
      <c r="H22" t="s">
        <v>1412</v>
      </c>
      <c r="I22" t="s">
        <v>1413</v>
      </c>
      <c r="J22" t="s">
        <v>166</v>
      </c>
      <c r="K22">
        <f>IF(I22="","",MAX(IFERROR(DATEVALUE(TRIM(MID(SUBSTITUTE(I22,";",REPT(" ",50)),1,50))),0),IFERROR(DATEVALUE(TRIM(MID(SUBSTITUTE(I22,";",REPT(" ",50)),51,50))),0),IFERROR(DATEVALUE(TRIM(MID(SUBSTITUTE(I22,";",REPT(" ",50)),101,50))),0),IFERROR(DATEVALUE(TRIM(MID(SUBSTITUTE(I22,";",REPT(" ",50)),151,50))),0),IFERROR(DATEVALUE(TRIM(MID(SUBSTITUTE(I22,";",REPT(" ",50)),201,50))),0),IFERROR(DATEVALUE(TRIM(MID(SUBSTITUTE(I22,";",REPT(" ",50)),251,50))),0),IFERROR(DATEVALUE(TRIM(MID(SUBSTITUTE(I22,";",REPT(" ",50)),301,50))),0),IFERROR(DATEVALUE(TRIM(MID(SUBSTITUTE(I22,";",REPT(" ",50)),351,50))),0),IFERROR(DATEVALUE(TRIM(MID(SUBSTITUTE(I22,";",REPT(" ",50)),401,50))),0),IFERROR(DATEVALUE(TRIM(MID(SUBSTITUTE(I22,";",REPT(" ",50)),451,50))),0)))</f>
        <v>45906</v>
      </c>
      <c r="M22" t="s">
        <v>275</v>
      </c>
      <c r="N22">
        <f>IF(M22="","",IF(L22="",INDEX($F$61:$F$64,MATCH(M22,$C$61:$C$64,0)),IF(L22&lt;=INDEX($D$61:$D$64,MATCH(M22,$C$61:$C$64,0)),0,IF(L22&lt;=INDEX($E$61:$E$64,MATCH(M22,$C$61:$C$64,0)),INDEX($F$61:$F$64,MATCH(M22,$C$61:$C$64,0)),INDEX($G$61:$G$64,MATCH(M22,$C$61:$C$64,0))))))</f>
        <v>5</v>
      </c>
      <c r="O22">
        <f>G22+N22</f>
        <v>5</v>
      </c>
      <c r="P22" t="str">
        <f>IF(AND(OR(C20="Some wash-trading flags",C20="Strong wash-trading/fake volume flags"),C21="Heavily concentrated on lower-quality/suspicious exchanges",OR(D20="High",D20="Medium",D21="High",D21="Medium")),"Review Required","No Review")</f>
        <v>No Review</v>
      </c>
      <c r="Q22" t="s">
        <v>1414</v>
      </c>
      <c r="R22" t="s">
        <v>1415</v>
      </c>
    </row>
    <row r="23" spans="1:19" x14ac:dyDescent="0.2">
      <c r="A23" t="s">
        <v>794</v>
      </c>
      <c r="B23" t="s">
        <v>1416</v>
      </c>
      <c r="C23" t="s">
        <v>1417</v>
      </c>
      <c r="D23" t="s">
        <v>182</v>
      </c>
      <c r="E23">
        <v>0</v>
      </c>
      <c r="F23">
        <f>IF(D23="High",0,IF(D23="Medium",0.05,IF(D23="Low",0.1,IF(D23="Unknown",0.15,""))))</f>
        <v>0.05</v>
      </c>
      <c r="G23">
        <f>E23*(1+F23)</f>
        <v>0</v>
      </c>
      <c r="H23" t="s">
        <v>1418</v>
      </c>
      <c r="I23" t="s">
        <v>1419</v>
      </c>
      <c r="J23" t="s">
        <v>166</v>
      </c>
      <c r="K23">
        <f>IF(I23="","",MAX(IFERROR(DATEVALUE(TRIM(MID(SUBSTITUTE(I23,";",REPT(" ",50)),1,50))),0),IFERROR(DATEVALUE(TRIM(MID(SUBSTITUTE(I23,";",REPT(" ",50)),51,50))),0),IFERROR(DATEVALUE(TRIM(MID(SUBSTITUTE(I23,";",REPT(" ",50)),101,50))),0),IFERROR(DATEVALUE(TRIM(MID(SUBSTITUTE(I23,";",REPT(" ",50)),151,50))),0),IFERROR(DATEVALUE(TRIM(MID(SUBSTITUTE(I23,";",REPT(" ",50)),201,50))),0),IFERROR(DATEVALUE(TRIM(MID(SUBSTITUTE(I23,";",REPT(" ",50)),251,50))),0),IFERROR(DATEVALUE(TRIM(MID(SUBSTITUTE(I23,";",REPT(" ",50)),301,50))),0),IFERROR(DATEVALUE(TRIM(MID(SUBSTITUTE(I23,";",REPT(" ",50)),351,50))),0),IFERROR(DATEVALUE(TRIM(MID(SUBSTITUTE(I23,";",REPT(" ",50)),401,50))),0),IFERROR(DATEVALUE(TRIM(MID(SUBSTITUTE(I23,";",REPT(" ",50)),451,50))),0)))</f>
        <v>45904</v>
      </c>
      <c r="M23" t="s">
        <v>185</v>
      </c>
      <c r="N23">
        <f>IF(M23="","",IF(L23="",INDEX($F$61:$F$64,MATCH(M23,$C$61:$C$64,0)),IF(L23&lt;=INDEX($D$61:$D$64,MATCH(M23,$C$61:$C$64,0)),0,IF(L23&lt;=INDEX($E$61:$E$64,MATCH(M23,$C$61:$C$64,0)),INDEX($F$61:$F$64,MATCH(M23,$C$61:$C$64,0)),INDEX($G$61:$G$64,MATCH(M23,$C$61:$C$64,0))))))</f>
        <v>3</v>
      </c>
      <c r="O23">
        <f>G23+N23</f>
        <v>3</v>
      </c>
      <c r="P23" t="s">
        <v>168</v>
      </c>
      <c r="Q23" t="s">
        <v>823</v>
      </c>
      <c r="R23" t="s">
        <v>1420</v>
      </c>
    </row>
    <row r="24" spans="1:19" x14ac:dyDescent="0.2">
      <c r="A24" s="4"/>
      <c r="B24" s="5" t="s">
        <v>1421</v>
      </c>
      <c r="C24" s="4"/>
      <c r="D24" s="4"/>
      <c r="E24" s="4"/>
      <c r="F24" s="4"/>
      <c r="G24" s="4"/>
      <c r="H24" s="4"/>
      <c r="I24" s="4"/>
      <c r="J24" s="4"/>
      <c r="K24" s="23" t="str">
        <f>IF(I24="","",MAX(IFERROR(DATEVALUE(TRIM(MID(SUBSTITUTE(I24,";",REPT(" ",50)),1,50))),0),IFERROR(DATEVALUE(TRIM(MID(SUBSTITUTE(I24,";",REPT(" ",50)),51,50))),0),IFERROR(DATEVALUE(TRIM(MID(SUBSTITUTE(I24,";",REPT(" ",50)),101,50))),0),IFERROR(DATEVALUE(TRIM(MID(SUBSTITUTE(I24,";",REPT(" ",50)),151,50))),0),IFERROR(DATEVALUE(TRIM(MID(SUBSTITUTE(I24,";",REPT(" ",50)),201,50))),0),IFERROR(DATEVALUE(TRIM(MID(SUBSTITUTE(I24,";",REPT(" ",50)),251,50))),0),IFERROR(DATEVALUE(TRIM(MID(SUBSTITUTE(I24,";",REPT(" ",50)),301,50))),0),IFERROR(DATEVALUE(TRIM(MID(SUBSTITUTE(I24,";",REPT(" ",50)),351,50))),0),IFERROR(DATEVALUE(TRIM(MID(SUBSTITUTE(I24,";",REPT(" ",50)),401,50))),0),IFERROR(DATEVALUE(TRIM(MID(SUBSTITUTE(I24,";",REPT(" ",50)),451,50))),0)))</f>
        <v/>
      </c>
      <c r="L24" s="4"/>
      <c r="M24" s="4"/>
      <c r="N24" s="4" t="str">
        <f>IF(M24="","",IF(L24="",INDEX($F$61:$F$64,MATCH(M24,$C$61:$C$64,0)),IF(L24&lt;=INDEX($D$61:$D$64,MATCH(M24,$C$61:$C$64,0)),0,IF(L24&lt;=INDEX($E$61:$E$64,MATCH(M24,$C$61:$C$64,0)),INDEX($F$61:$F$64,MATCH(M24,$C$61:$C$64,0)),INDEX($G$61:$G$64,MATCH(M24,$C$61:$C$64,0))))))</f>
        <v/>
      </c>
      <c r="O24" s="4"/>
      <c r="P24" s="4"/>
      <c r="Q24" s="4"/>
      <c r="R24" s="4"/>
    </row>
    <row r="25" spans="1:19" x14ac:dyDescent="0.2">
      <c r="A25" s="3"/>
      <c r="B25" s="48"/>
      <c r="C25" s="49"/>
      <c r="D25" s="49"/>
      <c r="E25" s="49"/>
      <c r="F25" s="49"/>
      <c r="G25" s="49"/>
      <c r="H25" s="49"/>
      <c r="I25" s="49"/>
      <c r="J25" s="49"/>
      <c r="K25" s="50"/>
      <c r="L25" s="49"/>
      <c r="M25" s="49"/>
      <c r="N25" s="49"/>
      <c r="O25" s="49"/>
      <c r="P25" s="49"/>
      <c r="Q25" s="49"/>
      <c r="R25" s="49"/>
    </row>
    <row r="26" spans="1:19" x14ac:dyDescent="0.2">
      <c r="A26" t="s">
        <v>607</v>
      </c>
      <c r="B26" t="s">
        <v>1422</v>
      </c>
      <c r="C26" t="s">
        <v>1423</v>
      </c>
      <c r="D26" t="s">
        <v>163</v>
      </c>
      <c r="E26">
        <f>IF(C26="Top venue &lt;40% of volume",0,IF(C26="Top venue 40–70%",10,IF(C26="Top venue &gt;70%",20,IF(C26="Unknown",10,""))))</f>
        <v>0</v>
      </c>
      <c r="F26">
        <f>IF(D26="High",0,IF(D26="Medium",0.05,IF(D26="Low",0.1,IF(D26="Unknown",0.15,""))))</f>
        <v>0</v>
      </c>
      <c r="G26">
        <f>E26*(1+F26)</f>
        <v>0</v>
      </c>
      <c r="H26" t="s">
        <v>1424</v>
      </c>
      <c r="I26" t="s">
        <v>176</v>
      </c>
      <c r="J26" t="s">
        <v>176</v>
      </c>
      <c r="K26">
        <f>IF(I26="","",MAX(IFERROR(DATEVALUE(TRIM(MID(SUBSTITUTE(I26,";",REPT(" ",50)),1,50))),0),IFERROR(DATEVALUE(TRIM(MID(SUBSTITUTE(I26,";",REPT(" ",50)),51,50))),0),IFERROR(DATEVALUE(TRIM(MID(SUBSTITUTE(I26,";",REPT(" ",50)),101,50))),0),IFERROR(DATEVALUE(TRIM(MID(SUBSTITUTE(I26,";",REPT(" ",50)),151,50))),0),IFERROR(DATEVALUE(TRIM(MID(SUBSTITUTE(I26,";",REPT(" ",50)),201,50))),0),IFERROR(DATEVALUE(TRIM(MID(SUBSTITUTE(I26,";",REPT(" ",50)),251,50))),0),IFERROR(DATEVALUE(TRIM(MID(SUBSTITUTE(I26,";",REPT(" ",50)),301,50))),0),IFERROR(DATEVALUE(TRIM(MID(SUBSTITUTE(I26,";",REPT(" ",50)),351,50))),0),IFERROR(DATEVALUE(TRIM(MID(SUBSTITUTE(I26,";",REPT(" ",50)),401,50))),0),IFERROR(DATEVALUE(TRIM(MID(SUBSTITUTE(I26,";",REPT(" ",50)),451,50))),0)))</f>
        <v>46012</v>
      </c>
      <c r="M26" t="s">
        <v>185</v>
      </c>
      <c r="N26">
        <f>IF(M26="","",IF(L26="",INDEX($F$61:$F$64,MATCH(M26,$C$61:$C$64,0)),IF(L26&lt;=INDEX($D$61:$D$64,MATCH(M26,$C$61:$C$64,0)),0,IF(L26&lt;=INDEX($E$61:$E$64,MATCH(M26,$C$61:$C$64,0)),INDEX($F$61:$F$64,MATCH(M26,$C$61:$C$64,0)),INDEX($G$61:$G$64,MATCH(M26,$C$61:$C$64,0))))))</f>
        <v>3</v>
      </c>
      <c r="O26">
        <f>G26+N26</f>
        <v>3</v>
      </c>
      <c r="P26" t="str">
        <f>IF(AND(C26="Top venue &gt;70%",OR(D26="High",D26="Medium")),"Review Required","No Review")</f>
        <v>No Review</v>
      </c>
      <c r="Q26" t="s">
        <v>1425</v>
      </c>
      <c r="R26" t="s">
        <v>1426</v>
      </c>
    </row>
    <row r="27" spans="1:19" x14ac:dyDescent="0.2">
      <c r="A27" t="s">
        <v>612</v>
      </c>
      <c r="B27" t="s">
        <v>1427</v>
      </c>
      <c r="C27" t="s">
        <v>1428</v>
      </c>
      <c r="D27" t="s">
        <v>163</v>
      </c>
      <c r="E27">
        <f>IF(C27="3 or more significant venues",0,IF(C27="2 significant venues",10,IF(C27="Single significant venue",20,IF(C27="Unknown",10,""))))</f>
        <v>0</v>
      </c>
      <c r="F27">
        <f>IF(D27="High",0,IF(D27="Medium",0.05,IF(D27="Low",0.1,IF(D27="Unknown",0.15,""))))</f>
        <v>0</v>
      </c>
      <c r="G27">
        <f>E27*(1+F27)</f>
        <v>0</v>
      </c>
      <c r="H27" t="s">
        <v>1429</v>
      </c>
      <c r="I27" t="s">
        <v>1430</v>
      </c>
      <c r="J27" t="s">
        <v>176</v>
      </c>
      <c r="K27">
        <f>IF(I27="","",MAX(IFERROR(DATEVALUE(TRIM(MID(SUBSTITUTE(I27,";",REPT(" ",50)),1,50))),0),IFERROR(DATEVALUE(TRIM(MID(SUBSTITUTE(I27,";",REPT(" ",50)),51,50))),0),IFERROR(DATEVALUE(TRIM(MID(SUBSTITUTE(I27,";",REPT(" ",50)),101,50))),0),IFERROR(DATEVALUE(TRIM(MID(SUBSTITUTE(I27,";",REPT(" ",50)),151,50))),0),IFERROR(DATEVALUE(TRIM(MID(SUBSTITUTE(I27,";",REPT(" ",50)),201,50))),0),IFERROR(DATEVALUE(TRIM(MID(SUBSTITUTE(I27,";",REPT(" ",50)),251,50))),0),IFERROR(DATEVALUE(TRIM(MID(SUBSTITUTE(I27,";",REPT(" ",50)),301,50))),0),IFERROR(DATEVALUE(TRIM(MID(SUBSTITUTE(I27,";",REPT(" ",50)),351,50))),0),IFERROR(DATEVALUE(TRIM(MID(SUBSTITUTE(I27,";",REPT(" ",50)),401,50))),0),IFERROR(DATEVALUE(TRIM(MID(SUBSTITUTE(I27,";",REPT(" ",50)),451,50))),0)))</f>
        <v>46007</v>
      </c>
      <c r="M27" t="s">
        <v>185</v>
      </c>
      <c r="N27">
        <f>IF(M27="","",IF(L27="",INDEX($F$61:$F$64,MATCH(M27,$C$61:$C$64,0)),IF(L27&lt;=INDEX($D$61:$D$64,MATCH(M27,$C$61:$C$64,0)),0,IF(L27&lt;=INDEX($E$61:$E$64,MATCH(M27,$C$61:$C$64,0)),INDEX($F$61:$F$64,MATCH(M27,$C$61:$C$64,0)),INDEX($G$61:$G$64,MATCH(M27,$C$61:$C$64,0))))))</f>
        <v>3</v>
      </c>
      <c r="O27">
        <f>G27+N27</f>
        <v>3</v>
      </c>
      <c r="P27" t="s">
        <v>168</v>
      </c>
      <c r="R27" t="s">
        <v>1431</v>
      </c>
    </row>
    <row r="28" spans="1:19" x14ac:dyDescent="0.2">
      <c r="A28" t="s">
        <v>617</v>
      </c>
      <c r="B28" t="s">
        <v>1432</v>
      </c>
      <c r="C28" t="s">
        <v>1433</v>
      </c>
      <c r="D28" t="s">
        <v>163</v>
      </c>
      <c r="E28">
        <f>IF(C28="Diversified across major regulated jurisdictions",0,IF(C28="Mixed (regulated and offshore)",10,IF(C28="Mostly offshore or lightly regulated venues",20,IF(C28="Unknown",10,""))))</f>
        <v>10</v>
      </c>
      <c r="F28">
        <f>IF(D28="High",0,IF(D28="Medium",0.05,IF(D28="Low",0.1,IF(D28="Unknown",0.15,""))))</f>
        <v>0</v>
      </c>
      <c r="G28">
        <f>E28*(1+F28)</f>
        <v>10</v>
      </c>
      <c r="H28" t="s">
        <v>1434</v>
      </c>
      <c r="I28" t="s">
        <v>1435</v>
      </c>
      <c r="J28" t="s">
        <v>166</v>
      </c>
      <c r="K28">
        <f>IF(I28="","",MAX(IFERROR(DATEVALUE(TRIM(MID(SUBSTITUTE(I28,";",REPT(" ",50)),1,50))),0),IFERROR(DATEVALUE(TRIM(MID(SUBSTITUTE(I28,";",REPT(" ",50)),51,50))),0),IFERROR(DATEVALUE(TRIM(MID(SUBSTITUTE(I28,";",REPT(" ",50)),101,50))),0),IFERROR(DATEVALUE(TRIM(MID(SUBSTITUTE(I28,";",REPT(" ",50)),151,50))),0),IFERROR(DATEVALUE(TRIM(MID(SUBSTITUTE(I28,";",REPT(" ",50)),201,50))),0),IFERROR(DATEVALUE(TRIM(MID(SUBSTITUTE(I28,";",REPT(" ",50)),251,50))),0),IFERROR(DATEVALUE(TRIM(MID(SUBSTITUTE(I28,";",REPT(" ",50)),301,50))),0),IFERROR(DATEVALUE(TRIM(MID(SUBSTITUTE(I28,";",REPT(" ",50)),351,50))),0),IFERROR(DATEVALUE(TRIM(MID(SUBSTITUTE(I28,";",REPT(" ",50)),401,50))),0),IFERROR(DATEVALUE(TRIM(MID(SUBSTITUTE(I28,";",REPT(" ",50)),451,50))),0)))</f>
        <v>45919</v>
      </c>
      <c r="M28" t="s">
        <v>185</v>
      </c>
      <c r="N28">
        <f>IF(M28="","",IF(L28="",INDEX($F$61:$F$64,MATCH(M28,$C$61:$C$64,0)),IF(L28&lt;=INDEX($D$61:$D$64,MATCH(M28,$C$61:$C$64,0)),0,IF(L28&lt;=INDEX($E$61:$E$64,MATCH(M28,$C$61:$C$64,0)),INDEX($F$61:$F$64,MATCH(M28,$C$61:$C$64,0)),INDEX($G$61:$G$64,MATCH(M28,$C$61:$C$64,0))))))</f>
        <v>3</v>
      </c>
      <c r="O28">
        <f>G28+N28</f>
        <v>13</v>
      </c>
      <c r="P28" t="s">
        <v>168</v>
      </c>
      <c r="R28" t="s">
        <v>1436</v>
      </c>
    </row>
    <row r="29" spans="1:19" x14ac:dyDescent="0.2">
      <c r="A29" t="s">
        <v>640</v>
      </c>
      <c r="B29" t="s">
        <v>1437</v>
      </c>
      <c r="C29" t="s">
        <v>1438</v>
      </c>
      <c r="D29" t="s">
        <v>163</v>
      </c>
      <c r="E29">
        <v>0</v>
      </c>
      <c r="F29">
        <f>IF(D29="High",0,IF(D29="Medium",0.05,IF(D29="Low",0.1,IF(D29="Unknown",0.15,""))))</f>
        <v>0</v>
      </c>
      <c r="G29">
        <f>E29*(1+F29)</f>
        <v>0</v>
      </c>
      <c r="H29" t="s">
        <v>1439</v>
      </c>
      <c r="I29" t="s">
        <v>1440</v>
      </c>
      <c r="J29" t="s">
        <v>166</v>
      </c>
      <c r="K29">
        <f>IF(I29="","",MAX(IFERROR(DATEVALUE(TRIM(MID(SUBSTITUTE(I29,";",REPT(" ",50)),1,50))),0),IFERROR(DATEVALUE(TRIM(MID(SUBSTITUTE(I29,";",REPT(" ",50)),51,50))),0),IFERROR(DATEVALUE(TRIM(MID(SUBSTITUTE(I29,";",REPT(" ",50)),101,50))),0),IFERROR(DATEVALUE(TRIM(MID(SUBSTITUTE(I29,";",REPT(" ",50)),151,50))),0),IFERROR(DATEVALUE(TRIM(MID(SUBSTITUTE(I29,";",REPT(" ",50)),201,50))),0),IFERROR(DATEVALUE(TRIM(MID(SUBSTITUTE(I29,";",REPT(" ",50)),251,50))),0),IFERROR(DATEVALUE(TRIM(MID(SUBSTITUTE(I29,";",REPT(" ",50)),301,50))),0),IFERROR(DATEVALUE(TRIM(MID(SUBSTITUTE(I29,";",REPT(" ",50)),351,50))),0),IFERROR(DATEVALUE(TRIM(MID(SUBSTITUTE(I29,";",REPT(" ",50)),401,50))),0),IFERROR(DATEVALUE(TRIM(MID(SUBSTITUTE(I29,";",REPT(" ",50)),451,50))),0)))</f>
        <v>46012</v>
      </c>
      <c r="M29" t="s">
        <v>300</v>
      </c>
      <c r="N29">
        <f>IF(M29="","",IF(L29="",INDEX($F$61:$F$64,MATCH(M29,$C$61:$C$64,0)),IF(L29&lt;=INDEX($D$61:$D$64,MATCH(M29,$C$61:$C$64,0)),0,IF(L29&lt;=INDEX($E$61:$E$64,MATCH(M29,$C$61:$C$64,0)),INDEX($F$61:$F$64,MATCH(M29,$C$61:$C$64,0)),INDEX($G$61:$G$64,MATCH(M29,$C$61:$C$64,0))))))</f>
        <v>2</v>
      </c>
      <c r="O29">
        <f>G29+N29</f>
        <v>2</v>
      </c>
      <c r="P29" t="s">
        <v>168</v>
      </c>
      <c r="Q29" t="s">
        <v>823</v>
      </c>
      <c r="R29" t="s">
        <v>1441</v>
      </c>
    </row>
    <row r="30" spans="1:19" x14ac:dyDescent="0.2">
      <c r="A30" s="3"/>
      <c r="B30" s="48"/>
      <c r="C30" s="49"/>
      <c r="D30" s="49"/>
      <c r="E30" s="49"/>
      <c r="F30" s="49"/>
      <c r="G30" s="49"/>
      <c r="H30" s="49"/>
      <c r="I30" s="49"/>
      <c r="J30" s="49"/>
      <c r="K30" s="50"/>
      <c r="L30" s="49"/>
      <c r="M30" s="49"/>
      <c r="N30" s="49"/>
      <c r="O30" s="49"/>
      <c r="P30" s="49"/>
      <c r="Q30" s="49"/>
      <c r="R30" s="49"/>
    </row>
    <row r="31" spans="1:19" x14ac:dyDescent="0.2">
      <c r="A31" t="s">
        <v>825</v>
      </c>
      <c r="B31" t="s">
        <v>1442</v>
      </c>
      <c r="C31" t="s">
        <v>1443</v>
      </c>
      <c r="D31" t="s">
        <v>182</v>
      </c>
      <c r="E31">
        <f>IF(C31="Balanced CEX/DEX mix",0,IF(C31="Mostly CEX volume",10,IF(C31="Mostly single DEX/AMM venue",20,IF(C31="Unknown",10,""))))</f>
        <v>10</v>
      </c>
      <c r="F31">
        <f>IF(D31="High",0,IF(D31="Medium",0.05,IF(D31="Low",0.1,IF(D31="Unknown",0.15,""))))</f>
        <v>0.05</v>
      </c>
      <c r="G31">
        <f>E31*(1+F31)</f>
        <v>10.5</v>
      </c>
      <c r="H31" t="s">
        <v>1444</v>
      </c>
      <c r="I31" t="s">
        <v>1445</v>
      </c>
      <c r="J31" t="s">
        <v>166</v>
      </c>
      <c r="K31">
        <f>IF(I31="","",MAX(IFERROR(DATEVALUE(TRIM(MID(SUBSTITUTE(I31,";",REPT(" ",50)),1,50))),0),IFERROR(DATEVALUE(TRIM(MID(SUBSTITUTE(I31,";",REPT(" ",50)),51,50))),0),IFERROR(DATEVALUE(TRIM(MID(SUBSTITUTE(I31,";",REPT(" ",50)),101,50))),0),IFERROR(DATEVALUE(TRIM(MID(SUBSTITUTE(I31,";",REPT(" ",50)),151,50))),0),IFERROR(DATEVALUE(TRIM(MID(SUBSTITUTE(I31,";",REPT(" ",50)),201,50))),0),IFERROR(DATEVALUE(TRIM(MID(SUBSTITUTE(I31,";",REPT(" ",50)),251,50))),0),IFERROR(DATEVALUE(TRIM(MID(SUBSTITUTE(I31,";",REPT(" ",50)),301,50))),0),IFERROR(DATEVALUE(TRIM(MID(SUBSTITUTE(I31,";",REPT(" ",50)),351,50))),0),IFERROR(DATEVALUE(TRIM(MID(SUBSTITUTE(I31,";",REPT(" ",50)),401,50))),0),IFERROR(DATEVALUE(TRIM(MID(SUBSTITUTE(I31,";",REPT(" ",50)),451,50))),0)))</f>
        <v>45901</v>
      </c>
      <c r="M31" t="s">
        <v>185</v>
      </c>
      <c r="N31">
        <f>IF(M31="","",IF(L31="",INDEX($F$61:$F$64,MATCH(M31,$C$61:$C$64,0)),IF(L31&lt;=INDEX($D$61:$D$64,MATCH(M31,$C$61:$C$64,0)),0,IF(L31&lt;=INDEX($E$61:$E$64,MATCH(M31,$C$61:$C$64,0)),INDEX($F$61:$F$64,MATCH(M31,$C$61:$C$64,0)),INDEX($G$61:$G$64,MATCH(M31,$C$61:$C$64,0))))))</f>
        <v>3</v>
      </c>
      <c r="O31">
        <f>G31+N31</f>
        <v>13.5</v>
      </c>
      <c r="P31" t="s">
        <v>168</v>
      </c>
      <c r="R31" t="s">
        <v>1446</v>
      </c>
    </row>
    <row r="32" spans="1:19" x14ac:dyDescent="0.2">
      <c r="A32" t="s">
        <v>832</v>
      </c>
      <c r="B32" t="s">
        <v>1447</v>
      </c>
      <c r="C32" t="s">
        <v>263</v>
      </c>
      <c r="D32" t="s">
        <v>263</v>
      </c>
      <c r="E32">
        <f>IF(C32="Diverse across multiple base pairs",0,IF(C32="Moderately concentrated (2–3 key pairs)",10,IF(C32="Highly reliant on a single pair",20,IF(C32="Unknown",10,""))))</f>
        <v>10</v>
      </c>
      <c r="F32">
        <f>IF(D32="High",0,IF(D32="Medium",0.05,IF(D32="Low",0.1,IF(D32="Unknown",0.15,""))))</f>
        <v>0.15</v>
      </c>
      <c r="G32">
        <f>E32*(1+F32)</f>
        <v>11.5</v>
      </c>
      <c r="K32" t="str">
        <f>IF(I32="","",MAX(IFERROR(DATEVALUE(TRIM(MID(SUBSTITUTE(I32,";",REPT(" ",50)),1,50))),0),IFERROR(DATEVALUE(TRIM(MID(SUBSTITUTE(I32,";",REPT(" ",50)),51,50))),0),IFERROR(DATEVALUE(TRIM(MID(SUBSTITUTE(I32,";",REPT(" ",50)),101,50))),0),IFERROR(DATEVALUE(TRIM(MID(SUBSTITUTE(I32,";",REPT(" ",50)),151,50))),0),IFERROR(DATEVALUE(TRIM(MID(SUBSTITUTE(I32,";",REPT(" ",50)),201,50))),0),IFERROR(DATEVALUE(TRIM(MID(SUBSTITUTE(I32,";",REPT(" ",50)),251,50))),0),IFERROR(DATEVALUE(TRIM(MID(SUBSTITUTE(I32,";",REPT(" ",50)),301,50))),0),IFERROR(DATEVALUE(TRIM(MID(SUBSTITUTE(I32,";",REPT(" ",50)),351,50))),0),IFERROR(DATEVALUE(TRIM(MID(SUBSTITUTE(I32,";",REPT(" ",50)),401,50))),0),IFERROR(DATEVALUE(TRIM(MID(SUBSTITUTE(I32,";",REPT(" ",50)),451,50))),0)))</f>
        <v/>
      </c>
      <c r="M32" t="s">
        <v>185</v>
      </c>
      <c r="N32">
        <f>IF(M32="","",IF(L32="",INDEX($F$61:$F$64,MATCH(M32,$C$61:$C$64,0)),IF(L32&lt;=INDEX($D$61:$D$64,MATCH(M32,$C$61:$C$64,0)),0,IF(L32&lt;=INDEX($E$61:$E$64,MATCH(M32,$C$61:$C$64,0)),INDEX($F$61:$F$64,MATCH(M32,$C$61:$C$64,0)),INDEX($G$61:$G$64,MATCH(M32,$C$61:$C$64,0))))))</f>
        <v>3</v>
      </c>
      <c r="O32">
        <f>G32+N32</f>
        <v>14.5</v>
      </c>
      <c r="P32" t="s">
        <v>168</v>
      </c>
      <c r="R32" t="s">
        <v>296</v>
      </c>
      <c r="S32" t="s">
        <v>1448</v>
      </c>
    </row>
    <row r="33" spans="1:18" x14ac:dyDescent="0.2">
      <c r="A33" t="s">
        <v>839</v>
      </c>
      <c r="B33" t="s">
        <v>1449</v>
      </c>
      <c r="C33" t="s">
        <v>1450</v>
      </c>
      <c r="D33" t="s">
        <v>163</v>
      </c>
      <c r="E33">
        <f>IF(C33="Mix includes deep stablecoin pairs",0,IF(C33="Mostly volatile asset pairs but still deep",10,IF(C33="Liquidity mainly in thin/volatile or exotic pairs",20,IF(C33="Unknown",10,""))))</f>
        <v>0</v>
      </c>
      <c r="F33">
        <f>IF(D33="High",0,IF(D33="Medium",0.05,IF(D33="Low",0.1,IF(D33="Unknown",0.15,""))))</f>
        <v>0</v>
      </c>
      <c r="G33">
        <f>E33*(1+F33)</f>
        <v>0</v>
      </c>
      <c r="H33" t="s">
        <v>1451</v>
      </c>
      <c r="I33" t="s">
        <v>1452</v>
      </c>
      <c r="J33" t="s">
        <v>176</v>
      </c>
      <c r="K33">
        <f>IF(I33="","",MAX(IFERROR(DATEVALUE(TRIM(MID(SUBSTITUTE(I33,";",REPT(" ",50)),1,50))),0),IFERROR(DATEVALUE(TRIM(MID(SUBSTITUTE(I33,";",REPT(" ",50)),51,50))),0),IFERROR(DATEVALUE(TRIM(MID(SUBSTITUTE(I33,";",REPT(" ",50)),101,50))),0),IFERROR(DATEVALUE(TRIM(MID(SUBSTITUTE(I33,";",REPT(" ",50)),151,50))),0),IFERROR(DATEVALUE(TRIM(MID(SUBSTITUTE(I33,";",REPT(" ",50)),201,50))),0),IFERROR(DATEVALUE(TRIM(MID(SUBSTITUTE(I33,";",REPT(" ",50)),251,50))),0),IFERROR(DATEVALUE(TRIM(MID(SUBSTITUTE(I33,";",REPT(" ",50)),301,50))),0),IFERROR(DATEVALUE(TRIM(MID(SUBSTITUTE(I33,";",REPT(" ",50)),351,50))),0),IFERROR(DATEVALUE(TRIM(MID(SUBSTITUTE(I33,";",REPT(" ",50)),401,50))),0),IFERROR(DATEVALUE(TRIM(MID(SUBSTITUTE(I33,";",REPT(" ",50)),451,50))),0)))</f>
        <v>45919</v>
      </c>
      <c r="M33" t="s">
        <v>185</v>
      </c>
      <c r="N33">
        <f>IF(M33="","",IF(L33="",INDEX($F$61:$F$64,MATCH(M33,$C$61:$C$64,0)),IF(L33&lt;=INDEX($D$61:$D$64,MATCH(M33,$C$61:$C$64,0)),0,IF(L33&lt;=INDEX($E$61:$E$64,MATCH(M33,$C$61:$C$64,0)),INDEX($F$61:$F$64,MATCH(M33,$C$61:$C$64,0)),INDEX($G$61:$G$64,MATCH(M33,$C$61:$C$64,0))))))</f>
        <v>3</v>
      </c>
      <c r="O33">
        <f>G33+N33</f>
        <v>3</v>
      </c>
      <c r="P33" t="s">
        <v>168</v>
      </c>
      <c r="R33" t="s">
        <v>1453</v>
      </c>
    </row>
    <row r="34" spans="1:18" x14ac:dyDescent="0.2">
      <c r="A34" t="s">
        <v>846</v>
      </c>
      <c r="B34" t="s">
        <v>1454</v>
      </c>
      <c r="C34" t="s">
        <v>1455</v>
      </c>
      <c r="D34" t="s">
        <v>163</v>
      </c>
      <c r="E34">
        <v>0</v>
      </c>
      <c r="F34">
        <f>IF(D34="High",0,IF(D34="Medium",0.05,IF(D34="Low",0.1,IF(D34="Unknown",0.15,""))))</f>
        <v>0</v>
      </c>
      <c r="G34">
        <f>E34*(1+F34)</f>
        <v>0</v>
      </c>
      <c r="H34" t="s">
        <v>1456</v>
      </c>
      <c r="I34" t="s">
        <v>1457</v>
      </c>
      <c r="J34" t="s">
        <v>166</v>
      </c>
      <c r="K34">
        <f>IF(I34="","",MAX(IFERROR(DATEVALUE(TRIM(MID(SUBSTITUTE(I34,";",REPT(" ",50)),1,50))),0),IFERROR(DATEVALUE(TRIM(MID(SUBSTITUTE(I34,";",REPT(" ",50)),51,50))),0),IFERROR(DATEVALUE(TRIM(MID(SUBSTITUTE(I34,";",REPT(" ",50)),101,50))),0),IFERROR(DATEVALUE(TRIM(MID(SUBSTITUTE(I34,";",REPT(" ",50)),151,50))),0),IFERROR(DATEVALUE(TRIM(MID(SUBSTITUTE(I34,";",REPT(" ",50)),201,50))),0),IFERROR(DATEVALUE(TRIM(MID(SUBSTITUTE(I34,";",REPT(" ",50)),251,50))),0),IFERROR(DATEVALUE(TRIM(MID(SUBSTITUTE(I34,";",REPT(" ",50)),301,50))),0),IFERROR(DATEVALUE(TRIM(MID(SUBSTITUTE(I34,";",REPT(" ",50)),351,50))),0),IFERROR(DATEVALUE(TRIM(MID(SUBSTITUTE(I34,";",REPT(" ",50)),401,50))),0),IFERROR(DATEVALUE(TRIM(MID(SUBSTITUTE(I34,";",REPT(" ",50)),451,50))),0)))</f>
        <v>46012</v>
      </c>
      <c r="M34" t="s">
        <v>300</v>
      </c>
      <c r="N34">
        <f>IF(M34="","",IF(L34="",INDEX($F$61:$F$64,MATCH(M34,$C$61:$C$64,0)),IF(L34&lt;=INDEX($D$61:$D$64,MATCH(M34,$C$61:$C$64,0)),0,IF(L34&lt;=INDEX($E$61:$E$64,MATCH(M34,$C$61:$C$64,0)),INDEX($F$61:$F$64,MATCH(M34,$C$61:$C$64,0)),INDEX($G$61:$G$64,MATCH(M34,$C$61:$C$64,0))))))</f>
        <v>2</v>
      </c>
      <c r="O34">
        <f>G34+N34</f>
        <v>2</v>
      </c>
      <c r="P34" t="s">
        <v>168</v>
      </c>
      <c r="Q34" t="s">
        <v>823</v>
      </c>
      <c r="R34" t="s">
        <v>1458</v>
      </c>
    </row>
    <row r="35" spans="1:18" x14ac:dyDescent="0.2">
      <c r="A35" s="4"/>
      <c r="B35" s="5" t="s">
        <v>1459</v>
      </c>
      <c r="C35" s="4"/>
      <c r="D35" s="4"/>
      <c r="E35" s="4"/>
      <c r="F35" s="4"/>
      <c r="G35" s="4"/>
      <c r="H35" s="4"/>
      <c r="I35" s="4"/>
      <c r="J35" s="4"/>
      <c r="K35" s="23" t="str">
        <f>IF(I35="","",MAX(IFERROR(DATEVALUE(TRIM(MID(SUBSTITUTE(I35,";",REPT(" ",50)),1,50))),0),IFERROR(DATEVALUE(TRIM(MID(SUBSTITUTE(I35,";",REPT(" ",50)),51,50))),0),IFERROR(DATEVALUE(TRIM(MID(SUBSTITUTE(I35,";",REPT(" ",50)),101,50))),0),IFERROR(DATEVALUE(TRIM(MID(SUBSTITUTE(I35,";",REPT(" ",50)),151,50))),0),IFERROR(DATEVALUE(TRIM(MID(SUBSTITUTE(I35,";",REPT(" ",50)),201,50))),0),IFERROR(DATEVALUE(TRIM(MID(SUBSTITUTE(I35,";",REPT(" ",50)),251,50))),0),IFERROR(DATEVALUE(TRIM(MID(SUBSTITUTE(I35,";",REPT(" ",50)),301,50))),0),IFERROR(DATEVALUE(TRIM(MID(SUBSTITUTE(I35,";",REPT(" ",50)),351,50))),0),IFERROR(DATEVALUE(TRIM(MID(SUBSTITUTE(I35,";",REPT(" ",50)),401,50))),0),IFERROR(DATEVALUE(TRIM(MID(SUBSTITUTE(I35,";",REPT(" ",50)),451,50))),0)))</f>
        <v/>
      </c>
      <c r="L35" s="4"/>
      <c r="M35" s="4"/>
      <c r="N35" s="4" t="str">
        <f>IF(M35="","",IF(L35="",INDEX($F$61:$F$64,MATCH(M35,$C$61:$C$64,0)),IF(L35&lt;=INDEX($D$61:$D$64,MATCH(M35,$C$61:$C$64,0)),0,IF(L35&lt;=INDEX($E$61:$E$64,MATCH(M35,$C$61:$C$64,0)),INDEX($F$61:$F$64,MATCH(M35,$C$61:$C$64,0)),INDEX($G$61:$G$64,MATCH(M35,$C$61:$C$64,0))))))</f>
        <v/>
      </c>
      <c r="O35" s="4"/>
      <c r="P35" s="4"/>
      <c r="Q35" s="4"/>
      <c r="R35" s="4"/>
    </row>
    <row r="36" spans="1:18" x14ac:dyDescent="0.2">
      <c r="A36" s="3"/>
      <c r="B36" s="48"/>
      <c r="C36" s="49"/>
      <c r="D36" s="49"/>
      <c r="E36" s="49"/>
      <c r="F36" s="49"/>
      <c r="G36" s="49"/>
      <c r="H36" s="49"/>
      <c r="I36" s="49"/>
      <c r="J36" s="49"/>
      <c r="K36" s="50"/>
      <c r="L36" s="49"/>
      <c r="M36" s="49"/>
      <c r="N36" s="49"/>
      <c r="O36" s="49"/>
      <c r="P36" s="49"/>
      <c r="Q36" s="49"/>
      <c r="R36" s="49"/>
    </row>
    <row r="37" spans="1:18" x14ac:dyDescent="0.2">
      <c r="A37" t="s">
        <v>853</v>
      </c>
      <c r="B37" t="s">
        <v>1460</v>
      </c>
      <c r="C37" t="s">
        <v>1461</v>
      </c>
      <c r="D37" t="s">
        <v>163</v>
      </c>
      <c r="E37">
        <f>IF(C37="Lower or similar to majors",0,IF(C37="Moderately higher",10,IF(C37="Significantly higher/very high volatility",20,IF(C37="Unknown",10,""))))</f>
        <v>20</v>
      </c>
      <c r="F37">
        <f>IF(D37="High",0,IF(D37="Medium",0.05,IF(D37="Low",0.1,IF(D37="Unknown",0.15,""))))</f>
        <v>0</v>
      </c>
      <c r="G37">
        <f>E37*(1+F37)</f>
        <v>20</v>
      </c>
      <c r="H37" t="s">
        <v>1462</v>
      </c>
      <c r="I37" t="s">
        <v>1463</v>
      </c>
      <c r="J37" t="s">
        <v>166</v>
      </c>
      <c r="K37">
        <f>IF(I37="","",MAX(IFERROR(DATEVALUE(TRIM(MID(SUBSTITUTE(I37,";",REPT(" ",50)),1,50))),0),IFERROR(DATEVALUE(TRIM(MID(SUBSTITUTE(I37,";",REPT(" ",50)),51,50))),0),IFERROR(DATEVALUE(TRIM(MID(SUBSTITUTE(I37,";",REPT(" ",50)),101,50))),0),IFERROR(DATEVALUE(TRIM(MID(SUBSTITUTE(I37,";",REPT(" ",50)),151,50))),0),IFERROR(DATEVALUE(TRIM(MID(SUBSTITUTE(I37,";",REPT(" ",50)),201,50))),0),IFERROR(DATEVALUE(TRIM(MID(SUBSTITUTE(I37,";",REPT(" ",50)),251,50))),0),IFERROR(DATEVALUE(TRIM(MID(SUBSTITUTE(I37,";",REPT(" ",50)),301,50))),0),IFERROR(DATEVALUE(TRIM(MID(SUBSTITUTE(I37,";",REPT(" ",50)),351,50))),0),IFERROR(DATEVALUE(TRIM(MID(SUBSTITUTE(I37,";",REPT(" ",50)),401,50))),0),IFERROR(DATEVALUE(TRIM(MID(SUBSTITUTE(I37,";",REPT(" ",50)),451,50))),0)))</f>
        <v>46011</v>
      </c>
      <c r="M37" t="s">
        <v>185</v>
      </c>
      <c r="N37">
        <f>IF(M37="","",IF(L37="",INDEX($F$61:$F$64,MATCH(M37,$C$61:$C$64,0)),IF(L37&lt;=INDEX($D$61:$D$64,MATCH(M37,$C$61:$C$64,0)),0,IF(L37&lt;=INDEX($E$61:$E$64,MATCH(M37,$C$61:$C$64,0)),INDEX($F$61:$F$64,MATCH(M37,$C$61:$C$64,0)),INDEX($G$61:$G$64,MATCH(M37,$C$61:$C$64,0))))))</f>
        <v>3</v>
      </c>
      <c r="O37">
        <f>G37+N37</f>
        <v>23</v>
      </c>
      <c r="P37" t="s">
        <v>168</v>
      </c>
      <c r="R37" t="s">
        <v>1464</v>
      </c>
    </row>
    <row r="38" spans="1:18" x14ac:dyDescent="0.2">
      <c r="A38" t="s">
        <v>860</v>
      </c>
      <c r="B38" t="s">
        <v>1465</v>
      </c>
      <c r="C38" t="s">
        <v>1466</v>
      </c>
      <c r="D38" t="s">
        <v>182</v>
      </c>
      <c r="E38">
        <f>IF(C38="No unusual instability",0,IF(C38="Some heightened instability",10,IF(C38="Highly unstable with frequent extreme moves",20,IF(C38="Unknown",10,""))))</f>
        <v>10</v>
      </c>
      <c r="F38">
        <f>IF(D38="High",0,IF(D38="Medium",0.05,IF(D38="Low",0.1,IF(D38="Unknown",0.15,""))))</f>
        <v>0.05</v>
      </c>
      <c r="G38">
        <f>E38*(1+F38)</f>
        <v>10.5</v>
      </c>
      <c r="H38" t="s">
        <v>1467</v>
      </c>
      <c r="I38" t="s">
        <v>1468</v>
      </c>
      <c r="J38" t="s">
        <v>166</v>
      </c>
      <c r="K38">
        <f>IF(I38="","",MAX(IFERROR(DATEVALUE(TRIM(MID(SUBSTITUTE(I38,";",REPT(" ",50)),1,50))),0),IFERROR(DATEVALUE(TRIM(MID(SUBSTITUTE(I38,";",REPT(" ",50)),51,50))),0),IFERROR(DATEVALUE(TRIM(MID(SUBSTITUTE(I38,";",REPT(" ",50)),101,50))),0),IFERROR(DATEVALUE(TRIM(MID(SUBSTITUTE(I38,";",REPT(" ",50)),151,50))),0),IFERROR(DATEVALUE(TRIM(MID(SUBSTITUTE(I38,";",REPT(" ",50)),201,50))),0),IFERROR(DATEVALUE(TRIM(MID(SUBSTITUTE(I38,";",REPT(" ",50)),251,50))),0),IFERROR(DATEVALUE(TRIM(MID(SUBSTITUTE(I38,";",REPT(" ",50)),301,50))),0),IFERROR(DATEVALUE(TRIM(MID(SUBSTITUTE(I38,";",REPT(" ",50)),351,50))),0),IFERROR(DATEVALUE(TRIM(MID(SUBSTITUTE(I38,";",REPT(" ",50)),401,50))),0),IFERROR(DATEVALUE(TRIM(MID(SUBSTITUTE(I38,";",REPT(" ",50)),451,50))),0)))</f>
        <v>45908</v>
      </c>
      <c r="M38" t="s">
        <v>185</v>
      </c>
      <c r="N38">
        <f>IF(M38="","",IF(L38="",INDEX($F$61:$F$64,MATCH(M38,$C$61:$C$64,0)),IF(L38&lt;=INDEX($D$61:$D$64,MATCH(M38,$C$61:$C$64,0)),0,IF(L38&lt;=INDEX($E$61:$E$64,MATCH(M38,$C$61:$C$64,0)),INDEX($F$61:$F$64,MATCH(M38,$C$61:$C$64,0)),INDEX($G$61:$G$64,MATCH(M38,$C$61:$C$64,0))))))</f>
        <v>3</v>
      </c>
      <c r="O38">
        <f>G38+N38</f>
        <v>13.5</v>
      </c>
      <c r="P38" t="s">
        <v>168</v>
      </c>
      <c r="R38" t="s">
        <v>1469</v>
      </c>
    </row>
    <row r="39" spans="1:18" x14ac:dyDescent="0.2">
      <c r="A39" t="s">
        <v>873</v>
      </c>
      <c r="B39" t="s">
        <v>1470</v>
      </c>
      <c r="C39" t="s">
        <v>1471</v>
      </c>
      <c r="D39" t="s">
        <v>163</v>
      </c>
      <c r="E39">
        <v>0</v>
      </c>
      <c r="F39">
        <f>IF(D39="High",0,IF(D39="Medium",0.05,IF(D39="Low",0.1,IF(D39="Unknown",0.15,""))))</f>
        <v>0</v>
      </c>
      <c r="G39">
        <f>E39*(1+F39)</f>
        <v>0</v>
      </c>
      <c r="H39" t="s">
        <v>1472</v>
      </c>
      <c r="I39" t="s">
        <v>1473</v>
      </c>
      <c r="J39" t="s">
        <v>176</v>
      </c>
      <c r="K39">
        <f>IF(I39="","",MAX(IFERROR(DATEVALUE(TRIM(MID(SUBSTITUTE(I39,";",REPT(" ",50)),1,50))),0),IFERROR(DATEVALUE(TRIM(MID(SUBSTITUTE(I39,";",REPT(" ",50)),51,50))),0),IFERROR(DATEVALUE(TRIM(MID(SUBSTITUTE(I39,";",REPT(" ",50)),101,50))),0),IFERROR(DATEVALUE(TRIM(MID(SUBSTITUTE(I39,";",REPT(" ",50)),151,50))),0),IFERROR(DATEVALUE(TRIM(MID(SUBSTITUTE(I39,";",REPT(" ",50)),201,50))),0),IFERROR(DATEVALUE(TRIM(MID(SUBSTITUTE(I39,";",REPT(" ",50)),251,50))),0),IFERROR(DATEVALUE(TRIM(MID(SUBSTITUTE(I39,";",REPT(" ",50)),301,50))),0),IFERROR(DATEVALUE(TRIM(MID(SUBSTITUTE(I39,";",REPT(" ",50)),351,50))),0),IFERROR(DATEVALUE(TRIM(MID(SUBSTITUTE(I39,";",REPT(" ",50)),401,50))),0),IFERROR(DATEVALUE(TRIM(MID(SUBSTITUTE(I39,";",REPT(" ",50)),451,50))),0)))</f>
        <v>46012</v>
      </c>
      <c r="M39" t="s">
        <v>300</v>
      </c>
      <c r="N39">
        <f>IF(M39="","",IF(L39="",INDEX($F$61:$F$64,MATCH(M39,$C$61:$C$64,0)),IF(L39&lt;=INDEX($D$61:$D$64,MATCH(M39,$C$61:$C$64,0)),0,IF(L39&lt;=INDEX($E$61:$E$64,MATCH(M39,$C$61:$C$64,0)),INDEX($F$61:$F$64,MATCH(M39,$C$61:$C$64,0)),INDEX($G$61:$G$64,MATCH(M39,$C$61:$C$64,0))))))</f>
        <v>2</v>
      </c>
      <c r="O39">
        <f>G39+N39</f>
        <v>2</v>
      </c>
      <c r="P39" t="s">
        <v>168</v>
      </c>
      <c r="Q39" t="s">
        <v>823</v>
      </c>
      <c r="R39" t="s">
        <v>1474</v>
      </c>
    </row>
    <row r="40" spans="1:18" x14ac:dyDescent="0.2">
      <c r="A40" s="3"/>
      <c r="B40" s="48"/>
      <c r="C40" s="49"/>
      <c r="D40" s="49"/>
      <c r="E40" s="49"/>
      <c r="F40" s="49"/>
      <c r="G40" s="49"/>
      <c r="H40" s="49"/>
      <c r="I40" s="49"/>
      <c r="J40" s="49"/>
      <c r="K40" s="50"/>
      <c r="L40" s="49"/>
      <c r="M40" s="49"/>
      <c r="N40" s="49"/>
      <c r="O40" s="49"/>
      <c r="P40" s="49"/>
      <c r="Q40" s="49"/>
      <c r="R40" s="49"/>
    </row>
    <row r="41" spans="1:18" x14ac:dyDescent="0.2">
      <c r="A41" t="s">
        <v>877</v>
      </c>
      <c r="B41" t="s">
        <v>1475</v>
      </c>
      <c r="C41" t="s">
        <v>1476</v>
      </c>
      <c r="D41" t="s">
        <v>163</v>
      </c>
      <c r="E41">
        <f>IF(C41="Modest/typical for crypto (&lt;70%)",0,IF(C41="Severe (70–90%)",10,IF(C41="Extreme (&gt;90%)",20,IF(C41="Unknown",10,""))))</f>
        <v>10</v>
      </c>
      <c r="F41">
        <f>IF(D41="High",0,IF(D41="Medium",0.05,IF(D41="Low",0.1,IF(D41="Unknown",0.15,""))))</f>
        <v>0</v>
      </c>
      <c r="G41">
        <f>E41*(1+F41)</f>
        <v>10</v>
      </c>
      <c r="H41" t="s">
        <v>1477</v>
      </c>
      <c r="I41" t="s">
        <v>1478</v>
      </c>
      <c r="J41" t="s">
        <v>166</v>
      </c>
      <c r="K41">
        <f>IF(I41="","",MAX(IFERROR(DATEVALUE(TRIM(MID(SUBSTITUTE(I41,";",REPT(" ",50)),1,50))),0),IFERROR(DATEVALUE(TRIM(MID(SUBSTITUTE(I41,";",REPT(" ",50)),51,50))),0),IFERROR(DATEVALUE(TRIM(MID(SUBSTITUTE(I41,";",REPT(" ",50)),101,50))),0),IFERROR(DATEVALUE(TRIM(MID(SUBSTITUTE(I41,";",REPT(" ",50)),151,50))),0),IFERROR(DATEVALUE(TRIM(MID(SUBSTITUTE(I41,";",REPT(" ",50)),201,50))),0),IFERROR(DATEVALUE(TRIM(MID(SUBSTITUTE(I41,";",REPT(" ",50)),251,50))),0),IFERROR(DATEVALUE(TRIM(MID(SUBSTITUTE(I41,";",REPT(" ",50)),301,50))),0),IFERROR(DATEVALUE(TRIM(MID(SUBSTITUTE(I41,";",REPT(" ",50)),351,50))),0),IFERROR(DATEVALUE(TRIM(MID(SUBSTITUTE(I41,";",REPT(" ",50)),401,50))),0),IFERROR(DATEVALUE(TRIM(MID(SUBSTITUTE(I41,";",REPT(" ",50)),451,50))),0)))</f>
        <v>46012</v>
      </c>
      <c r="M41" t="s">
        <v>300</v>
      </c>
      <c r="N41">
        <f>IF(M41="","",IF(L41="",INDEX($F$61:$F$64,MATCH(M41,$C$61:$C$64,0)),IF(L41&lt;=INDEX($D$61:$D$64,MATCH(M41,$C$61:$C$64,0)),0,IF(L41&lt;=INDEX($E$61:$E$64,MATCH(M41,$C$61:$C$64,0)),INDEX($F$61:$F$64,MATCH(M41,$C$61:$C$64,0)),INDEX($G$61:$G$64,MATCH(M41,$C$61:$C$64,0))))))</f>
        <v>2</v>
      </c>
      <c r="O41">
        <f>G41+N41</f>
        <v>12</v>
      </c>
      <c r="P41" t="s">
        <v>168</v>
      </c>
      <c r="R41" t="s">
        <v>1479</v>
      </c>
    </row>
    <row r="42" spans="1:18" x14ac:dyDescent="0.2">
      <c r="A42" t="s">
        <v>884</v>
      </c>
      <c r="B42" t="s">
        <v>1480</v>
      </c>
      <c r="C42" t="s">
        <v>263</v>
      </c>
      <c r="D42" t="s">
        <v>217</v>
      </c>
      <c r="E42">
        <f>IF(C42="No such incidents",0,IF(C42="Minor/isolated technical event fully resolved",10,IF(C42="Significant or repeated flash-crash/depeg events",20,IF(C42="Unknown",10,""))))</f>
        <v>10</v>
      </c>
      <c r="F42">
        <f>IF(D42="High",0,IF(D42="Medium",0.05,IF(D42="Low",0.1,IF(D42="Unknown",0.15,""))))</f>
        <v>0.1</v>
      </c>
      <c r="G42">
        <f>E42*(1+F42)</f>
        <v>11</v>
      </c>
      <c r="K42" t="str">
        <f>IF(I42="","",MAX(IFERROR(DATEVALUE(TRIM(MID(SUBSTITUTE(I42,";",REPT(" ",50)),1,50))),0),IFERROR(DATEVALUE(TRIM(MID(SUBSTITUTE(I42,";",REPT(" ",50)),51,50))),0),IFERROR(DATEVALUE(TRIM(MID(SUBSTITUTE(I42,";",REPT(" ",50)),101,50))),0),IFERROR(DATEVALUE(TRIM(MID(SUBSTITUTE(I42,";",REPT(" ",50)),151,50))),0),IFERROR(DATEVALUE(TRIM(MID(SUBSTITUTE(I42,";",REPT(" ",50)),201,50))),0),IFERROR(DATEVALUE(TRIM(MID(SUBSTITUTE(I42,";",REPT(" ",50)),251,50))),0),IFERROR(DATEVALUE(TRIM(MID(SUBSTITUTE(I42,";",REPT(" ",50)),301,50))),0),IFERROR(DATEVALUE(TRIM(MID(SUBSTITUTE(I42,";",REPT(" ",50)),351,50))),0),IFERROR(DATEVALUE(TRIM(MID(SUBSTITUTE(I42,";",REPT(" ",50)),401,50))),0),IFERROR(DATEVALUE(TRIM(MID(SUBSTITUTE(I42,";",REPT(" ",50)),451,50))),0)))</f>
        <v/>
      </c>
      <c r="M42" t="s">
        <v>275</v>
      </c>
      <c r="N42">
        <f>IF(M42="","",IF(L42="",INDEX($F$61:$F$64,MATCH(M42,$C$61:$C$64,0)),IF(L42&lt;=INDEX($D$61:$D$64,MATCH(M42,$C$61:$C$64,0)),0,IF(L42&lt;=INDEX($E$61:$E$64,MATCH(M42,$C$61:$C$64,0)),INDEX($F$61:$F$64,MATCH(M42,$C$61:$C$64,0)),INDEX($G$61:$G$64,MATCH(M42,$C$61:$C$64,0))))))</f>
        <v>5</v>
      </c>
      <c r="O42">
        <f>G42+N42</f>
        <v>16</v>
      </c>
      <c r="P42" t="str">
        <f>IF(AND(C42="Significant or repeated flash-crash/depeg events",OR(D42="High",D42="Medium")),"Review Required","No Review")</f>
        <v>No Review</v>
      </c>
      <c r="Q42" t="s">
        <v>1481</v>
      </c>
      <c r="R42" t="s">
        <v>1482</v>
      </c>
    </row>
    <row r="43" spans="1:18" x14ac:dyDescent="0.2">
      <c r="A43" t="s">
        <v>890</v>
      </c>
      <c r="B43" t="s">
        <v>1483</v>
      </c>
      <c r="C43" t="s">
        <v>1484</v>
      </c>
      <c r="D43" t="s">
        <v>182</v>
      </c>
      <c r="E43">
        <f>IF(C43="Recovers to prior ranges",0,IF(C43="Partial recovery but remains impaired",10,IF(C43="Fails to recover (persistent impairment)",20,IF(C43="Unknown",10,""))))</f>
        <v>10</v>
      </c>
      <c r="F43">
        <f>IF(D43="High",0,IF(D43="Medium",0.05,IF(D43="Low",0.1,IF(D43="Unknown",0.15,""))))</f>
        <v>0.05</v>
      </c>
      <c r="G43">
        <f>E43*(1+F43)</f>
        <v>10.5</v>
      </c>
      <c r="H43" t="s">
        <v>1485</v>
      </c>
      <c r="I43" t="s">
        <v>1486</v>
      </c>
      <c r="J43" t="s">
        <v>166</v>
      </c>
      <c r="K43">
        <f>IF(I43="","",MAX(IFERROR(DATEVALUE(TRIM(MID(SUBSTITUTE(I43,";",REPT(" ",50)),1,50))),0),IFERROR(DATEVALUE(TRIM(MID(SUBSTITUTE(I43,";",REPT(" ",50)),51,50))),0),IFERROR(DATEVALUE(TRIM(MID(SUBSTITUTE(I43,";",REPT(" ",50)),101,50))),0),IFERROR(DATEVALUE(TRIM(MID(SUBSTITUTE(I43,";",REPT(" ",50)),151,50))),0),IFERROR(DATEVALUE(TRIM(MID(SUBSTITUTE(I43,";",REPT(" ",50)),201,50))),0),IFERROR(DATEVALUE(TRIM(MID(SUBSTITUTE(I43,";",REPT(" ",50)),251,50))),0),IFERROR(DATEVALUE(TRIM(MID(SUBSTITUTE(I43,";",REPT(" ",50)),301,50))),0),IFERROR(DATEVALUE(TRIM(MID(SUBSTITUTE(I43,";",REPT(" ",50)),351,50))),0),IFERROR(DATEVALUE(TRIM(MID(SUBSTITUTE(I43,";",REPT(" ",50)),401,50))),0),IFERROR(DATEVALUE(TRIM(MID(SUBSTITUTE(I43,";",REPT(" ",50)),451,50))),0)))</f>
        <v>46009</v>
      </c>
      <c r="M43" t="s">
        <v>185</v>
      </c>
      <c r="N43">
        <f>IF(M43="","",IF(L43="",INDEX($F$61:$F$64,MATCH(M43,$C$61:$C$64,0)),IF(L43&lt;=INDEX($D$61:$D$64,MATCH(M43,$C$61:$C$64,0)),0,IF(L43&lt;=INDEX($E$61:$E$64,MATCH(M43,$C$61:$C$64,0)),INDEX($F$61:$F$64,MATCH(M43,$C$61:$C$64,0)),INDEX($G$61:$G$64,MATCH(M43,$C$61:$C$64,0))))))</f>
        <v>3</v>
      </c>
      <c r="O43">
        <f>G43+N43</f>
        <v>13.5</v>
      </c>
      <c r="P43" t="s">
        <v>168</v>
      </c>
      <c r="R43" t="s">
        <v>1487</v>
      </c>
    </row>
    <row r="44" spans="1:18" x14ac:dyDescent="0.2">
      <c r="A44" t="s">
        <v>897</v>
      </c>
      <c r="B44" t="s">
        <v>1488</v>
      </c>
      <c r="C44" t="s">
        <v>1489</v>
      </c>
      <c r="D44" t="s">
        <v>163</v>
      </c>
      <c r="E44">
        <v>0</v>
      </c>
      <c r="F44">
        <f>IF(D44="High",0,IF(D44="Medium",0.05,IF(D44="Low",0.1,IF(D44="Unknown",0.15,""))))</f>
        <v>0</v>
      </c>
      <c r="G44">
        <f>E44*(1+F44)</f>
        <v>0</v>
      </c>
      <c r="H44" t="s">
        <v>1490</v>
      </c>
      <c r="I44" t="s">
        <v>1491</v>
      </c>
      <c r="J44" t="s">
        <v>166</v>
      </c>
      <c r="K44">
        <f>IF(I44="","",MAX(IFERROR(DATEVALUE(TRIM(MID(SUBSTITUTE(I44,";",REPT(" ",50)),1,50))),0),IFERROR(DATEVALUE(TRIM(MID(SUBSTITUTE(I44,";",REPT(" ",50)),51,50))),0),IFERROR(DATEVALUE(TRIM(MID(SUBSTITUTE(I44,";",REPT(" ",50)),101,50))),0),IFERROR(DATEVALUE(TRIM(MID(SUBSTITUTE(I44,";",REPT(" ",50)),151,50))),0),IFERROR(DATEVALUE(TRIM(MID(SUBSTITUTE(I44,";",REPT(" ",50)),201,50))),0),IFERROR(DATEVALUE(TRIM(MID(SUBSTITUTE(I44,";",REPT(" ",50)),251,50))),0),IFERROR(DATEVALUE(TRIM(MID(SUBSTITUTE(I44,";",REPT(" ",50)),301,50))),0),IFERROR(DATEVALUE(TRIM(MID(SUBSTITUTE(I44,";",REPT(" ",50)),351,50))),0),IFERROR(DATEVALUE(TRIM(MID(SUBSTITUTE(I44,";",REPT(" ",50)),401,50))),0),IFERROR(DATEVALUE(TRIM(MID(SUBSTITUTE(I44,";",REPT(" ",50)),451,50))),0)))</f>
        <v>46012</v>
      </c>
      <c r="M44" t="s">
        <v>300</v>
      </c>
      <c r="N44">
        <f>IF(M44="","",IF(L44="",INDEX($F$61:$F$64,MATCH(M44,$C$61:$C$64,0)),IF(L44&lt;=INDEX($D$61:$D$64,MATCH(M44,$C$61:$C$64,0)),0,IF(L44&lt;=INDEX($E$61:$E$64,MATCH(M44,$C$61:$C$64,0)),INDEX($F$61:$F$64,MATCH(M44,$C$61:$C$64,0)),INDEX($G$61:$G$64,MATCH(M44,$C$61:$C$64,0))))))</f>
        <v>2</v>
      </c>
      <c r="O44">
        <f>G44+N44</f>
        <v>2</v>
      </c>
      <c r="P44" t="s">
        <v>168</v>
      </c>
      <c r="Q44" t="s">
        <v>823</v>
      </c>
      <c r="R44" t="s">
        <v>1492</v>
      </c>
    </row>
    <row r="45" spans="1:18" x14ac:dyDescent="0.2">
      <c r="A45" s="4"/>
      <c r="B45" s="5" t="s">
        <v>1493</v>
      </c>
      <c r="C45" s="4"/>
      <c r="D45" s="4"/>
      <c r="E45" s="4"/>
      <c r="F45" s="4"/>
      <c r="G45" s="4"/>
      <c r="H45" s="4"/>
      <c r="I45" s="4"/>
      <c r="J45" s="4"/>
      <c r="K45" s="23" t="str">
        <f>IF(I45="","",MAX(IFERROR(DATEVALUE(TRIM(MID(SUBSTITUTE(I45,";",REPT(" ",50)),1,50))),0),IFERROR(DATEVALUE(TRIM(MID(SUBSTITUTE(I45,";",REPT(" ",50)),51,50))),0),IFERROR(DATEVALUE(TRIM(MID(SUBSTITUTE(I45,";",REPT(" ",50)),101,50))),0),IFERROR(DATEVALUE(TRIM(MID(SUBSTITUTE(I45,";",REPT(" ",50)),151,50))),0),IFERROR(DATEVALUE(TRIM(MID(SUBSTITUTE(I45,";",REPT(" ",50)),201,50))),0),IFERROR(DATEVALUE(TRIM(MID(SUBSTITUTE(I45,";",REPT(" ",50)),251,50))),0),IFERROR(DATEVALUE(TRIM(MID(SUBSTITUTE(I45,";",REPT(" ",50)),301,50))),0),IFERROR(DATEVALUE(TRIM(MID(SUBSTITUTE(I45,";",REPT(" ",50)),351,50))),0),IFERROR(DATEVALUE(TRIM(MID(SUBSTITUTE(I45,";",REPT(" ",50)),401,50))),0),IFERROR(DATEVALUE(TRIM(MID(SUBSTITUTE(I45,";",REPT(" ",50)),451,50))),0)))</f>
        <v/>
      </c>
      <c r="L45" s="4"/>
      <c r="M45" s="4"/>
      <c r="N45" s="4" t="str">
        <f>IF(M45="","",IF(L45="",INDEX($F$61:$F$64,MATCH(M45,$C$61:$C$64,0)),IF(L45&lt;=INDEX($D$61:$D$64,MATCH(M45,$C$61:$C$64,0)),0,IF(L45&lt;=INDEX($E$61:$E$64,MATCH(M45,$C$61:$C$64,0)),INDEX($F$61:$F$64,MATCH(M45,$C$61:$C$64,0)),INDEX($G$61:$G$64,MATCH(M45,$C$61:$C$64,0))))))</f>
        <v/>
      </c>
      <c r="O45" s="4"/>
      <c r="P45" s="4"/>
      <c r="Q45" s="4"/>
      <c r="R45" s="4"/>
    </row>
    <row r="46" spans="1:18" x14ac:dyDescent="0.2">
      <c r="A46" s="3"/>
      <c r="B46" s="48"/>
      <c r="C46" s="49"/>
      <c r="D46" s="49"/>
      <c r="E46" s="49"/>
      <c r="F46" s="49"/>
      <c r="G46" s="49"/>
      <c r="H46" s="49"/>
      <c r="I46" s="49"/>
      <c r="J46" s="49"/>
      <c r="K46" s="50"/>
      <c r="L46" s="49"/>
      <c r="M46" s="49"/>
      <c r="N46" s="49"/>
      <c r="O46" s="49"/>
      <c r="P46" s="49"/>
      <c r="Q46" s="49"/>
      <c r="R46" s="49"/>
    </row>
    <row r="47" spans="1:18" x14ac:dyDescent="0.2">
      <c r="A47" t="s">
        <v>432</v>
      </c>
      <c r="B47" t="s">
        <v>1494</v>
      </c>
      <c r="C47" t="s">
        <v>1495</v>
      </c>
      <c r="D47" t="s">
        <v>163</v>
      </c>
      <c r="E47">
        <f>IF(C47="Listed on multiple top-tier exchanges",0,IF(C47="Listed on a mix of mid-tier and some major exchanges",10,IF(C47="Listed only on small or lower-quality exchanges",20,IF(C47="Unknown",10,""))))</f>
        <v>0</v>
      </c>
      <c r="F47">
        <f>IF(D47="High",0,IF(D47="Medium",0.05,IF(D47="Low",0.1,IF(D47="Unknown",0.15,""))))</f>
        <v>0</v>
      </c>
      <c r="G47">
        <f>E47*(1+F47)</f>
        <v>0</v>
      </c>
      <c r="H47" t="s">
        <v>1496</v>
      </c>
      <c r="I47" t="s">
        <v>1497</v>
      </c>
      <c r="J47" t="s">
        <v>166</v>
      </c>
      <c r="K47">
        <f>IF(I47="","",MAX(IFERROR(DATEVALUE(TRIM(MID(SUBSTITUTE(I47,";",REPT(" ",50)),1,50))),0),IFERROR(DATEVALUE(TRIM(MID(SUBSTITUTE(I47,";",REPT(" ",50)),51,50))),0),IFERROR(DATEVALUE(TRIM(MID(SUBSTITUTE(I47,";",REPT(" ",50)),101,50))),0),IFERROR(DATEVALUE(TRIM(MID(SUBSTITUTE(I47,";",REPT(" ",50)),151,50))),0),IFERROR(DATEVALUE(TRIM(MID(SUBSTITUTE(I47,";",REPT(" ",50)),201,50))),0),IFERROR(DATEVALUE(TRIM(MID(SUBSTITUTE(I47,";",REPT(" ",50)),251,50))),0),IFERROR(DATEVALUE(TRIM(MID(SUBSTITUTE(I47,";",REPT(" ",50)),301,50))),0),IFERROR(DATEVALUE(TRIM(MID(SUBSTITUTE(I47,";",REPT(" ",50)),351,50))),0),IFERROR(DATEVALUE(TRIM(MID(SUBSTITUTE(I47,";",REPT(" ",50)),401,50))),0),IFERROR(DATEVALUE(TRIM(MID(SUBSTITUTE(I47,";",REPT(" ",50)),451,50))),0)))</f>
        <v>45898</v>
      </c>
      <c r="M47" t="s">
        <v>167</v>
      </c>
      <c r="N47">
        <f>IF(M47="","",IF(L47="",INDEX($F$61:$F$64,MATCH(M47,$C$61:$C$64,0)),IF(L47&lt;=INDEX($D$61:$D$64,MATCH(M47,$C$61:$C$64,0)),0,IF(L47&lt;=INDEX($E$61:$E$64,MATCH(M47,$C$61:$C$64,0)),INDEX($F$61:$F$64,MATCH(M47,$C$61:$C$64,0)),INDEX($G$61:$G$64,MATCH(M47,$C$61:$C$64,0))))))</f>
        <v>0</v>
      </c>
      <c r="O47">
        <f>G47+N47</f>
        <v>0</v>
      </c>
      <c r="P47" t="s">
        <v>168</v>
      </c>
      <c r="R47" t="s">
        <v>1498</v>
      </c>
    </row>
    <row r="48" spans="1:18" x14ac:dyDescent="0.2">
      <c r="A48" t="s">
        <v>439</v>
      </c>
      <c r="B48" t="s">
        <v>1499</v>
      </c>
      <c r="C48" t="s">
        <v>1500</v>
      </c>
      <c r="D48" t="s">
        <v>182</v>
      </c>
      <c r="E48">
        <f>IF(C48="Included in major indices/ETPs",0,IF(C48="Included only in niche indices",10,IF(C48="Not included in any indices/ETPs",20,IF(C48="Unknown",10,""))))</f>
        <v>20</v>
      </c>
      <c r="F48">
        <f>IF(D48="High",0,IF(D48="Medium",0.05,IF(D48="Low",0.1,IF(D48="Unknown",0.15,""))))</f>
        <v>0.05</v>
      </c>
      <c r="G48">
        <f>E48*(1+F48)</f>
        <v>21</v>
      </c>
      <c r="H48" t="s">
        <v>1501</v>
      </c>
      <c r="I48" t="s">
        <v>1502</v>
      </c>
      <c r="J48" t="s">
        <v>176</v>
      </c>
      <c r="K48">
        <f>IF(I48="","",MAX(IFERROR(DATEVALUE(TRIM(MID(SUBSTITUTE(I48,";",REPT(" ",50)),1,50))),0),IFERROR(DATEVALUE(TRIM(MID(SUBSTITUTE(I48,";",REPT(" ",50)),51,50))),0),IFERROR(DATEVALUE(TRIM(MID(SUBSTITUTE(I48,";",REPT(" ",50)),101,50))),0),IFERROR(DATEVALUE(TRIM(MID(SUBSTITUTE(I48,";",REPT(" ",50)),151,50))),0),IFERROR(DATEVALUE(TRIM(MID(SUBSTITUTE(I48,";",REPT(" ",50)),201,50))),0),IFERROR(DATEVALUE(TRIM(MID(SUBSTITUTE(I48,";",REPT(" ",50)),251,50))),0),IFERROR(DATEVALUE(TRIM(MID(SUBSTITUTE(I48,";",REPT(" ",50)),301,50))),0),IFERROR(DATEVALUE(TRIM(MID(SUBSTITUTE(I48,";",REPT(" ",50)),351,50))),0),IFERROR(DATEVALUE(TRIM(MID(SUBSTITUTE(I48,";",REPT(" ",50)),401,50))),0),IFERROR(DATEVALUE(TRIM(MID(SUBSTITUTE(I48,";",REPT(" ",50)),451,50))),0)))</f>
        <v>46007</v>
      </c>
      <c r="M48" t="s">
        <v>167</v>
      </c>
      <c r="N48">
        <f>IF(M48="","",IF(L48="",INDEX($F$61:$F$64,MATCH(M48,$C$61:$C$64,0)),IF(L48&lt;=INDEX($D$61:$D$64,MATCH(M48,$C$61:$C$64,0)),0,IF(L48&lt;=INDEX($E$61:$E$64,MATCH(M48,$C$61:$C$64,0)),INDEX($F$61:$F$64,MATCH(M48,$C$61:$C$64,0)),INDEX($G$61:$G$64,MATCH(M48,$C$61:$C$64,0))))))</f>
        <v>0</v>
      </c>
      <c r="O48">
        <f>G48+N48</f>
        <v>21</v>
      </c>
      <c r="P48" t="s">
        <v>168</v>
      </c>
      <c r="R48" t="s">
        <v>1503</v>
      </c>
    </row>
    <row r="49" spans="1:18" x14ac:dyDescent="0.2">
      <c r="A49" t="s">
        <v>454</v>
      </c>
      <c r="B49" t="s">
        <v>1504</v>
      </c>
      <c r="C49" t="s">
        <v>1505</v>
      </c>
      <c r="D49" t="s">
        <v>182</v>
      </c>
      <c r="E49">
        <v>0</v>
      </c>
      <c r="F49">
        <f>IF(D49="High",0,IF(D49="Medium",0.05,IF(D49="Low",0.1,IF(D49="Unknown",0.15,""))))</f>
        <v>0.05</v>
      </c>
      <c r="G49">
        <f>E49*(1+F49)</f>
        <v>0</v>
      </c>
      <c r="H49" t="s">
        <v>1506</v>
      </c>
      <c r="I49" t="s">
        <v>1507</v>
      </c>
      <c r="J49" t="s">
        <v>166</v>
      </c>
      <c r="K49">
        <f>IF(I49="","",MAX(IFERROR(DATEVALUE(TRIM(MID(SUBSTITUTE(I49,";",REPT(" ",50)),1,50))),0),IFERROR(DATEVALUE(TRIM(MID(SUBSTITUTE(I49,";",REPT(" ",50)),51,50))),0),IFERROR(DATEVALUE(TRIM(MID(SUBSTITUTE(I49,";",REPT(" ",50)),101,50))),0),IFERROR(DATEVALUE(TRIM(MID(SUBSTITUTE(I49,";",REPT(" ",50)),151,50))),0),IFERROR(DATEVALUE(TRIM(MID(SUBSTITUTE(I49,";",REPT(" ",50)),201,50))),0),IFERROR(DATEVALUE(TRIM(MID(SUBSTITUTE(I49,";",REPT(" ",50)),251,50))),0),IFERROR(DATEVALUE(TRIM(MID(SUBSTITUTE(I49,";",REPT(" ",50)),301,50))),0),IFERROR(DATEVALUE(TRIM(MID(SUBSTITUTE(I49,";",REPT(" ",50)),351,50))),0),IFERROR(DATEVALUE(TRIM(MID(SUBSTITUTE(I49,";",REPT(" ",50)),401,50))),0),IFERROR(DATEVALUE(TRIM(MID(SUBSTITUTE(I49,";",REPT(" ",50)),451,50))),0)))</f>
        <v>45919</v>
      </c>
      <c r="M49" t="s">
        <v>167</v>
      </c>
      <c r="N49">
        <f>IF(M49="","",IF(L49="",INDEX($F$61:$F$64,MATCH(M49,$C$61:$C$64,0)),IF(L49&lt;=INDEX($D$61:$D$64,MATCH(M49,$C$61:$C$64,0)),0,IF(L49&lt;=INDEX($E$61:$E$64,MATCH(M49,$C$61:$C$64,0)),INDEX($F$61:$F$64,MATCH(M49,$C$61:$C$64,0)),INDEX($G$61:$G$64,MATCH(M49,$C$61:$C$64,0))))))</f>
        <v>0</v>
      </c>
      <c r="O49">
        <f>G49+N49</f>
        <v>0</v>
      </c>
      <c r="P49" t="s">
        <v>168</v>
      </c>
      <c r="Q49" t="s">
        <v>823</v>
      </c>
      <c r="R49" t="s">
        <v>1508</v>
      </c>
    </row>
    <row r="50" spans="1:18" x14ac:dyDescent="0.2">
      <c r="A50" s="3"/>
      <c r="B50" s="48"/>
      <c r="C50" s="49"/>
      <c r="D50" s="49"/>
      <c r="E50" s="49"/>
      <c r="F50" s="49"/>
      <c r="G50" s="49"/>
      <c r="H50" s="49"/>
      <c r="I50" s="49"/>
      <c r="J50" s="49"/>
      <c r="K50" s="50"/>
      <c r="L50" s="49"/>
      <c r="M50" s="49"/>
      <c r="N50" s="49"/>
      <c r="O50" s="49"/>
      <c r="P50" s="49"/>
      <c r="Q50" s="49"/>
      <c r="R50" s="49"/>
    </row>
    <row r="51" spans="1:18" x14ac:dyDescent="0.2">
      <c r="A51" t="s">
        <v>460</v>
      </c>
      <c r="B51" t="s">
        <v>1509</v>
      </c>
      <c r="C51" t="s">
        <v>1510</v>
      </c>
      <c r="D51" t="s">
        <v>182</v>
      </c>
      <c r="E51">
        <f>IF(C51="No market-integrity halts reported",0,IF(C51="Single/isolated halt resolved",10,IF(C51="Multiple or sustained market-integrity halts",20,IF(C51="Unknown",10,""))))</f>
        <v>0</v>
      </c>
      <c r="F51">
        <f>IF(D51="High",0,IF(D51="Medium",0.05,IF(D51="Low",0.1,IF(D51="Unknown",0.15,""))))</f>
        <v>0.05</v>
      </c>
      <c r="G51">
        <f>E51*(1+F51)</f>
        <v>0</v>
      </c>
      <c r="H51" t="s">
        <v>1511</v>
      </c>
      <c r="I51" t="s">
        <v>1512</v>
      </c>
      <c r="J51" t="s">
        <v>166</v>
      </c>
      <c r="K51">
        <f>IF(I51="","",MAX(IFERROR(DATEVALUE(TRIM(MID(SUBSTITUTE(I51,";",REPT(" ",50)),1,50))),0),IFERROR(DATEVALUE(TRIM(MID(SUBSTITUTE(I51,";",REPT(" ",50)),51,50))),0),IFERROR(DATEVALUE(TRIM(MID(SUBSTITUTE(I51,";",REPT(" ",50)),101,50))),0),IFERROR(DATEVALUE(TRIM(MID(SUBSTITUTE(I51,";",REPT(" ",50)),151,50))),0),IFERROR(DATEVALUE(TRIM(MID(SUBSTITUTE(I51,";",REPT(" ",50)),201,50))),0),IFERROR(DATEVALUE(TRIM(MID(SUBSTITUTE(I51,";",REPT(" ",50)),251,50))),0),IFERROR(DATEVALUE(TRIM(MID(SUBSTITUTE(I51,";",REPT(" ",50)),301,50))),0),IFERROR(DATEVALUE(TRIM(MID(SUBSTITUTE(I51,";",REPT(" ",50)),351,50))),0),IFERROR(DATEVALUE(TRIM(MID(SUBSTITUTE(I51,";",REPT(" ",50)),401,50))),0),IFERROR(DATEVALUE(TRIM(MID(SUBSTITUTE(I51,";",REPT(" ",50)),451,50))),0)))</f>
        <v>45902</v>
      </c>
      <c r="M51" t="s">
        <v>275</v>
      </c>
      <c r="N51">
        <f>IF(M51="","",IF(L51="",INDEX($F$61:$F$64,MATCH(M51,$C$61:$C$64,0)),IF(L51&lt;=INDEX($D$61:$D$64,MATCH(M51,$C$61:$C$64,0)),0,IF(L51&lt;=INDEX($E$61:$E$64,MATCH(M51,$C$61:$C$64,0)),INDEX($F$61:$F$64,MATCH(M51,$C$61:$C$64,0)),INDEX($G$61:$G$64,MATCH(M51,$C$61:$C$64,0))))))</f>
        <v>5</v>
      </c>
      <c r="O51">
        <f>G51+N51</f>
        <v>5</v>
      </c>
      <c r="P51" t="str">
        <f>IF(AND(C51="Multiple or sustained market-integrity halts",OR(D51="High",D51="Medium")),"Review Required","No Review")</f>
        <v>No Review</v>
      </c>
      <c r="Q51" t="s">
        <v>1513</v>
      </c>
      <c r="R51" t="s">
        <v>1514</v>
      </c>
    </row>
    <row r="52" spans="1:18" x14ac:dyDescent="0.2">
      <c r="A52" t="s">
        <v>466</v>
      </c>
      <c r="B52" t="s">
        <v>1515</v>
      </c>
      <c r="C52" t="s">
        <v>1516</v>
      </c>
      <c r="D52" t="s">
        <v>182</v>
      </c>
      <c r="E52">
        <f>IF(C52="No such delistings reported",0,IF(C52="Single delisting with clear resolution",10,IF(C52="One or more delistings for integrity/protection reasons",20,IF(C52="Unknown",10,""))))</f>
        <v>0</v>
      </c>
      <c r="F52">
        <f>IF(D52="High",0,IF(D52="Medium",0.05,IF(D52="Low",0.1,IF(D52="Unknown",0.15,""))))</f>
        <v>0.05</v>
      </c>
      <c r="G52">
        <f>E52*(1+F52)</f>
        <v>0</v>
      </c>
      <c r="H52" t="s">
        <v>1517</v>
      </c>
      <c r="I52" t="s">
        <v>1512</v>
      </c>
      <c r="J52" t="s">
        <v>166</v>
      </c>
      <c r="K52">
        <f>IF(I52="","",MAX(IFERROR(DATEVALUE(TRIM(MID(SUBSTITUTE(I52,";",REPT(" ",50)),1,50))),0),IFERROR(DATEVALUE(TRIM(MID(SUBSTITUTE(I52,";",REPT(" ",50)),51,50))),0),IFERROR(DATEVALUE(TRIM(MID(SUBSTITUTE(I52,";",REPT(" ",50)),101,50))),0),IFERROR(DATEVALUE(TRIM(MID(SUBSTITUTE(I52,";",REPT(" ",50)),151,50))),0),IFERROR(DATEVALUE(TRIM(MID(SUBSTITUTE(I52,";",REPT(" ",50)),201,50))),0),IFERROR(DATEVALUE(TRIM(MID(SUBSTITUTE(I52,";",REPT(" ",50)),251,50))),0),IFERROR(DATEVALUE(TRIM(MID(SUBSTITUTE(I52,";",REPT(" ",50)),301,50))),0),IFERROR(DATEVALUE(TRIM(MID(SUBSTITUTE(I52,";",REPT(" ",50)),351,50))),0),IFERROR(DATEVALUE(TRIM(MID(SUBSTITUTE(I52,";",REPT(" ",50)),401,50))),0),IFERROR(DATEVALUE(TRIM(MID(SUBSTITUTE(I52,";",REPT(" ",50)),451,50))),0)))</f>
        <v>45902</v>
      </c>
      <c r="M52" t="s">
        <v>275</v>
      </c>
      <c r="N52">
        <f>IF(M52="","",IF(L52="",INDEX($F$61:$F$64,MATCH(M52,$C$61:$C$64,0)),IF(L52&lt;=INDEX($D$61:$D$64,MATCH(M52,$C$61:$C$64,0)),0,IF(L52&lt;=INDEX($E$61:$E$64,MATCH(M52,$C$61:$C$64,0)),INDEX($F$61:$F$64,MATCH(M52,$C$61:$C$64,0)),INDEX($G$61:$G$64,MATCH(M52,$C$61:$C$64,0))))))</f>
        <v>5</v>
      </c>
      <c r="O52">
        <f>G52+N52</f>
        <v>5</v>
      </c>
      <c r="P52" t="str">
        <f>IF(AND(C52="One or more delistings for integrity/protection reasons",OR(D52="High",D52="Medium")),"Review Required","No Review")</f>
        <v>No Review</v>
      </c>
      <c r="Q52" t="s">
        <v>1518</v>
      </c>
      <c r="R52" t="s">
        <v>1519</v>
      </c>
    </row>
    <row r="53" spans="1:18" x14ac:dyDescent="0.2">
      <c r="A53" t="s">
        <v>472</v>
      </c>
      <c r="B53" t="s">
        <v>1520</v>
      </c>
      <c r="C53" t="s">
        <v>1521</v>
      </c>
      <c r="D53" t="s">
        <v>182</v>
      </c>
      <c r="E53">
        <f>IF(C53="No specific warnings found",0,IF(C53="Generic/high-level risk warnings only",10,IF(C53="Specific warnings about this token",20,IF(C53="Unknown",10,""))))</f>
        <v>10</v>
      </c>
      <c r="F53">
        <f>IF(D53="High",0,IF(D53="Medium",0.05,IF(D53="Low",0.1,IF(D53="Unknown",0.15,""))))</f>
        <v>0.05</v>
      </c>
      <c r="G53">
        <f>E53*(1+F53)</f>
        <v>10.5</v>
      </c>
      <c r="H53" t="s">
        <v>1522</v>
      </c>
      <c r="I53" t="s">
        <v>1523</v>
      </c>
      <c r="J53" t="s">
        <v>176</v>
      </c>
      <c r="K53">
        <f>IF(I53="","",MAX(IFERROR(DATEVALUE(TRIM(MID(SUBSTITUTE(I53,";",REPT(" ",50)),1,50))),0),IFERROR(DATEVALUE(TRIM(MID(SUBSTITUTE(I53,";",REPT(" ",50)),51,50))),0),IFERROR(DATEVALUE(TRIM(MID(SUBSTITUTE(I53,";",REPT(" ",50)),101,50))),0),IFERROR(DATEVALUE(TRIM(MID(SUBSTITUTE(I53,";",REPT(" ",50)),151,50))),0),IFERROR(DATEVALUE(TRIM(MID(SUBSTITUTE(I53,";",REPT(" ",50)),201,50))),0),IFERROR(DATEVALUE(TRIM(MID(SUBSTITUTE(I53,";",REPT(" ",50)),251,50))),0),IFERROR(DATEVALUE(TRIM(MID(SUBSTITUTE(I53,";",REPT(" ",50)),301,50))),0),IFERROR(DATEVALUE(TRIM(MID(SUBSTITUTE(I53,";",REPT(" ",50)),351,50))),0),IFERROR(DATEVALUE(TRIM(MID(SUBSTITUTE(I53,";",REPT(" ",50)),401,50))),0),IFERROR(DATEVALUE(TRIM(MID(SUBSTITUTE(I53,";",REPT(" ",50)),451,50))),0)))</f>
        <v>45945</v>
      </c>
      <c r="M53" t="s">
        <v>275</v>
      </c>
      <c r="N53">
        <f>IF(M53="","",IF(L53="",INDEX($F$61:$F$64,MATCH(M53,$C$61:$C$64,0)),IF(L53&lt;=INDEX($D$61:$D$64,MATCH(M53,$C$61:$C$64,0)),0,IF(L53&lt;=INDEX($E$61:$E$64,MATCH(M53,$C$61:$C$64,0)),INDEX($F$61:$F$64,MATCH(M53,$C$61:$C$64,0)),INDEX($G$61:$G$64,MATCH(M53,$C$61:$C$64,0))))))</f>
        <v>5</v>
      </c>
      <c r="O53">
        <f>G53+N53</f>
        <v>15.5</v>
      </c>
      <c r="P53" t="str">
        <f>IF(AND(C53="Specific warnings about this token",OR(D53="High",D53="Medium")),"Review Required","No Review")</f>
        <v>No Review</v>
      </c>
      <c r="Q53" t="s">
        <v>1524</v>
      </c>
      <c r="R53" t="s">
        <v>1525</v>
      </c>
    </row>
    <row r="54" spans="1:18" x14ac:dyDescent="0.2">
      <c r="A54" t="s">
        <v>488</v>
      </c>
      <c r="B54" t="s">
        <v>1526</v>
      </c>
      <c r="C54" t="s">
        <v>1527</v>
      </c>
      <c r="D54" t="s">
        <v>182</v>
      </c>
      <c r="E54">
        <v>0</v>
      </c>
      <c r="F54">
        <f>IF(D54="High",0,IF(D54="Medium",0.05,IF(D54="Low",0.1,IF(D54="Unknown",0.15,""))))</f>
        <v>0.05</v>
      </c>
      <c r="G54">
        <f>E54*(1+F54)</f>
        <v>0</v>
      </c>
      <c r="H54" t="s">
        <v>1528</v>
      </c>
      <c r="I54" t="s">
        <v>1529</v>
      </c>
      <c r="J54" t="s">
        <v>166</v>
      </c>
      <c r="K54">
        <f>IF(I54="","",MAX(IFERROR(DATEVALUE(TRIM(MID(SUBSTITUTE(I54,";",REPT(" ",50)),1,50))),0),IFERROR(DATEVALUE(TRIM(MID(SUBSTITUTE(I54,";",REPT(" ",50)),51,50))),0),IFERROR(DATEVALUE(TRIM(MID(SUBSTITUTE(I54,";",REPT(" ",50)),101,50))),0),IFERROR(DATEVALUE(TRIM(MID(SUBSTITUTE(I54,";",REPT(" ",50)),151,50))),0),IFERROR(DATEVALUE(TRIM(MID(SUBSTITUTE(I54,";",REPT(" ",50)),201,50))),0),IFERROR(DATEVALUE(TRIM(MID(SUBSTITUTE(I54,";",REPT(" ",50)),251,50))),0),IFERROR(DATEVALUE(TRIM(MID(SUBSTITUTE(I54,";",REPT(" ",50)),301,50))),0),IFERROR(DATEVALUE(TRIM(MID(SUBSTITUTE(I54,";",REPT(" ",50)),351,50))),0),IFERROR(DATEVALUE(TRIM(MID(SUBSTITUTE(I54,";",REPT(" ",50)),401,50))),0),IFERROR(DATEVALUE(TRIM(MID(SUBSTITUTE(I54,";",REPT(" ",50)),451,50))),0)))</f>
        <v>45986</v>
      </c>
      <c r="M54" t="s">
        <v>275</v>
      </c>
      <c r="N54">
        <f>IF(M54="","",IF(L54="",INDEX($F$61:$F$64,MATCH(M54,$C$61:$C$64,0)),IF(L54&lt;=INDEX($D$61:$D$64,MATCH(M54,$C$61:$C$64,0)),0,IF(L54&lt;=INDEX($E$61:$E$64,MATCH(M54,$C$61:$C$64,0)),INDEX($F$61:$F$64,MATCH(M54,$C$61:$C$64,0)),INDEX($G$61:$G$64,MATCH(M54,$C$61:$C$64,0))))))</f>
        <v>5</v>
      </c>
      <c r="O54">
        <f>G54+N54</f>
        <v>5</v>
      </c>
      <c r="P54" t="s">
        <v>168</v>
      </c>
      <c r="Q54" t="s">
        <v>823</v>
      </c>
      <c r="R54" t="s">
        <v>1530</v>
      </c>
    </row>
    <row r="59" spans="1:18" x14ac:dyDescent="0.2">
      <c r="C59" s="56" t="s">
        <v>533</v>
      </c>
      <c r="D59" s="57"/>
      <c r="E59" s="57"/>
      <c r="F59" s="57"/>
      <c r="G59" s="58"/>
    </row>
    <row r="60" spans="1:18" x14ac:dyDescent="0.2">
      <c r="C60" s="31" t="s">
        <v>152</v>
      </c>
      <c r="D60" s="32" t="s">
        <v>534</v>
      </c>
      <c r="E60" s="32" t="s">
        <v>535</v>
      </c>
      <c r="F60" s="32" t="s">
        <v>536</v>
      </c>
      <c r="G60" s="32" t="s">
        <v>537</v>
      </c>
    </row>
    <row r="61" spans="1:18" x14ac:dyDescent="0.2">
      <c r="C61" s="33" t="s">
        <v>275</v>
      </c>
      <c r="D61" s="34">
        <v>90</v>
      </c>
      <c r="E61" s="34">
        <v>180</v>
      </c>
      <c r="F61" s="34">
        <v>5</v>
      </c>
      <c r="G61" s="35">
        <v>10</v>
      </c>
    </row>
    <row r="62" spans="1:18" x14ac:dyDescent="0.2">
      <c r="C62" s="36" t="s">
        <v>185</v>
      </c>
      <c r="D62" s="34">
        <v>180</v>
      </c>
      <c r="E62" s="34">
        <v>365</v>
      </c>
      <c r="F62" s="34">
        <v>3</v>
      </c>
      <c r="G62" s="35">
        <v>6</v>
      </c>
    </row>
    <row r="63" spans="1:18" x14ac:dyDescent="0.2">
      <c r="C63" s="36" t="s">
        <v>300</v>
      </c>
      <c r="D63" s="34">
        <v>365</v>
      </c>
      <c r="E63" s="34">
        <v>730</v>
      </c>
      <c r="F63" s="34">
        <v>2</v>
      </c>
      <c r="G63" s="35">
        <v>4</v>
      </c>
    </row>
    <row r="64" spans="1:18" x14ac:dyDescent="0.2">
      <c r="C64" s="31" t="s">
        <v>167</v>
      </c>
      <c r="D64" s="37">
        <v>9999</v>
      </c>
      <c r="E64" s="37">
        <v>9999</v>
      </c>
      <c r="F64" s="37">
        <v>0</v>
      </c>
      <c r="G64" s="32">
        <v>0</v>
      </c>
    </row>
    <row r="68" spans="3:5" ht="16" customHeight="1" thickBot="1" x14ac:dyDescent="0.25"/>
    <row r="69" spans="3:5" ht="16" customHeight="1" thickBot="1" x14ac:dyDescent="0.25">
      <c r="C69" s="52" t="s">
        <v>538</v>
      </c>
      <c r="D69" s="53"/>
      <c r="E69" s="54"/>
    </row>
    <row r="70" spans="3:5" x14ac:dyDescent="0.2">
      <c r="C70" s="44" t="s">
        <v>539</v>
      </c>
      <c r="D70" s="45"/>
      <c r="E70" s="8">
        <f>IF(COUNTIFS($A$4:$A$54,"A*",$C$4:$C$54,"&lt;&gt;")=0,"",AVERAGEIFS($O$4:$O$54,$A$4:$A$54,"A*",$C$4:$C$54,"&lt;&gt;"))</f>
        <v>6.625</v>
      </c>
    </row>
    <row r="71" spans="3:5" x14ac:dyDescent="0.2">
      <c r="C71" s="44" t="s">
        <v>540</v>
      </c>
      <c r="D71" s="45"/>
      <c r="E71" s="8">
        <f>IF(COUNTIFS($A$4:$A$54,"B*",$C$4:$C$54,"&lt;&gt;")=0,"",AVERAGEIFS($O$4:$O$54,$A$4:$A$54,"B*",$C$4:$C$54,"&lt;&gt;"))</f>
        <v>8.125</v>
      </c>
    </row>
    <row r="72" spans="3:5" x14ac:dyDescent="0.2">
      <c r="C72" s="44" t="s">
        <v>541</v>
      </c>
      <c r="D72" s="45"/>
      <c r="E72" s="8">
        <f>IF(COUNTIFS($A$4:$A$54,"C*",$C$4:$C$54,"&lt;&gt;")=0,"",AVERAGEIFS($O$4:$O$54,$A$4:$A$54,"C*",$C$4:$C$54,"&lt;&gt;"))</f>
        <v>6.75</v>
      </c>
    </row>
    <row r="73" spans="3:5" x14ac:dyDescent="0.2">
      <c r="C73" s="44" t="s">
        <v>542</v>
      </c>
      <c r="D73" s="45"/>
      <c r="E73" s="8">
        <f>IF(COUNTIFS($A$4:$A$54,"D*",$C$4:$C$54,"&lt;&gt;")=0,"",AVERAGEIFS($O$4:$O$54,$A$4:$A$54,"D*",$C$4:$C$54,"&lt;&gt;"))</f>
        <v>11.714285714285714</v>
      </c>
    </row>
    <row r="74" spans="3:5" x14ac:dyDescent="0.2">
      <c r="C74" s="44" t="s">
        <v>543</v>
      </c>
      <c r="D74" s="45"/>
      <c r="E74" s="8">
        <f>IF(COUNTIFS($A$4:$A$54,"E*",$C$4:$C$54,"&lt;&gt;")=0,"",AVERAGEIFS($O$4:$O$54,$A$4:$A$54,"E*",$C$4:$C$54,"&lt;&gt;"))</f>
        <v>7.3571428571428568</v>
      </c>
    </row>
    <row r="75" spans="3:5" x14ac:dyDescent="0.2">
      <c r="C75" s="44" t="s">
        <v>544</v>
      </c>
      <c r="D75" s="45"/>
      <c r="E75" s="8">
        <f>IF(COUNTIF($C$4:$C$54,"&lt;&gt;")=0,"",AVERAGEIFS($O$4:$O$54,$C$4:$C$54,"&lt;&gt;"))</f>
        <v>8.0394736842105257</v>
      </c>
    </row>
    <row r="76" spans="3:5" x14ac:dyDescent="0.2">
      <c r="C76" s="44" t="s">
        <v>545</v>
      </c>
      <c r="D76" s="45"/>
      <c r="E76" s="8" t="str">
        <f>IF(E75="","",IF(E75&lt;3,"Very Low",IF(E75&lt;6,"Low",IF(E75&lt;9,"Medium",IF(E75&lt;12,"Medium-High","High")))))</f>
        <v>Medium</v>
      </c>
    </row>
    <row r="77" spans="3:5" x14ac:dyDescent="0.2">
      <c r="C77" s="46" t="s">
        <v>546</v>
      </c>
      <c r="D77" s="47"/>
      <c r="E77" s="9" t="str">
        <f>IF(COUNT($E$70:$E$74)=0,"",IF($E$70=MIN($E$70:$E$74),"A",IF($E$71=MIN($E$70:$E$74),"B",IF($E$72=MIN($E$70:$E$74),"C",IF($E$73=MIN($E$70:$E$74),"D","E")))))</f>
        <v>A</v>
      </c>
    </row>
  </sheetData>
  <mergeCells count="20">
    <mergeCell ref="B40:R40"/>
    <mergeCell ref="C72:D72"/>
    <mergeCell ref="B30:R30"/>
    <mergeCell ref="B36:R36"/>
    <mergeCell ref="C77:D77"/>
    <mergeCell ref="B50:R50"/>
    <mergeCell ref="B25:R25"/>
    <mergeCell ref="C74:D74"/>
    <mergeCell ref="B3:R3"/>
    <mergeCell ref="B46:R46"/>
    <mergeCell ref="C73:D73"/>
    <mergeCell ref="C75:D75"/>
    <mergeCell ref="B8:R8"/>
    <mergeCell ref="B14:R14"/>
    <mergeCell ref="C59:G59"/>
    <mergeCell ref="C76:D76"/>
    <mergeCell ref="C71:D71"/>
    <mergeCell ref="C69:E69"/>
    <mergeCell ref="C70:D70"/>
    <mergeCell ref="B19:R19"/>
  </mergeCells>
  <conditionalFormatting sqref="O4:O60">
    <cfRule type="colorScale" priority="11">
      <colorScale>
        <cfvo type="num" val="0"/>
        <cfvo type="percentile" val="50"/>
        <cfvo type="num" val="25"/>
        <color rgb="FF73FB79"/>
        <color rgb="FFFFFD78"/>
        <color rgb="FFFF2600"/>
      </colorScale>
    </cfRule>
  </conditionalFormatting>
  <conditionalFormatting sqref="P4:P54">
    <cfRule type="cellIs" dxfId="15" priority="12" operator="equal">
      <formula>"No Review"</formula>
    </cfRule>
    <cfRule type="cellIs" dxfId="14" priority="13" operator="equal">
      <formula>"Review Required"</formula>
    </cfRule>
  </conditionalFormatting>
  <dataValidations count="1">
    <dataValidation type="list" showInputMessage="1" showErrorMessage="1" sqref="M4:M67" xr:uid="{00000000-0002-0000-0500-000000000000}">
      <formula1>"Critical–Fast,Operational–Medium,Background–Slow,Evergreen–No Penalty"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52"/>
  <sheetViews>
    <sheetView tabSelected="1" topLeftCell="B1" workbookViewId="0">
      <selection activeCell="G48" sqref="G48"/>
    </sheetView>
  </sheetViews>
  <sheetFormatPr baseColWidth="10" defaultColWidth="8.83203125" defaultRowHeight="15" x14ac:dyDescent="0.2"/>
  <cols>
    <col min="1" max="1" width="13.6640625" customWidth="1"/>
    <col min="2" max="2" width="255.6640625" customWidth="1"/>
    <col min="3" max="5" width="15.83203125" customWidth="1"/>
    <col min="6" max="6" width="18.6640625" customWidth="1"/>
    <col min="7" max="7" width="23.5" customWidth="1"/>
    <col min="8" max="10" width="15.83203125" customWidth="1"/>
    <col min="11" max="11" width="22.5" style="24" customWidth="1"/>
    <col min="12" max="15" width="15.83203125" customWidth="1"/>
    <col min="16" max="16" width="19.6640625" customWidth="1"/>
    <col min="17" max="17" width="119.33203125" customWidth="1"/>
    <col min="18" max="18" width="69.33203125" customWidth="1"/>
    <col min="19" max="19" width="8.83203125" customWidth="1"/>
    <col min="20" max="23" width="18.5" customWidth="1"/>
  </cols>
  <sheetData>
    <row r="1" spans="1:19" x14ac:dyDescent="0.2">
      <c r="A1" s="1" t="s">
        <v>140</v>
      </c>
      <c r="B1" s="1" t="s">
        <v>141</v>
      </c>
      <c r="C1" s="1" t="s">
        <v>142</v>
      </c>
      <c r="D1" s="1" t="s">
        <v>143</v>
      </c>
      <c r="E1" s="1" t="s">
        <v>144</v>
      </c>
      <c r="F1" s="1" t="s">
        <v>145</v>
      </c>
      <c r="G1" s="1" t="s">
        <v>146</v>
      </c>
      <c r="H1" s="1" t="s">
        <v>147</v>
      </c>
      <c r="I1" s="1" t="s">
        <v>148</v>
      </c>
      <c r="J1" s="1" t="s">
        <v>149</v>
      </c>
      <c r="K1" s="22" t="s">
        <v>150</v>
      </c>
      <c r="L1" s="1" t="s">
        <v>151</v>
      </c>
      <c r="M1" s="1" t="s">
        <v>152</v>
      </c>
      <c r="N1" s="1" t="s">
        <v>153</v>
      </c>
      <c r="O1" s="1" t="s">
        <v>154</v>
      </c>
      <c r="P1" s="1" t="s">
        <v>155</v>
      </c>
      <c r="Q1" s="1" t="s">
        <v>156</v>
      </c>
      <c r="R1" s="1" t="s">
        <v>157</v>
      </c>
      <c r="S1" t="s">
        <v>158</v>
      </c>
    </row>
    <row r="2" spans="1:19" x14ac:dyDescent="0.2">
      <c r="A2" s="4"/>
      <c r="B2" s="5" t="s">
        <v>1531</v>
      </c>
      <c r="C2" s="4"/>
      <c r="D2" s="4"/>
      <c r="E2" s="4"/>
      <c r="F2" s="4"/>
      <c r="G2" s="4"/>
      <c r="H2" s="4"/>
      <c r="I2" s="4"/>
      <c r="J2" s="4"/>
      <c r="K2" s="23"/>
      <c r="L2" s="4"/>
      <c r="M2" s="4"/>
      <c r="N2" s="4"/>
      <c r="O2" s="4"/>
      <c r="P2" s="4"/>
      <c r="Q2" s="4"/>
      <c r="R2" s="4"/>
    </row>
    <row r="3" spans="1:19" x14ac:dyDescent="0.2">
      <c r="A3" s="3"/>
      <c r="B3" s="48"/>
      <c r="C3" s="49"/>
      <c r="D3" s="49"/>
      <c r="E3" s="49"/>
      <c r="F3" s="49"/>
      <c r="G3" s="49"/>
      <c r="H3" s="49"/>
      <c r="I3" s="49"/>
      <c r="J3" s="49"/>
      <c r="K3" s="50"/>
      <c r="L3" s="49"/>
      <c r="M3" s="49"/>
      <c r="N3" s="49"/>
      <c r="O3" s="49"/>
      <c r="P3" s="49"/>
      <c r="Q3" s="49"/>
      <c r="R3" s="49"/>
    </row>
    <row r="4" spans="1:19" x14ac:dyDescent="0.2">
      <c r="A4" t="s">
        <v>160</v>
      </c>
      <c r="B4" t="s">
        <v>1532</v>
      </c>
      <c r="C4" t="s">
        <v>1533</v>
      </c>
      <c r="D4" t="s">
        <v>163</v>
      </c>
      <c r="E4">
        <f>IF(C4="Clear and credible utility/business model",0,IF(C4="Partially clear with some gaps",10,IF(C4="Weak or mainly narrative with little substance",20,IF(C4="Unknown",10,""))))</f>
        <v>0</v>
      </c>
      <c r="F4">
        <f>IF(D4="High",0,IF(D4="Medium",0.05,IF(D4="Low",0.1,IF(D4="Unknown",0.15,""))))</f>
        <v>0</v>
      </c>
      <c r="G4">
        <f>E4*(1+F4)</f>
        <v>0</v>
      </c>
      <c r="H4" t="s">
        <v>1534</v>
      </c>
      <c r="I4" t="s">
        <v>1535</v>
      </c>
      <c r="J4" t="s">
        <v>166</v>
      </c>
      <c r="K4">
        <f>IF(I4="","",MAX(IFERROR(DATEVALUE(TRIM(MID(SUBSTITUTE(I4,";",REPT(" ",50)),1,50))),0),IFERROR(DATEVALUE(TRIM(MID(SUBSTITUTE(I4,";",REPT(" ",50)),51,50))),0),IFERROR(DATEVALUE(TRIM(MID(SUBSTITUTE(I4,";",REPT(" ",50)),101,50))),0),IFERROR(DATEVALUE(TRIM(MID(SUBSTITUTE(I4,";",REPT(" ",50)),151,50))),0),IFERROR(DATEVALUE(TRIM(MID(SUBSTITUTE(I4,";",REPT(" ",50)),201,50))),0),IFERROR(DATEVALUE(TRIM(MID(SUBSTITUTE(I4,";",REPT(" ",50)),251,50))),0),IFERROR(DATEVALUE(TRIM(MID(SUBSTITUTE(I4,";",REPT(" ",50)),301,50))),0),IFERROR(DATEVALUE(TRIM(MID(SUBSTITUTE(I4,";",REPT(" ",50)),351,50))),0),IFERROR(DATEVALUE(TRIM(MID(SUBSTITUTE(I4,";",REPT(" ",50)),401,50))),0),IFERROR(DATEVALUE(TRIM(MID(SUBSTITUTE(I4,";",REPT(" ",50)),451,50))),0)))</f>
        <v>46011</v>
      </c>
      <c r="M4" t="s">
        <v>167</v>
      </c>
      <c r="N4">
        <f>IF(M4="","",IF(L4="",INDEX($F$37:$F$40,MATCH(M4,$C$37:$C$40,0)),IF(L4&lt;=INDEX($D$37:$D$40,MATCH(M4,$C$37:$C$40,0)),0,IF(L4&lt;=INDEX($E$37:$E$40,MATCH(M4,$C$37:$C$40,0)),INDEX($F$37:$F$40,MATCH(M4,$C$37:$C$40,0)),INDEX($G$37:$G$40,MATCH(M4,$C$37:$C$40,0))))))</f>
        <v>0</v>
      </c>
      <c r="O4">
        <f>G4+N4</f>
        <v>0</v>
      </c>
      <c r="P4" t="s">
        <v>168</v>
      </c>
      <c r="R4" t="s">
        <v>1536</v>
      </c>
    </row>
    <row r="5" spans="1:19" x14ac:dyDescent="0.2">
      <c r="A5" t="s">
        <v>171</v>
      </c>
      <c r="B5" t="s">
        <v>1537</v>
      </c>
      <c r="C5" t="s">
        <v>1538</v>
      </c>
      <c r="D5" t="s">
        <v>163</v>
      </c>
      <c r="E5">
        <f>IF(C5="Primarily utility/usage-driven",0,IF(C5="Mixed (both usage and speculation)",10,IF(C5="Heavily dependent on speculation/narrative",20,IF(C5="Unknown",10,""))))</f>
        <v>20</v>
      </c>
      <c r="F5">
        <f>IF(D5="High",0,IF(D5="Medium",0.05,IF(D5="Low",0.1,IF(D5="Unknown",0.15,""))))</f>
        <v>0</v>
      </c>
      <c r="G5">
        <f>E5*(1+F5)</f>
        <v>20</v>
      </c>
      <c r="H5" t="s">
        <v>1539</v>
      </c>
      <c r="I5" t="s">
        <v>1540</v>
      </c>
      <c r="J5" t="s">
        <v>166</v>
      </c>
      <c r="K5">
        <f>IF(I5="","",MAX(IFERROR(DATEVALUE(TRIM(MID(SUBSTITUTE(I5,";",REPT(" ",50)),1,50))),0),IFERROR(DATEVALUE(TRIM(MID(SUBSTITUTE(I5,";",REPT(" ",50)),51,50))),0),IFERROR(DATEVALUE(TRIM(MID(SUBSTITUTE(I5,";",REPT(" ",50)),101,50))),0),IFERROR(DATEVALUE(TRIM(MID(SUBSTITUTE(I5,";",REPT(" ",50)),151,50))),0),IFERROR(DATEVALUE(TRIM(MID(SUBSTITUTE(I5,";",REPT(" ",50)),201,50))),0),IFERROR(DATEVALUE(TRIM(MID(SUBSTITUTE(I5,";",REPT(" ",50)),251,50))),0),IFERROR(DATEVALUE(TRIM(MID(SUBSTITUTE(I5,";",REPT(" ",50)),301,50))),0),IFERROR(DATEVALUE(TRIM(MID(SUBSTITUTE(I5,";",REPT(" ",50)),351,50))),0),IFERROR(DATEVALUE(TRIM(MID(SUBSTITUTE(I5,";",REPT(" ",50)),401,50))),0),IFERROR(DATEVALUE(TRIM(MID(SUBSTITUTE(I5,";",REPT(" ",50)),451,50))),0)))</f>
        <v>45945</v>
      </c>
      <c r="M5" t="s">
        <v>167</v>
      </c>
      <c r="N5">
        <f>IF(M5="","",IF(L5="",INDEX($F$37:$F$40,MATCH(M5,$C$37:$C$40,0)),IF(L5&lt;=INDEX($D$37:$D$40,MATCH(M5,$C$37:$C$40,0)),0,IF(L5&lt;=INDEX($E$37:$E$40,MATCH(M5,$C$37:$C$40,0)),INDEX($F$37:$F$40,MATCH(M5,$C$37:$C$40,0)),INDEX($G$37:$G$40,MATCH(M5,$C$37:$C$40,0))))))</f>
        <v>0</v>
      </c>
      <c r="O5">
        <f>G5+N5</f>
        <v>20</v>
      </c>
      <c r="P5" t="str">
        <f>IF(AND(C5="Heavily dependent on speculation/narrative",OR(D5="High",D5="Medium")),"Review Required","No Review")</f>
        <v>Review Required</v>
      </c>
      <c r="Q5" t="s">
        <v>1541</v>
      </c>
      <c r="R5" t="s">
        <v>1542</v>
      </c>
    </row>
    <row r="6" spans="1:19" x14ac:dyDescent="0.2">
      <c r="A6" t="s">
        <v>179</v>
      </c>
      <c r="B6" t="s">
        <v>1543</v>
      </c>
      <c r="C6" t="s">
        <v>1544</v>
      </c>
      <c r="D6" t="s">
        <v>182</v>
      </c>
      <c r="E6">
        <f>IF(C6="Diversified across multiple drivers",0,IF(C6="Moderately concentrated",10,IF(C6="Highly concentrated in a single driver",20,IF(C6="Unknown",10,""))))</f>
        <v>10</v>
      </c>
      <c r="F6">
        <f>IF(D6="High",0,IF(D6="Medium",0.05,IF(D6="Low",0.1,IF(D6="Unknown",0.15,""))))</f>
        <v>0.05</v>
      </c>
      <c r="G6">
        <f>E6*(1+F6)</f>
        <v>10.5</v>
      </c>
      <c r="H6" t="s">
        <v>1545</v>
      </c>
      <c r="I6" t="s">
        <v>1546</v>
      </c>
      <c r="J6" t="s">
        <v>166</v>
      </c>
      <c r="K6">
        <f>IF(I6="","",MAX(IFERROR(DATEVALUE(TRIM(MID(SUBSTITUTE(I6,";",REPT(" ",50)),1,50))),0),IFERROR(DATEVALUE(TRIM(MID(SUBSTITUTE(I6,";",REPT(" ",50)),51,50))),0),IFERROR(DATEVALUE(TRIM(MID(SUBSTITUTE(I6,";",REPT(" ",50)),101,50))),0),IFERROR(DATEVALUE(TRIM(MID(SUBSTITUTE(I6,";",REPT(" ",50)),151,50))),0),IFERROR(DATEVALUE(TRIM(MID(SUBSTITUTE(I6,";",REPT(" ",50)),201,50))),0),IFERROR(DATEVALUE(TRIM(MID(SUBSTITUTE(I6,";",REPT(" ",50)),251,50))),0),IFERROR(DATEVALUE(TRIM(MID(SUBSTITUTE(I6,";",REPT(" ",50)),301,50))),0),IFERROR(DATEVALUE(TRIM(MID(SUBSTITUTE(I6,";",REPT(" ",50)),351,50))),0),IFERROR(DATEVALUE(TRIM(MID(SUBSTITUTE(I6,";",REPT(" ",50)),401,50))),0),IFERROR(DATEVALUE(TRIM(MID(SUBSTITUTE(I6,";",REPT(" ",50)),451,50))),0)))</f>
        <v>45967</v>
      </c>
      <c r="M6" t="s">
        <v>167</v>
      </c>
      <c r="N6">
        <f>IF(M6="","",IF(L6="",INDEX($F$37:$F$40,MATCH(M6,$C$37:$C$40,0)),IF(L6&lt;=INDEX($D$37:$D$40,MATCH(M6,$C$37:$C$40,0)),0,IF(L6&lt;=INDEX($E$37:$E$40,MATCH(M6,$C$37:$C$40,0)),INDEX($F$37:$F$40,MATCH(M6,$C$37:$C$40,0)),INDEX($G$37:$G$40,MATCH(M6,$C$37:$C$40,0))))))</f>
        <v>0</v>
      </c>
      <c r="O6">
        <f>G6+N6</f>
        <v>10.5</v>
      </c>
      <c r="P6" t="s">
        <v>168</v>
      </c>
      <c r="R6" t="s">
        <v>1547</v>
      </c>
    </row>
    <row r="7" spans="1:19" x14ac:dyDescent="0.2">
      <c r="A7" t="s">
        <v>202</v>
      </c>
      <c r="B7" t="s">
        <v>1548</v>
      </c>
      <c r="C7" t="s">
        <v>1549</v>
      </c>
      <c r="D7" t="s">
        <v>182</v>
      </c>
      <c r="E7">
        <v>0</v>
      </c>
      <c r="F7">
        <f>IF(D7="High",0,IF(D7="Medium",0.05,IF(D7="Low",0.1,IF(D7="Unknown",0.15,""))))</f>
        <v>0.05</v>
      </c>
      <c r="G7">
        <f>E7*(1+F7)</f>
        <v>0</v>
      </c>
      <c r="H7" t="s">
        <v>1550</v>
      </c>
      <c r="I7" t="s">
        <v>1551</v>
      </c>
      <c r="J7" t="s">
        <v>166</v>
      </c>
      <c r="K7">
        <f>IF(I7="","",MAX(IFERROR(DATEVALUE(TRIM(MID(SUBSTITUTE(I7,";",REPT(" ",50)),1,50))),0),IFERROR(DATEVALUE(TRIM(MID(SUBSTITUTE(I7,";",REPT(" ",50)),51,50))),0),IFERROR(DATEVALUE(TRIM(MID(SUBSTITUTE(I7,";",REPT(" ",50)),101,50))),0),IFERROR(DATEVALUE(TRIM(MID(SUBSTITUTE(I7,";",REPT(" ",50)),151,50))),0),IFERROR(DATEVALUE(TRIM(MID(SUBSTITUTE(I7,";",REPT(" ",50)),201,50))),0),IFERROR(DATEVALUE(TRIM(MID(SUBSTITUTE(I7,";",REPT(" ",50)),251,50))),0),IFERROR(DATEVALUE(TRIM(MID(SUBSTITUTE(I7,";",REPT(" ",50)),301,50))),0),IFERROR(DATEVALUE(TRIM(MID(SUBSTITUTE(I7,";",REPT(" ",50)),351,50))),0),IFERROR(DATEVALUE(TRIM(MID(SUBSTITUTE(I7,";",REPT(" ",50)),401,50))),0),IFERROR(DATEVALUE(TRIM(MID(SUBSTITUTE(I7,";",REPT(" ",50)),451,50))),0)))</f>
        <v>45991</v>
      </c>
      <c r="M7" t="s">
        <v>167</v>
      </c>
      <c r="N7">
        <f>IF(M7="","",IF(L7="",INDEX($F$37:$F$40,MATCH(M7,$C$37:$C$40,0)),IF(L7&lt;=INDEX($D$37:$D$40,MATCH(M7,$C$37:$C$40,0)),0,IF(L7&lt;=INDEX($E$37:$E$40,MATCH(M7,$C$37:$C$40,0)),INDEX($F$37:$F$40,MATCH(M7,$C$37:$C$40,0)),INDEX($G$37:$G$40,MATCH(M7,$C$37:$C$40,0))))))</f>
        <v>0</v>
      </c>
      <c r="O7">
        <f>G7+N7</f>
        <v>0</v>
      </c>
      <c r="P7" t="s">
        <v>168</v>
      </c>
      <c r="Q7" t="s">
        <v>823</v>
      </c>
      <c r="R7" t="s">
        <v>1552</v>
      </c>
    </row>
    <row r="8" spans="1:19" x14ac:dyDescent="0.2">
      <c r="A8" s="4"/>
      <c r="B8" s="5" t="s">
        <v>1553</v>
      </c>
      <c r="C8" s="4"/>
      <c r="D8" s="4"/>
      <c r="E8" s="4"/>
      <c r="F8" s="4"/>
      <c r="G8" s="4"/>
      <c r="H8" s="4"/>
      <c r="I8" s="4"/>
      <c r="J8" s="4"/>
      <c r="K8" s="23" t="str">
        <f>IF(I8="","",MAX(IFERROR(DATEVALUE(TRIM(MID(SUBSTITUTE(I8,";",REPT(" ",50)),1,50))),0),IFERROR(DATEVALUE(TRIM(MID(SUBSTITUTE(I8,";",REPT(" ",50)),51,50))),0),IFERROR(DATEVALUE(TRIM(MID(SUBSTITUTE(I8,";",REPT(" ",50)),101,50))),0),IFERROR(DATEVALUE(TRIM(MID(SUBSTITUTE(I8,";",REPT(" ",50)),151,50))),0),IFERROR(DATEVALUE(TRIM(MID(SUBSTITUTE(I8,";",REPT(" ",50)),201,50))),0),IFERROR(DATEVALUE(TRIM(MID(SUBSTITUTE(I8,";",REPT(" ",50)),251,50))),0),IFERROR(DATEVALUE(TRIM(MID(SUBSTITUTE(I8,";",REPT(" ",50)),301,50))),0),IFERROR(DATEVALUE(TRIM(MID(SUBSTITUTE(I8,";",REPT(" ",50)),351,50))),0),IFERROR(DATEVALUE(TRIM(MID(SUBSTITUTE(I8,";",REPT(" ",50)),401,50))),0),IFERROR(DATEVALUE(TRIM(MID(SUBSTITUTE(I8,";",REPT(" ",50)),451,50))),0)))</f>
        <v/>
      </c>
      <c r="L8" s="4"/>
      <c r="M8" s="4"/>
      <c r="N8" s="4" t="str">
        <f>IF(M8="","",IF(L8="",INDEX($F$37:$F$40,MATCH(M8,$C$37:$C$40,0)),IF(L8&lt;=INDEX($D$37:$D$40,MATCH(M8,$C$37:$C$40,0)),0,IF(L8&lt;=INDEX($E$37:$E$40,MATCH(M8,$C$37:$C$40,0)),INDEX($F$37:$F$40,MATCH(M8,$C$37:$C$40,0)),INDEX($G$37:$G$40,MATCH(M8,$C$37:$C$40,0))))))</f>
        <v/>
      </c>
      <c r="O8" s="4"/>
      <c r="P8" s="4"/>
      <c r="Q8" s="4"/>
      <c r="R8" s="4"/>
    </row>
    <row r="9" spans="1:19" x14ac:dyDescent="0.2">
      <c r="A9" s="3"/>
      <c r="B9" s="48"/>
      <c r="C9" s="49"/>
      <c r="D9" s="49"/>
      <c r="E9" s="49"/>
      <c r="F9" s="49"/>
      <c r="G9" s="49"/>
      <c r="H9" s="49"/>
      <c r="I9" s="49"/>
      <c r="J9" s="49"/>
      <c r="K9" s="50"/>
      <c r="L9" s="49"/>
      <c r="M9" s="49"/>
      <c r="N9" s="49"/>
      <c r="O9" s="49"/>
      <c r="P9" s="49"/>
      <c r="Q9" s="49"/>
      <c r="R9" s="49"/>
    </row>
    <row r="10" spans="1:19" x14ac:dyDescent="0.2">
      <c r="A10" t="s">
        <v>244</v>
      </c>
      <c r="B10" t="s">
        <v>1554</v>
      </c>
      <c r="C10" t="s">
        <v>1555</v>
      </c>
      <c r="D10" t="s">
        <v>182</v>
      </c>
      <c r="E10">
        <f>IF(C10="No actions identified",0,IF(C10="Minor actions or warnings resolved",10,IF(C10="Significant or ongoing enforcement actions",20,IF(C10="Unknown",10,""))))</f>
        <v>0</v>
      </c>
      <c r="F10">
        <f>IF(D10="High",0,IF(D10="Medium",0.05,IF(D10="Low",0.1,IF(D10="Unknown",0.15,""))))</f>
        <v>0.05</v>
      </c>
      <c r="G10">
        <f>E10*(1+F10)</f>
        <v>0</v>
      </c>
      <c r="H10" t="s">
        <v>1556</v>
      </c>
      <c r="I10" t="s">
        <v>1557</v>
      </c>
      <c r="J10" t="s">
        <v>166</v>
      </c>
      <c r="K10">
        <f>IF(I10="","",MAX(IFERROR(DATEVALUE(TRIM(MID(SUBSTITUTE(I10,";",REPT(" ",50)),1,50))),0),IFERROR(DATEVALUE(TRIM(MID(SUBSTITUTE(I10,";",REPT(" ",50)),51,50))),0),IFERROR(DATEVALUE(TRIM(MID(SUBSTITUTE(I10,";",REPT(" ",50)),101,50))),0),IFERROR(DATEVALUE(TRIM(MID(SUBSTITUTE(I10,";",REPT(" ",50)),151,50))),0),IFERROR(DATEVALUE(TRIM(MID(SUBSTITUTE(I10,";",REPT(" ",50)),201,50))),0),IFERROR(DATEVALUE(TRIM(MID(SUBSTITUTE(I10,";",REPT(" ",50)),251,50))),0),IFERROR(DATEVALUE(TRIM(MID(SUBSTITUTE(I10,";",REPT(" ",50)),301,50))),0),IFERROR(DATEVALUE(TRIM(MID(SUBSTITUTE(I10,";",REPT(" ",50)),351,50))),0),IFERROR(DATEVALUE(TRIM(MID(SUBSTITUTE(I10,";",REPT(" ",50)),401,50))),0),IFERROR(DATEVALUE(TRIM(MID(SUBSTITUTE(I10,";",REPT(" ",50)),451,50))),0)))</f>
        <v>45915</v>
      </c>
      <c r="M10" t="s">
        <v>300</v>
      </c>
      <c r="N10">
        <f>IF(M10="","",IF(L10="",INDEX($F$37:$F$40,MATCH(M10,$C$37:$C$40,0)),IF(L10&lt;=INDEX($D$37:$D$40,MATCH(M10,$C$37:$C$40,0)),0,IF(L10&lt;=INDEX($E$37:$E$40,MATCH(M10,$C$37:$C$40,0)),INDEX($F$37:$F$40,MATCH(M10,$C$37:$C$40,0)),INDEX($G$37:$G$40,MATCH(M10,$C$37:$C$40,0))))))</f>
        <v>2</v>
      </c>
      <c r="O10">
        <f>G10+N10</f>
        <v>2</v>
      </c>
      <c r="P10" t="str">
        <f>IF(AND(C10="Significant or ongoing enforcement actions",OR(D10="High",D10="Medium")),"Review Required","No Review")</f>
        <v>No Review</v>
      </c>
      <c r="Q10" t="s">
        <v>1558</v>
      </c>
      <c r="R10" t="s">
        <v>1559</v>
      </c>
    </row>
    <row r="11" spans="1:19" x14ac:dyDescent="0.2">
      <c r="A11" t="s">
        <v>250</v>
      </c>
      <c r="B11" t="s">
        <v>1560</v>
      </c>
      <c r="C11" t="s">
        <v>1561</v>
      </c>
      <c r="D11" t="s">
        <v>163</v>
      </c>
      <c r="E11">
        <f>IF(C11="No such issues identified",0,IF(C11="Some allegations but contested/resolved",10,IF(C11="Clear or repeated findings of serious misconduct",20,IF(C11="Unknown",10,""))))</f>
        <v>20</v>
      </c>
      <c r="F11">
        <f>IF(D11="High",0,IF(D11="Medium",0.05,IF(D11="Low",0.1,IF(D11="Unknown",0.15,""))))</f>
        <v>0</v>
      </c>
      <c r="G11">
        <f>E11*(1+F11)</f>
        <v>20</v>
      </c>
      <c r="H11" t="s">
        <v>1562</v>
      </c>
      <c r="I11" t="s">
        <v>1563</v>
      </c>
      <c r="J11" t="s">
        <v>166</v>
      </c>
      <c r="K11">
        <f>IF(I11="","",MAX(IFERROR(DATEVALUE(TRIM(MID(SUBSTITUTE(I11,";",REPT(" ",50)),1,50))),0),IFERROR(DATEVALUE(TRIM(MID(SUBSTITUTE(I11,";",REPT(" ",50)),51,50))),0),IFERROR(DATEVALUE(TRIM(MID(SUBSTITUTE(I11,";",REPT(" ",50)),101,50))),0),IFERROR(DATEVALUE(TRIM(MID(SUBSTITUTE(I11,";",REPT(" ",50)),151,50))),0),IFERROR(DATEVALUE(TRIM(MID(SUBSTITUTE(I11,";",REPT(" ",50)),201,50))),0),IFERROR(DATEVALUE(TRIM(MID(SUBSTITUTE(I11,";",REPT(" ",50)),251,50))),0),IFERROR(DATEVALUE(TRIM(MID(SUBSTITUTE(I11,";",REPT(" ",50)),301,50))),0),IFERROR(DATEVALUE(TRIM(MID(SUBSTITUTE(I11,";",REPT(" ",50)),351,50))),0),IFERROR(DATEVALUE(TRIM(MID(SUBSTITUTE(I11,";",REPT(" ",50)),401,50))),0),IFERROR(DATEVALUE(TRIM(MID(SUBSTITUTE(I11,";",REPT(" ",50)),451,50))),0)))</f>
        <v>46009</v>
      </c>
      <c r="M11" t="s">
        <v>300</v>
      </c>
      <c r="N11">
        <f>IF(M11="","",IF(L11="",INDEX($F$37:$F$40,MATCH(M11,$C$37:$C$40,0)),IF(L11&lt;=INDEX($D$37:$D$40,MATCH(M11,$C$37:$C$40,0)),0,IF(L11&lt;=INDEX($E$37:$E$40,MATCH(M11,$C$37:$C$40,0)),INDEX($F$37:$F$40,MATCH(M11,$C$37:$C$40,0)),INDEX($G$37:$G$40,MATCH(M11,$C$37:$C$40,0))))))</f>
        <v>2</v>
      </c>
      <c r="O11">
        <f>G11+N11</f>
        <v>22</v>
      </c>
      <c r="P11" t="str">
        <f>IF(AND(C11="Clear or repeated findings of serious misconduct",OR(D11="High",D11="Medium")),"Review Required","No Review")</f>
        <v>Review Required</v>
      </c>
      <c r="Q11" t="s">
        <v>1564</v>
      </c>
      <c r="R11" t="s">
        <v>1565</v>
      </c>
    </row>
    <row r="12" spans="1:19" x14ac:dyDescent="0.2">
      <c r="A12" t="s">
        <v>256</v>
      </c>
      <c r="B12" t="s">
        <v>1566</v>
      </c>
      <c r="C12" t="s">
        <v>1567</v>
      </c>
      <c r="D12" t="s">
        <v>163</v>
      </c>
      <c r="E12">
        <f>IF(C12="No material conflicts identified",0,IF(C12="Some concerns but mitigated or disclosed",10,IF(C12="Significant or opaque conflicts/extractive structures",20,IF(C12="Unknown",10,""))))</f>
        <v>20</v>
      </c>
      <c r="F12">
        <f>IF(D12="High",0,IF(D12="Medium",0.05,IF(D12="Low",0.1,IF(D12="Unknown",0.15,""))))</f>
        <v>0</v>
      </c>
      <c r="G12">
        <f>E12*(1+F12)</f>
        <v>20</v>
      </c>
      <c r="H12" t="s">
        <v>1568</v>
      </c>
      <c r="I12" t="s">
        <v>1569</v>
      </c>
      <c r="J12" t="s">
        <v>166</v>
      </c>
      <c r="K12">
        <f>IF(I12="","",MAX(IFERROR(DATEVALUE(TRIM(MID(SUBSTITUTE(I12,";",REPT(" ",50)),1,50))),0),IFERROR(DATEVALUE(TRIM(MID(SUBSTITUTE(I12,";",REPT(" ",50)),51,50))),0),IFERROR(DATEVALUE(TRIM(MID(SUBSTITUTE(I12,";",REPT(" ",50)),101,50))),0),IFERROR(DATEVALUE(TRIM(MID(SUBSTITUTE(I12,";",REPT(" ",50)),151,50))),0),IFERROR(DATEVALUE(TRIM(MID(SUBSTITUTE(I12,";",REPT(" ",50)),201,50))),0),IFERROR(DATEVALUE(TRIM(MID(SUBSTITUTE(I12,";",REPT(" ",50)),251,50))),0),IFERROR(DATEVALUE(TRIM(MID(SUBSTITUTE(I12,";",REPT(" ",50)),301,50))),0),IFERROR(DATEVALUE(TRIM(MID(SUBSTITUTE(I12,";",REPT(" ",50)),351,50))),0),IFERROR(DATEVALUE(TRIM(MID(SUBSTITUTE(I12,";",REPT(" ",50)),401,50))),0),IFERROR(DATEVALUE(TRIM(MID(SUBSTITUTE(I12,";",REPT(" ",50)),451,50))),0)))</f>
        <v>46009</v>
      </c>
      <c r="M12" t="s">
        <v>300</v>
      </c>
      <c r="N12">
        <f>IF(M12="","",IF(L12="",INDEX($F$37:$F$40,MATCH(M12,$C$37:$C$40,0)),IF(L12&lt;=INDEX($D$37:$D$40,MATCH(M12,$C$37:$C$40,0)),0,IF(L12&lt;=INDEX($E$37:$E$40,MATCH(M12,$C$37:$C$40,0)),INDEX($F$37:$F$40,MATCH(M12,$C$37:$C$40,0)),INDEX($G$37:$G$40,MATCH(M12,$C$37:$C$40,0))))))</f>
        <v>2</v>
      </c>
      <c r="O12">
        <f>G12+N12</f>
        <v>22</v>
      </c>
      <c r="P12" t="s">
        <v>168</v>
      </c>
      <c r="R12" t="s">
        <v>1570</v>
      </c>
    </row>
    <row r="13" spans="1:19" x14ac:dyDescent="0.2">
      <c r="A13" t="s">
        <v>600</v>
      </c>
      <c r="B13" t="s">
        <v>1571</v>
      </c>
      <c r="C13" t="s">
        <v>1572</v>
      </c>
      <c r="D13" t="s">
        <v>182</v>
      </c>
      <c r="E13">
        <v>0</v>
      </c>
      <c r="F13">
        <f>IF(D13="High",0,IF(D13="Medium",0.05,IF(D13="Low",0.1,IF(D13="Unknown",0.15,""))))</f>
        <v>0.05</v>
      </c>
      <c r="G13">
        <f>E13*(1+F13)</f>
        <v>0</v>
      </c>
      <c r="H13" t="s">
        <v>712</v>
      </c>
      <c r="I13" t="s">
        <v>713</v>
      </c>
      <c r="J13" t="s">
        <v>166</v>
      </c>
      <c r="K13">
        <f>IF(I13="","",MAX(IFERROR(DATEVALUE(TRIM(MID(SUBSTITUTE(I13,";",REPT(" ",50)),1,50))),0),IFERROR(DATEVALUE(TRIM(MID(SUBSTITUTE(I13,";",REPT(" ",50)),51,50))),0),IFERROR(DATEVALUE(TRIM(MID(SUBSTITUTE(I13,";",REPT(" ",50)),101,50))),0),IFERROR(DATEVALUE(TRIM(MID(SUBSTITUTE(I13,";",REPT(" ",50)),151,50))),0),IFERROR(DATEVALUE(TRIM(MID(SUBSTITUTE(I13,";",REPT(" ",50)),201,50))),0),IFERROR(DATEVALUE(TRIM(MID(SUBSTITUTE(I13,";",REPT(" ",50)),251,50))),0),IFERROR(DATEVALUE(TRIM(MID(SUBSTITUTE(I13,";",REPT(" ",50)),301,50))),0),IFERROR(DATEVALUE(TRIM(MID(SUBSTITUTE(I13,";",REPT(" ",50)),351,50))),0),IFERROR(DATEVALUE(TRIM(MID(SUBSTITUTE(I13,";",REPT(" ",50)),401,50))),0),IFERROR(DATEVALUE(TRIM(MID(SUBSTITUTE(I13,";",REPT(" ",50)),451,50))),0)))</f>
        <v>45915</v>
      </c>
      <c r="M13" t="s">
        <v>300</v>
      </c>
      <c r="N13">
        <f>IF(M13="","",IF(L13="",INDEX($F$37:$F$40,MATCH(M13,$C$37:$C$40,0)),IF(L13&lt;=INDEX($D$37:$D$40,MATCH(M13,$C$37:$C$40,0)),0,IF(L13&lt;=INDEX($E$37:$E$40,MATCH(M13,$C$37:$C$40,0)),INDEX($F$37:$F$40,MATCH(M13,$C$37:$C$40,0)),INDEX($G$37:$G$40,MATCH(M13,$C$37:$C$40,0))))))</f>
        <v>2</v>
      </c>
      <c r="O13">
        <f>G13+N13</f>
        <v>2</v>
      </c>
      <c r="P13" t="s">
        <v>168</v>
      </c>
      <c r="Q13" t="s">
        <v>823</v>
      </c>
      <c r="R13" t="s">
        <v>1573</v>
      </c>
    </row>
    <row r="14" spans="1:19" x14ac:dyDescent="0.2">
      <c r="A14" s="4"/>
      <c r="B14" s="5" t="s">
        <v>1574</v>
      </c>
      <c r="C14" s="4"/>
      <c r="D14" s="4"/>
      <c r="E14" s="4"/>
      <c r="F14" s="4"/>
      <c r="G14" s="4"/>
      <c r="H14" s="4"/>
      <c r="I14" s="4"/>
      <c r="J14" s="4"/>
      <c r="K14" s="23" t="str">
        <f>IF(I14="","",MAX(IFERROR(DATEVALUE(TRIM(MID(SUBSTITUTE(I14,";",REPT(" ",50)),1,50))),0),IFERROR(DATEVALUE(TRIM(MID(SUBSTITUTE(I14,";",REPT(" ",50)),51,50))),0),IFERROR(DATEVALUE(TRIM(MID(SUBSTITUTE(I14,";",REPT(" ",50)),101,50))),0),IFERROR(DATEVALUE(TRIM(MID(SUBSTITUTE(I14,";",REPT(" ",50)),151,50))),0),IFERROR(DATEVALUE(TRIM(MID(SUBSTITUTE(I14,";",REPT(" ",50)),201,50))),0),IFERROR(DATEVALUE(TRIM(MID(SUBSTITUTE(I14,";",REPT(" ",50)),251,50))),0),IFERROR(DATEVALUE(TRIM(MID(SUBSTITUTE(I14,";",REPT(" ",50)),301,50))),0),IFERROR(DATEVALUE(TRIM(MID(SUBSTITUTE(I14,";",REPT(" ",50)),351,50))),0),IFERROR(DATEVALUE(TRIM(MID(SUBSTITUTE(I14,";",REPT(" ",50)),401,50))),0),IFERROR(DATEVALUE(TRIM(MID(SUBSTITUTE(I14,";",REPT(" ",50)),451,50))),0)))</f>
        <v/>
      </c>
      <c r="L14" s="4"/>
      <c r="M14" s="4"/>
      <c r="N14" s="4" t="str">
        <f>IF(M14="","",IF(L14="",INDEX($F$37:$F$40,MATCH(M14,$C$37:$C$40,0)),IF(L14&lt;=INDEX($D$37:$D$40,MATCH(M14,$C$37:$C$40,0)),0,IF(L14&lt;=INDEX($E$37:$E$40,MATCH(M14,$C$37:$C$40,0)),INDEX($F$37:$F$40,MATCH(M14,$C$37:$C$40,0)),INDEX($G$37:$G$40,MATCH(M14,$C$37:$C$40,0))))))</f>
        <v/>
      </c>
      <c r="O14" s="4"/>
      <c r="P14" s="4"/>
      <c r="Q14" s="4"/>
      <c r="R14" s="4"/>
    </row>
    <row r="15" spans="1:19" x14ac:dyDescent="0.2">
      <c r="A15" s="3"/>
      <c r="B15" s="48"/>
      <c r="C15" s="49"/>
      <c r="D15" s="49"/>
      <c r="E15" s="49"/>
      <c r="F15" s="49"/>
      <c r="G15" s="49"/>
      <c r="H15" s="49"/>
      <c r="I15" s="49"/>
      <c r="J15" s="49"/>
      <c r="K15" s="50"/>
      <c r="L15" s="49"/>
      <c r="M15" s="49"/>
      <c r="N15" s="49"/>
      <c r="O15" s="49"/>
      <c r="P15" s="49"/>
      <c r="Q15" s="49"/>
      <c r="R15" s="49"/>
    </row>
    <row r="16" spans="1:19" x14ac:dyDescent="0.2">
      <c r="A16" t="s">
        <v>607</v>
      </c>
      <c r="B16" t="s">
        <v>1575</v>
      </c>
      <c r="C16" t="s">
        <v>1576</v>
      </c>
      <c r="D16" t="s">
        <v>163</v>
      </c>
      <c r="E16">
        <f>IF(C16="Generally positive or balanced",0,IF(C16="Mixed with some critical pieces",10,IF(C16="Predominantly negative or scandal-focused",20,IF(C16="Unknown",10,""))))</f>
        <v>10</v>
      </c>
      <c r="F16">
        <f>IF(D16="High",0,IF(D16="Medium",0.05,IF(D16="Low",0.1,IF(D16="Unknown",0.15,""))))</f>
        <v>0</v>
      </c>
      <c r="G16">
        <f>E16*(1+F16)</f>
        <v>10</v>
      </c>
      <c r="H16" t="s">
        <v>1577</v>
      </c>
      <c r="I16" t="s">
        <v>1578</v>
      </c>
      <c r="J16" t="s">
        <v>166</v>
      </c>
      <c r="K16">
        <f>IF(I16="","",MAX(IFERROR(DATEVALUE(TRIM(MID(SUBSTITUTE(I16,";",REPT(" ",50)),1,50))),0),IFERROR(DATEVALUE(TRIM(MID(SUBSTITUTE(I16,";",REPT(" ",50)),51,50))),0),IFERROR(DATEVALUE(TRIM(MID(SUBSTITUTE(I16,";",REPT(" ",50)),101,50))),0),IFERROR(DATEVALUE(TRIM(MID(SUBSTITUTE(I16,";",REPT(" ",50)),151,50))),0),IFERROR(DATEVALUE(TRIM(MID(SUBSTITUTE(I16,";",REPT(" ",50)),201,50))),0),IFERROR(DATEVALUE(TRIM(MID(SUBSTITUTE(I16,";",REPT(" ",50)),251,50))),0),IFERROR(DATEVALUE(TRIM(MID(SUBSTITUTE(I16,";",REPT(" ",50)),301,50))),0),IFERROR(DATEVALUE(TRIM(MID(SUBSTITUTE(I16,";",REPT(" ",50)),351,50))),0),IFERROR(DATEVALUE(TRIM(MID(SUBSTITUTE(I16,";",REPT(" ",50)),401,50))),0),IFERROR(DATEVALUE(TRIM(MID(SUBSTITUTE(I16,";",REPT(" ",50)),451,50))),0)))</f>
        <v>45870</v>
      </c>
      <c r="M16" t="s">
        <v>185</v>
      </c>
      <c r="N16">
        <f>IF(M16="","",IF(L16="",INDEX($F$37:$F$40,MATCH(M16,$C$37:$C$40,0)),IF(L16&lt;=INDEX($D$37:$D$40,MATCH(M16,$C$37:$C$40,0)),0,IF(L16&lt;=INDEX($E$37:$E$40,MATCH(M16,$C$37:$C$40,0)),INDEX($F$37:$F$40,MATCH(M16,$C$37:$C$40,0)),INDEX($G$37:$G$40,MATCH(M16,$C$37:$C$40,0))))))</f>
        <v>3</v>
      </c>
      <c r="O16">
        <f>G16+N16</f>
        <v>13</v>
      </c>
      <c r="P16" t="s">
        <v>168</v>
      </c>
      <c r="R16" t="s">
        <v>1579</v>
      </c>
    </row>
    <row r="17" spans="1:18" x14ac:dyDescent="0.2">
      <c r="A17" t="s">
        <v>612</v>
      </c>
      <c r="B17" t="s">
        <v>1580</v>
      </c>
      <c r="C17" t="s">
        <v>1581</v>
      </c>
      <c r="D17" t="s">
        <v>163</v>
      </c>
      <c r="E17">
        <f>IF(C17="No major controversies identified",0,IF(C17="Some controversy but limited in scope",10,IF(C17="Major or repeated controversies affecting many users",20,IF(C17="Unknown",10,""))))</f>
        <v>20</v>
      </c>
      <c r="F17">
        <f>IF(D17="High",0,IF(D17="Medium",0.05,IF(D17="Low",0.1,IF(D17="Unknown",0.15,""))))</f>
        <v>0</v>
      </c>
      <c r="G17">
        <f>E17*(1+F17)</f>
        <v>20</v>
      </c>
      <c r="H17" t="s">
        <v>1582</v>
      </c>
      <c r="I17" t="s">
        <v>1583</v>
      </c>
      <c r="J17" t="s">
        <v>166</v>
      </c>
      <c r="K17">
        <f>IF(I17="","",MAX(IFERROR(DATEVALUE(TRIM(MID(SUBSTITUTE(I17,";",REPT(" ",50)),1,50))),0),IFERROR(DATEVALUE(TRIM(MID(SUBSTITUTE(I17,";",REPT(" ",50)),51,50))),0),IFERROR(DATEVALUE(TRIM(MID(SUBSTITUTE(I17,";",REPT(" ",50)),101,50))),0),IFERROR(DATEVALUE(TRIM(MID(SUBSTITUTE(I17,";",REPT(" ",50)),151,50))),0),IFERROR(DATEVALUE(TRIM(MID(SUBSTITUTE(I17,";",REPT(" ",50)),201,50))),0),IFERROR(DATEVALUE(TRIM(MID(SUBSTITUTE(I17,";",REPT(" ",50)),251,50))),0),IFERROR(DATEVALUE(TRIM(MID(SUBSTITUTE(I17,";",REPT(" ",50)),301,50))),0),IFERROR(DATEVALUE(TRIM(MID(SUBSTITUTE(I17,";",REPT(" ",50)),351,50))),0),IFERROR(DATEVALUE(TRIM(MID(SUBSTITUTE(I17,";",REPT(" ",50)),401,50))),0),IFERROR(DATEVALUE(TRIM(MID(SUBSTITUTE(I17,";",REPT(" ",50)),451,50))),0)))</f>
        <v>45976</v>
      </c>
      <c r="M17" t="s">
        <v>185</v>
      </c>
      <c r="N17">
        <f>IF(M17="","",IF(L17="",INDEX($F$37:$F$40,MATCH(M17,$C$37:$C$40,0)),IF(L17&lt;=INDEX($D$37:$D$40,MATCH(M17,$C$37:$C$40,0)),0,IF(L17&lt;=INDEX($E$37:$E$40,MATCH(M17,$C$37:$C$40,0)),INDEX($F$37:$F$40,MATCH(M17,$C$37:$C$40,0)),INDEX($G$37:$G$40,MATCH(M17,$C$37:$C$40,0))))))</f>
        <v>3</v>
      </c>
      <c r="O17">
        <f>G17+N17</f>
        <v>23</v>
      </c>
      <c r="P17" t="str">
        <f>IF(AND(C17="Major or repeated controversies affecting many users",OR(D17="High",D17="Medium")),"Review Required","No Review")</f>
        <v>Review Required</v>
      </c>
      <c r="Q17" t="s">
        <v>1584</v>
      </c>
      <c r="R17" t="s">
        <v>1585</v>
      </c>
    </row>
    <row r="18" spans="1:18" x14ac:dyDescent="0.2">
      <c r="A18" t="s">
        <v>617</v>
      </c>
      <c r="B18" t="s">
        <v>1586</v>
      </c>
      <c r="C18" t="s">
        <v>1587</v>
      </c>
      <c r="D18" t="s">
        <v>182</v>
      </c>
      <c r="E18">
        <f>IF(C18="Generally positive or neutral",0,IF(C18="Mixed with some pattern of complaints",10,IF(C18="Predominantly negative or repeated serious complaints",20,IF(C18="Unknown",10,""))))</f>
        <v>10</v>
      </c>
      <c r="F18">
        <f>IF(D18="High",0,IF(D18="Medium",0.05,IF(D18="Low",0.1,IF(D18="Unknown",0.15,""))))</f>
        <v>0.05</v>
      </c>
      <c r="G18">
        <f>E18*(1+F18)</f>
        <v>10.5</v>
      </c>
      <c r="H18" t="s">
        <v>1588</v>
      </c>
      <c r="I18" t="s">
        <v>1589</v>
      </c>
      <c r="J18" t="s">
        <v>166</v>
      </c>
      <c r="K18">
        <f>IF(I18="","",MAX(IFERROR(DATEVALUE(TRIM(MID(SUBSTITUTE(I18,";",REPT(" ",50)),1,50))),0),IFERROR(DATEVALUE(TRIM(MID(SUBSTITUTE(I18,";",REPT(" ",50)),51,50))),0),IFERROR(DATEVALUE(TRIM(MID(SUBSTITUTE(I18,";",REPT(" ",50)),101,50))),0),IFERROR(DATEVALUE(TRIM(MID(SUBSTITUTE(I18,";",REPT(" ",50)),151,50))),0),IFERROR(DATEVALUE(TRIM(MID(SUBSTITUTE(I18,";",REPT(" ",50)),201,50))),0),IFERROR(DATEVALUE(TRIM(MID(SUBSTITUTE(I18,";",REPT(" ",50)),251,50))),0),IFERROR(DATEVALUE(TRIM(MID(SUBSTITUTE(I18,";",REPT(" ",50)),301,50))),0),IFERROR(DATEVALUE(TRIM(MID(SUBSTITUTE(I18,";",REPT(" ",50)),351,50))),0),IFERROR(DATEVALUE(TRIM(MID(SUBSTITUTE(I18,";",REPT(" ",50)),401,50))),0),IFERROR(DATEVALUE(TRIM(MID(SUBSTITUTE(I18,";",REPT(" ",50)),451,50))),0)))</f>
        <v>45931</v>
      </c>
      <c r="M18" t="s">
        <v>185</v>
      </c>
      <c r="N18">
        <f>IF(M18="","",IF(L18="",INDEX($F$37:$F$40,MATCH(M18,$C$37:$C$40,0)),IF(L18&lt;=INDEX($D$37:$D$40,MATCH(M18,$C$37:$C$40,0)),0,IF(L18&lt;=INDEX($E$37:$E$40,MATCH(M18,$C$37:$C$40,0)),INDEX($F$37:$F$40,MATCH(M18,$C$37:$C$40,0)),INDEX($G$37:$G$40,MATCH(M18,$C$37:$C$40,0))))))</f>
        <v>3</v>
      </c>
      <c r="O18">
        <f>G18+N18</f>
        <v>13.5</v>
      </c>
      <c r="P18" t="str">
        <f>IF(AND(C18="Predominantly negative or repeated serious complaints",OR(D18="High",D18="Medium")),"Review Required","No Review")</f>
        <v>No Review</v>
      </c>
      <c r="Q18" t="s">
        <v>1590</v>
      </c>
      <c r="R18" t="s">
        <v>1591</v>
      </c>
    </row>
    <row r="19" spans="1:18" x14ac:dyDescent="0.2">
      <c r="A19" t="s">
        <v>640</v>
      </c>
      <c r="B19" t="s">
        <v>1592</v>
      </c>
      <c r="C19" t="s">
        <v>1593</v>
      </c>
      <c r="D19" t="s">
        <v>163</v>
      </c>
      <c r="E19">
        <v>0</v>
      </c>
      <c r="F19">
        <f>IF(D19="High",0,IF(D19="Medium",0.05,IF(D19="Low",0.1,IF(D19="Unknown",0.15,""))))</f>
        <v>0</v>
      </c>
      <c r="G19">
        <f>E19*(1+F19)</f>
        <v>0</v>
      </c>
      <c r="H19" t="s">
        <v>1594</v>
      </c>
      <c r="I19" t="s">
        <v>1595</v>
      </c>
      <c r="J19" t="s">
        <v>166</v>
      </c>
      <c r="K19">
        <f>IF(I19="","",MAX(IFERROR(DATEVALUE(TRIM(MID(SUBSTITUTE(I19,";",REPT(" ",50)),1,50))),0),IFERROR(DATEVALUE(TRIM(MID(SUBSTITUTE(I19,";",REPT(" ",50)),51,50))),0),IFERROR(DATEVALUE(TRIM(MID(SUBSTITUTE(I19,";",REPT(" ",50)),101,50))),0),IFERROR(DATEVALUE(TRIM(MID(SUBSTITUTE(I19,";",REPT(" ",50)),151,50))),0),IFERROR(DATEVALUE(TRIM(MID(SUBSTITUTE(I19,";",REPT(" ",50)),201,50))),0),IFERROR(DATEVALUE(TRIM(MID(SUBSTITUTE(I19,";",REPT(" ",50)),251,50))),0),IFERROR(DATEVALUE(TRIM(MID(SUBSTITUTE(I19,";",REPT(" ",50)),301,50))),0),IFERROR(DATEVALUE(TRIM(MID(SUBSTITUTE(I19,";",REPT(" ",50)),351,50))),0),IFERROR(DATEVALUE(TRIM(MID(SUBSTITUTE(I19,";",REPT(" ",50)),401,50))),0),IFERROR(DATEVALUE(TRIM(MID(SUBSTITUTE(I19,";",REPT(" ",50)),451,50))),0)))</f>
        <v>45905</v>
      </c>
      <c r="M19" t="s">
        <v>300</v>
      </c>
      <c r="N19">
        <f>IF(M19="","",IF(L19="",INDEX($F$37:$F$40,MATCH(M19,$C$37:$C$40,0)),IF(L19&lt;=INDEX($D$37:$D$40,MATCH(M19,$C$37:$C$40,0)),0,IF(L19&lt;=INDEX($E$37:$E$40,MATCH(M19,$C$37:$C$40,0)),INDEX($F$37:$F$40,MATCH(M19,$C$37:$C$40,0)),INDEX($G$37:$G$40,MATCH(M19,$C$37:$C$40,0))))))</f>
        <v>2</v>
      </c>
      <c r="O19">
        <f>G19+N19</f>
        <v>2</v>
      </c>
      <c r="P19" t="s">
        <v>168</v>
      </c>
      <c r="Q19" t="s">
        <v>823</v>
      </c>
      <c r="R19" t="s">
        <v>1596</v>
      </c>
    </row>
    <row r="20" spans="1:18" x14ac:dyDescent="0.2">
      <c r="A20" s="4"/>
      <c r="B20" s="5" t="s">
        <v>1597</v>
      </c>
      <c r="C20" s="4"/>
      <c r="D20" s="4"/>
      <c r="E20" s="4"/>
      <c r="F20" s="4"/>
      <c r="G20" s="4"/>
      <c r="H20" s="4"/>
      <c r="I20" s="4"/>
      <c r="J20" s="4"/>
      <c r="K20" s="23" t="str">
        <f>IF(I20="","",MAX(IFERROR(DATEVALUE(TRIM(MID(SUBSTITUTE(I20,";",REPT(" ",50)),1,50))),0),IFERROR(DATEVALUE(TRIM(MID(SUBSTITUTE(I20,";",REPT(" ",50)),51,50))),0),IFERROR(DATEVALUE(TRIM(MID(SUBSTITUTE(I20,";",REPT(" ",50)),101,50))),0),IFERROR(DATEVALUE(TRIM(MID(SUBSTITUTE(I20,";",REPT(" ",50)),151,50))),0),IFERROR(DATEVALUE(TRIM(MID(SUBSTITUTE(I20,";",REPT(" ",50)),201,50))),0),IFERROR(DATEVALUE(TRIM(MID(SUBSTITUTE(I20,";",REPT(" ",50)),251,50))),0),IFERROR(DATEVALUE(TRIM(MID(SUBSTITUTE(I20,";",REPT(" ",50)),301,50))),0),IFERROR(DATEVALUE(TRIM(MID(SUBSTITUTE(I20,";",REPT(" ",50)),351,50))),0),IFERROR(DATEVALUE(TRIM(MID(SUBSTITUTE(I20,";",REPT(" ",50)),401,50))),0),IFERROR(DATEVALUE(TRIM(MID(SUBSTITUTE(I20,";",REPT(" ",50)),451,50))),0)))</f>
        <v/>
      </c>
      <c r="L20" s="4"/>
      <c r="M20" s="4"/>
      <c r="N20" s="4" t="str">
        <f>IF(M20="","",IF(L20="",INDEX($F$37:$F$40,MATCH(M20,$C$37:$C$40,0)),IF(L20&lt;=INDEX($D$37:$D$40,MATCH(M20,$C$37:$C$40,0)),0,IF(L20&lt;=INDEX($E$37:$E$40,MATCH(M20,$C$37:$C$40,0)),INDEX($F$37:$F$40,MATCH(M20,$C$37:$C$40,0)),INDEX($G$37:$G$40,MATCH(M20,$C$37:$C$40,0))))))</f>
        <v/>
      </c>
      <c r="O20" s="4"/>
      <c r="P20" s="4"/>
      <c r="Q20" s="4"/>
      <c r="R20" s="4"/>
    </row>
    <row r="21" spans="1:18" x14ac:dyDescent="0.2">
      <c r="A21" s="3"/>
      <c r="B21" s="48"/>
      <c r="C21" s="49"/>
      <c r="D21" s="49"/>
      <c r="E21" s="49"/>
      <c r="F21" s="49"/>
      <c r="G21" s="49"/>
      <c r="H21" s="49"/>
      <c r="I21" s="49"/>
      <c r="J21" s="49"/>
      <c r="K21" s="50"/>
      <c r="L21" s="49"/>
      <c r="M21" s="49"/>
      <c r="N21" s="49"/>
      <c r="O21" s="49"/>
      <c r="P21" s="49"/>
      <c r="Q21" s="49"/>
      <c r="R21" s="49"/>
    </row>
    <row r="22" spans="1:18" x14ac:dyDescent="0.2">
      <c r="A22" t="s">
        <v>853</v>
      </c>
      <c r="B22" t="s">
        <v>1598</v>
      </c>
      <c r="C22" t="s">
        <v>1599</v>
      </c>
      <c r="D22" t="s">
        <v>163</v>
      </c>
      <c r="E22">
        <f>IF(C22="Low impact (e.g., PoS or similar)",0,IF(C22="Moderate impact",10,IF(C22="High impact (e.g., PoW with high energy use)",20,IF(C22="Unknown",10,""))))</f>
        <v>0</v>
      </c>
      <c r="F22">
        <f>IF(D22="High",0,IF(D22="Medium",0.05,IF(D22="Low",0.1,IF(D22="Unknown",0.15,""))))</f>
        <v>0</v>
      </c>
      <c r="G22">
        <f>E22*(1+F22)</f>
        <v>0</v>
      </c>
      <c r="H22" t="s">
        <v>1600</v>
      </c>
      <c r="I22" t="s">
        <v>1601</v>
      </c>
      <c r="J22" t="s">
        <v>166</v>
      </c>
      <c r="K22">
        <f>IF(I22="","",MAX(IFERROR(DATEVALUE(TRIM(MID(SUBSTITUTE(I22,";",REPT(" ",50)),1,50))),0),IFERROR(DATEVALUE(TRIM(MID(SUBSTITUTE(I22,";",REPT(" ",50)),51,50))),0),IFERROR(DATEVALUE(TRIM(MID(SUBSTITUTE(I22,";",REPT(" ",50)),101,50))),0),IFERROR(DATEVALUE(TRIM(MID(SUBSTITUTE(I22,";",REPT(" ",50)),151,50))),0),IFERROR(DATEVALUE(TRIM(MID(SUBSTITUTE(I22,";",REPT(" ",50)),201,50))),0),IFERROR(DATEVALUE(TRIM(MID(SUBSTITUTE(I22,";",REPT(" ",50)),251,50))),0),IFERROR(DATEVALUE(TRIM(MID(SUBSTITUTE(I22,";",REPT(" ",50)),301,50))),0),IFERROR(DATEVALUE(TRIM(MID(SUBSTITUTE(I22,";",REPT(" ",50)),351,50))),0),IFERROR(DATEVALUE(TRIM(MID(SUBSTITUTE(I22,";",REPT(" ",50)),401,50))),0),IFERROR(DATEVALUE(TRIM(MID(SUBSTITUTE(I22,";",REPT(" ",50)),451,50))),0)))</f>
        <v>45893</v>
      </c>
      <c r="M22" t="s">
        <v>300</v>
      </c>
      <c r="N22">
        <f>IF(M22="","",IF(L22="",INDEX($F$37:$F$40,MATCH(M22,$C$37:$C$40,0)),IF(L22&lt;=INDEX($D$37:$D$40,MATCH(M22,$C$37:$C$40,0)),0,IF(L22&lt;=INDEX($E$37:$E$40,MATCH(M22,$C$37:$C$40,0)),INDEX($F$37:$F$40,MATCH(M22,$C$37:$C$40,0)),INDEX($G$37:$G$40,MATCH(M22,$C$37:$C$40,0))))))</f>
        <v>2</v>
      </c>
      <c r="O22">
        <f>G22+N22</f>
        <v>2</v>
      </c>
      <c r="P22" t="s">
        <v>168</v>
      </c>
      <c r="R22" t="s">
        <v>1602</v>
      </c>
    </row>
    <row r="23" spans="1:18" x14ac:dyDescent="0.2">
      <c r="A23" t="s">
        <v>860</v>
      </c>
      <c r="B23" t="s">
        <v>1603</v>
      </c>
      <c r="C23" t="s">
        <v>1604</v>
      </c>
      <c r="D23" t="s">
        <v>163</v>
      </c>
      <c r="E23">
        <f>IF(C23="No material ESG controversies identified",0,IF(C23="Some ESG criticisms but limited",10,IF(C23="Significant or repeated ESG controversies",20,IF(C23="Unknown",10,""))))</f>
        <v>20</v>
      </c>
      <c r="F23">
        <f>IF(D23="High",0,IF(D23="Medium",0.05,IF(D23="Low",0.1,IF(D23="Unknown",0.15,""))))</f>
        <v>0</v>
      </c>
      <c r="G23">
        <f>E23*(1+F23)</f>
        <v>20</v>
      </c>
      <c r="H23" t="s">
        <v>1605</v>
      </c>
      <c r="I23" t="s">
        <v>1606</v>
      </c>
      <c r="J23" t="s">
        <v>166</v>
      </c>
      <c r="K23">
        <f>IF(I23="","",MAX(IFERROR(DATEVALUE(TRIM(MID(SUBSTITUTE(I23,";",REPT(" ",50)),1,50))),0),IFERROR(DATEVALUE(TRIM(MID(SUBSTITUTE(I23,";",REPT(" ",50)),51,50))),0),IFERROR(DATEVALUE(TRIM(MID(SUBSTITUTE(I23,";",REPT(" ",50)),101,50))),0),IFERROR(DATEVALUE(TRIM(MID(SUBSTITUTE(I23,";",REPT(" ",50)),151,50))),0),IFERROR(DATEVALUE(TRIM(MID(SUBSTITUTE(I23,";",REPT(" ",50)),201,50))),0),IFERROR(DATEVALUE(TRIM(MID(SUBSTITUTE(I23,";",REPT(" ",50)),251,50))),0),IFERROR(DATEVALUE(TRIM(MID(SUBSTITUTE(I23,";",REPT(" ",50)),301,50))),0),IFERROR(DATEVALUE(TRIM(MID(SUBSTITUTE(I23,";",REPT(" ",50)),351,50))),0),IFERROR(DATEVALUE(TRIM(MID(SUBSTITUTE(I23,";",REPT(" ",50)),401,50))),0),IFERROR(DATEVALUE(TRIM(MID(SUBSTITUTE(I23,";",REPT(" ",50)),451,50))),0)))</f>
        <v>45835</v>
      </c>
      <c r="M23" t="s">
        <v>300</v>
      </c>
      <c r="N23">
        <f>IF(M23="","",IF(L23="",INDEX($F$37:$F$40,MATCH(M23,$C$37:$C$40,0)),IF(L23&lt;=INDEX($D$37:$D$40,MATCH(M23,$C$37:$C$40,0)),0,IF(L23&lt;=INDEX($E$37:$E$40,MATCH(M23,$C$37:$C$40,0)),INDEX($F$37:$F$40,MATCH(M23,$C$37:$C$40,0)),INDEX($G$37:$G$40,MATCH(M23,$C$37:$C$40,0))))))</f>
        <v>2</v>
      </c>
      <c r="O23">
        <f>G23+N23</f>
        <v>22</v>
      </c>
      <c r="P23" t="str">
        <f>IF(AND(C23="Significant or repeated ESG controversies",OR(D23="High",D23="Medium")),"Review Required","No Review")</f>
        <v>Review Required</v>
      </c>
      <c r="Q23" t="s">
        <v>1607</v>
      </c>
      <c r="R23" t="s">
        <v>1608</v>
      </c>
    </row>
    <row r="24" spans="1:18" x14ac:dyDescent="0.2">
      <c r="A24" t="s">
        <v>873</v>
      </c>
      <c r="B24" t="s">
        <v>1609</v>
      </c>
      <c r="C24" t="s">
        <v>1610</v>
      </c>
      <c r="D24" t="s">
        <v>182</v>
      </c>
      <c r="E24">
        <v>0</v>
      </c>
      <c r="F24">
        <f>IF(D24="High",0,IF(D24="Medium",0.05,IF(D24="Low",0.1,IF(D24="Unknown",0.15,""))))</f>
        <v>0.05</v>
      </c>
      <c r="G24">
        <f>E24*(1+F24)</f>
        <v>0</v>
      </c>
      <c r="H24" t="s">
        <v>1611</v>
      </c>
      <c r="I24" t="s">
        <v>1612</v>
      </c>
      <c r="J24" t="s">
        <v>166</v>
      </c>
      <c r="K24">
        <f>IF(I24="","",MAX(IFERROR(DATEVALUE(TRIM(MID(SUBSTITUTE(I24,";",REPT(" ",50)),1,50))),0),IFERROR(DATEVALUE(TRIM(MID(SUBSTITUTE(I24,";",REPT(" ",50)),51,50))),0),IFERROR(DATEVALUE(TRIM(MID(SUBSTITUTE(I24,";",REPT(" ",50)),101,50))),0),IFERROR(DATEVALUE(TRIM(MID(SUBSTITUTE(I24,";",REPT(" ",50)),151,50))),0),IFERROR(DATEVALUE(TRIM(MID(SUBSTITUTE(I24,";",REPT(" ",50)),201,50))),0),IFERROR(DATEVALUE(TRIM(MID(SUBSTITUTE(I24,";",REPT(" ",50)),251,50))),0),IFERROR(DATEVALUE(TRIM(MID(SUBSTITUTE(I24,";",REPT(" ",50)),301,50))),0),IFERROR(DATEVALUE(TRIM(MID(SUBSTITUTE(I24,";",REPT(" ",50)),351,50))),0),IFERROR(DATEVALUE(TRIM(MID(SUBSTITUTE(I24,";",REPT(" ",50)),401,50))),0),IFERROR(DATEVALUE(TRIM(MID(SUBSTITUTE(I24,";",REPT(" ",50)),451,50))),0)))</f>
        <v>45985</v>
      </c>
      <c r="M24" t="s">
        <v>300</v>
      </c>
      <c r="N24">
        <f>IF(M24="","",IF(L24="",INDEX($F$37:$F$40,MATCH(M24,$C$37:$C$40,0)),IF(L24&lt;=INDEX($D$37:$D$40,MATCH(M24,$C$37:$C$40,0)),0,IF(L24&lt;=INDEX($E$37:$E$40,MATCH(M24,$C$37:$C$40,0)),INDEX($F$37:$F$40,MATCH(M24,$C$37:$C$40,0)),INDEX($G$37:$G$40,MATCH(M24,$C$37:$C$40,0))))))</f>
        <v>2</v>
      </c>
      <c r="O24">
        <f>G24+N24</f>
        <v>2</v>
      </c>
      <c r="P24" t="s">
        <v>168</v>
      </c>
      <c r="Q24" t="s">
        <v>823</v>
      </c>
      <c r="R24" t="s">
        <v>1613</v>
      </c>
    </row>
    <row r="25" spans="1:18" x14ac:dyDescent="0.2">
      <c r="A25" s="4"/>
      <c r="B25" s="5" t="s">
        <v>1614</v>
      </c>
      <c r="C25" s="4"/>
      <c r="D25" s="4"/>
      <c r="E25" s="4"/>
      <c r="F25" s="4"/>
      <c r="G25" s="4"/>
      <c r="H25" s="4"/>
      <c r="I25" s="4"/>
      <c r="J25" s="4"/>
      <c r="K25" s="23" t="str">
        <f>IF(I25="","",MAX(IFERROR(DATEVALUE(TRIM(MID(SUBSTITUTE(I25,";",REPT(" ",50)),1,50))),0),IFERROR(DATEVALUE(TRIM(MID(SUBSTITUTE(I25,";",REPT(" ",50)),51,50))),0),IFERROR(DATEVALUE(TRIM(MID(SUBSTITUTE(I25,";",REPT(" ",50)),101,50))),0),IFERROR(DATEVALUE(TRIM(MID(SUBSTITUTE(I25,";",REPT(" ",50)),151,50))),0),IFERROR(DATEVALUE(TRIM(MID(SUBSTITUTE(I25,";",REPT(" ",50)),201,50))),0),IFERROR(DATEVALUE(TRIM(MID(SUBSTITUTE(I25,";",REPT(" ",50)),251,50))),0),IFERROR(DATEVALUE(TRIM(MID(SUBSTITUTE(I25,";",REPT(" ",50)),301,50))),0),IFERROR(DATEVALUE(TRIM(MID(SUBSTITUTE(I25,";",REPT(" ",50)),351,50))),0),IFERROR(DATEVALUE(TRIM(MID(SUBSTITUTE(I25,";",REPT(" ",50)),401,50))),0),IFERROR(DATEVALUE(TRIM(MID(SUBSTITUTE(I25,";",REPT(" ",50)),451,50))),0)))</f>
        <v/>
      </c>
      <c r="L25" s="4"/>
      <c r="M25" s="4"/>
      <c r="N25" s="4" t="str">
        <f>IF(M25="","",IF(L25="",INDEX($F$37:$F$40,MATCH(M25,$C$37:$C$40,0)),IF(L25&lt;=INDEX($D$37:$D$40,MATCH(M25,$C$37:$C$40,0)),0,IF(L25&lt;=INDEX($E$37:$E$40,MATCH(M25,$C$37:$C$40,0)),INDEX($F$37:$F$40,MATCH(M25,$C$37:$C$40,0)),INDEX($G$37:$G$40,MATCH(M25,$C$37:$C$40,0))))))</f>
        <v/>
      </c>
      <c r="O25" s="4"/>
      <c r="P25" s="4"/>
      <c r="Q25" s="4"/>
      <c r="R25" s="4"/>
    </row>
    <row r="26" spans="1:18" x14ac:dyDescent="0.2">
      <c r="A26" s="3"/>
      <c r="B26" s="48"/>
      <c r="C26" s="49"/>
      <c r="D26" s="49"/>
      <c r="E26" s="49"/>
      <c r="F26" s="49"/>
      <c r="G26" s="49"/>
      <c r="H26" s="49"/>
      <c r="I26" s="49"/>
      <c r="J26" s="49"/>
      <c r="K26" s="50"/>
      <c r="L26" s="49"/>
      <c r="M26" s="49"/>
      <c r="N26" s="49"/>
      <c r="O26" s="49"/>
      <c r="P26" s="49"/>
      <c r="Q26" s="49"/>
      <c r="R26" s="49"/>
    </row>
    <row r="27" spans="1:18" x14ac:dyDescent="0.2">
      <c r="A27" t="s">
        <v>432</v>
      </c>
      <c r="B27" t="s">
        <v>1615</v>
      </c>
      <c r="C27" t="s">
        <v>1616</v>
      </c>
      <c r="D27" t="s">
        <v>163</v>
      </c>
      <c r="E27">
        <f>IF(C27="Backed/partnered with reputable institutions",0,IF(C27="Mix of reputable and lesser-known partners",10,IF(C27="Mainly low-quality or opaque partners",20,IF(C27="Unknown",10,""))))</f>
        <v>10</v>
      </c>
      <c r="F27">
        <f>IF(D27="High",0,IF(D27="Medium",0.05,IF(D27="Low",0.1,IF(D27="Unknown",0.15,""))))</f>
        <v>0</v>
      </c>
      <c r="G27">
        <f>E27*(1+F27)</f>
        <v>10</v>
      </c>
      <c r="H27" t="s">
        <v>1617</v>
      </c>
      <c r="I27" t="s">
        <v>1618</v>
      </c>
      <c r="J27" t="s">
        <v>166</v>
      </c>
      <c r="K27">
        <f>IF(I27="","",MAX(IFERROR(DATEVALUE(TRIM(MID(SUBSTITUTE(I27,";",REPT(" ",50)),1,50))),0),IFERROR(DATEVALUE(TRIM(MID(SUBSTITUTE(I27,";",REPT(" ",50)),51,50))),0),IFERROR(DATEVALUE(TRIM(MID(SUBSTITUTE(I27,";",REPT(" ",50)),101,50))),0),IFERROR(DATEVALUE(TRIM(MID(SUBSTITUTE(I27,";",REPT(" ",50)),151,50))),0),IFERROR(DATEVALUE(TRIM(MID(SUBSTITUTE(I27,";",REPT(" ",50)),201,50))),0),IFERROR(DATEVALUE(TRIM(MID(SUBSTITUTE(I27,";",REPT(" ",50)),251,50))),0),IFERROR(DATEVALUE(TRIM(MID(SUBSTITUTE(I27,";",REPT(" ",50)),301,50))),0),IFERROR(DATEVALUE(TRIM(MID(SUBSTITUTE(I27,";",REPT(" ",50)),351,50))),0),IFERROR(DATEVALUE(TRIM(MID(SUBSTITUTE(I27,";",REPT(" ",50)),401,50))),0),IFERROR(DATEVALUE(TRIM(MID(SUBSTITUTE(I27,";",REPT(" ",50)),451,50))),0)))</f>
        <v>46007</v>
      </c>
      <c r="M27" t="s">
        <v>167</v>
      </c>
      <c r="N27">
        <f>IF(M27="","",IF(L27="",INDEX($F$37:$F$40,MATCH(M27,$C$37:$C$40,0)),IF(L27&lt;=INDEX($D$37:$D$40,MATCH(M27,$C$37:$C$40,0)),0,IF(L27&lt;=INDEX($E$37:$E$40,MATCH(M27,$C$37:$C$40,0)),INDEX($F$37:$F$40,MATCH(M27,$C$37:$C$40,0)),INDEX($G$37:$G$40,MATCH(M27,$C$37:$C$40,0))))))</f>
        <v>0</v>
      </c>
      <c r="O27">
        <f>G27+N27</f>
        <v>10</v>
      </c>
      <c r="P27" t="s">
        <v>168</v>
      </c>
      <c r="R27" t="s">
        <v>1619</v>
      </c>
    </row>
    <row r="28" spans="1:18" x14ac:dyDescent="0.2">
      <c r="A28" t="s">
        <v>439</v>
      </c>
      <c r="B28" t="s">
        <v>1620</v>
      </c>
      <c r="C28" t="s">
        <v>1621</v>
      </c>
      <c r="D28" t="s">
        <v>182</v>
      </c>
      <c r="E28">
        <f>IF(C28="No such exits identified",0,IF(C28="Some exits for neutral/commercial reasons",10,IF(C28="Exits explicitly citing risk or conduct concerns",20,IF(C28="Unknown",10,""))))</f>
        <v>0</v>
      </c>
      <c r="F28">
        <f>IF(D28="High",0,IF(D28="Medium",0.05,IF(D28="Low",0.1,IF(D28="Unknown",0.15,""))))</f>
        <v>0.05</v>
      </c>
      <c r="G28">
        <f>E28*(1+F28)</f>
        <v>0</v>
      </c>
      <c r="H28" t="s">
        <v>1622</v>
      </c>
      <c r="I28" t="s">
        <v>1623</v>
      </c>
      <c r="J28" t="s">
        <v>166</v>
      </c>
      <c r="K28">
        <f>IF(I28="","",MAX(IFERROR(DATEVALUE(TRIM(MID(SUBSTITUTE(I28,";",REPT(" ",50)),1,50))),0),IFERROR(DATEVALUE(TRIM(MID(SUBSTITUTE(I28,";",REPT(" ",50)),51,50))),0),IFERROR(DATEVALUE(TRIM(MID(SUBSTITUTE(I28,";",REPT(" ",50)),101,50))),0),IFERROR(DATEVALUE(TRIM(MID(SUBSTITUTE(I28,";",REPT(" ",50)),151,50))),0),IFERROR(DATEVALUE(TRIM(MID(SUBSTITUTE(I28,";",REPT(" ",50)),201,50))),0),IFERROR(DATEVALUE(TRIM(MID(SUBSTITUTE(I28,";",REPT(" ",50)),251,50))),0),IFERROR(DATEVALUE(TRIM(MID(SUBSTITUTE(I28,";",REPT(" ",50)),301,50))),0),IFERROR(DATEVALUE(TRIM(MID(SUBSTITUTE(I28,";",REPT(" ",50)),351,50))),0),IFERROR(DATEVALUE(TRIM(MID(SUBSTITUTE(I28,";",REPT(" ",50)),401,50))),0),IFERROR(DATEVALUE(TRIM(MID(SUBSTITUTE(I28,";",REPT(" ",50)),451,50))),0)))</f>
        <v>45985</v>
      </c>
      <c r="M28" t="s">
        <v>185</v>
      </c>
      <c r="N28">
        <f>IF(M28="","",IF(L28="",INDEX($F$37:$F$40,MATCH(M28,$C$37:$C$40,0)),IF(L28&lt;=INDEX($D$37:$D$40,MATCH(M28,$C$37:$C$40,0)),0,IF(L28&lt;=INDEX($E$37:$E$40,MATCH(M28,$C$37:$C$40,0)),INDEX($F$37:$F$40,MATCH(M28,$C$37:$C$40,0)),INDEX($G$37:$G$40,MATCH(M28,$C$37:$C$40,0))))))</f>
        <v>3</v>
      </c>
      <c r="O28">
        <f>G28+N28</f>
        <v>3</v>
      </c>
      <c r="P28" t="str">
        <f>IF(AND(C28="Exits explicitly citing risk or conduct concerns",OR(D28="High",D28="Medium")),"Review Required","No Review")</f>
        <v>No Review</v>
      </c>
      <c r="Q28" t="s">
        <v>1624</v>
      </c>
      <c r="R28" t="s">
        <v>1625</v>
      </c>
    </row>
    <row r="29" spans="1:18" x14ac:dyDescent="0.2">
      <c r="A29" t="s">
        <v>444</v>
      </c>
      <c r="B29" t="s">
        <v>1626</v>
      </c>
      <c r="C29" t="s">
        <v>1627</v>
      </c>
      <c r="D29" t="s">
        <v>182</v>
      </c>
      <c r="E29">
        <f>IF(C29="Some positive or neutral inclusion/partnership",0,IF(C29="No material association identified",10,IF(C29="Public distancing or explicit exclusion",20,IF(C29="Unknown",10,""))))</f>
        <v>0</v>
      </c>
      <c r="F29">
        <f>IF(D29="High",0,IF(D29="Medium",0.05,IF(D29="Low",0.1,IF(D29="Unknown",0.15,""))))</f>
        <v>0.05</v>
      </c>
      <c r="G29">
        <f>E29*(1+F29)</f>
        <v>0</v>
      </c>
      <c r="H29" t="s">
        <v>1628</v>
      </c>
      <c r="I29" t="s">
        <v>1629</v>
      </c>
      <c r="J29" t="s">
        <v>166</v>
      </c>
      <c r="K29">
        <f>IF(I29="","",MAX(IFERROR(DATEVALUE(TRIM(MID(SUBSTITUTE(I29,";",REPT(" ",50)),1,50))),0),IFERROR(DATEVALUE(TRIM(MID(SUBSTITUTE(I29,";",REPT(" ",50)),51,50))),0),IFERROR(DATEVALUE(TRIM(MID(SUBSTITUTE(I29,";",REPT(" ",50)),101,50))),0),IFERROR(DATEVALUE(TRIM(MID(SUBSTITUTE(I29,";",REPT(" ",50)),151,50))),0),IFERROR(DATEVALUE(TRIM(MID(SUBSTITUTE(I29,";",REPT(" ",50)),201,50))),0),IFERROR(DATEVALUE(TRIM(MID(SUBSTITUTE(I29,";",REPT(" ",50)),251,50))),0),IFERROR(DATEVALUE(TRIM(MID(SUBSTITUTE(I29,";",REPT(" ",50)),301,50))),0),IFERROR(DATEVALUE(TRIM(MID(SUBSTITUTE(I29,";",REPT(" ",50)),351,50))),0),IFERROR(DATEVALUE(TRIM(MID(SUBSTITUTE(I29,";",REPT(" ",50)),401,50))),0),IFERROR(DATEVALUE(TRIM(MID(SUBSTITUTE(I29,";",REPT(" ",50)),451,50))),0)))</f>
        <v>45902</v>
      </c>
      <c r="M29" t="s">
        <v>167</v>
      </c>
      <c r="N29">
        <f>IF(M29="","",IF(L29="",INDEX($F$37:$F$40,MATCH(M29,$C$37:$C$40,0)),IF(L29&lt;=INDEX($D$37:$D$40,MATCH(M29,$C$37:$C$40,0)),0,IF(L29&lt;=INDEX($E$37:$E$40,MATCH(M29,$C$37:$C$40,0)),INDEX($F$37:$F$40,MATCH(M29,$C$37:$C$40,0)),INDEX($G$37:$G$40,MATCH(M29,$C$37:$C$40,0))))))</f>
        <v>0</v>
      </c>
      <c r="O29">
        <f>G29+N29</f>
        <v>0</v>
      </c>
      <c r="P29" t="str">
        <f>IF(AND(C29="Public distancing or explicit exclusion",OR(D29="High",D29="Medium")),"Review Required","No Review")</f>
        <v>No Review</v>
      </c>
      <c r="Q29" t="s">
        <v>1630</v>
      </c>
      <c r="R29" t="s">
        <v>1631</v>
      </c>
    </row>
    <row r="30" spans="1:18" x14ac:dyDescent="0.2">
      <c r="A30" t="s">
        <v>454</v>
      </c>
      <c r="B30" t="s">
        <v>1632</v>
      </c>
      <c r="C30" t="s">
        <v>1633</v>
      </c>
      <c r="D30" t="s">
        <v>163</v>
      </c>
      <c r="E30">
        <v>0</v>
      </c>
      <c r="F30">
        <f>IF(D30="High",0,IF(D30="Medium",0.05,IF(D30="Low",0.1,IF(D30="Unknown",0.15,""))))</f>
        <v>0</v>
      </c>
      <c r="G30">
        <f>E30*(1+F30)</f>
        <v>0</v>
      </c>
      <c r="H30" t="s">
        <v>1634</v>
      </c>
      <c r="I30" t="s">
        <v>1635</v>
      </c>
      <c r="J30" t="s">
        <v>166</v>
      </c>
      <c r="K30">
        <f>IF(I30="","",MAX(IFERROR(DATEVALUE(TRIM(MID(SUBSTITUTE(I30,";",REPT(" ",50)),1,50))),0),IFERROR(DATEVALUE(TRIM(MID(SUBSTITUTE(I30,";",REPT(" ",50)),51,50))),0),IFERROR(DATEVALUE(TRIM(MID(SUBSTITUTE(I30,";",REPT(" ",50)),101,50))),0),IFERROR(DATEVALUE(TRIM(MID(SUBSTITUTE(I30,";",REPT(" ",50)),151,50))),0),IFERROR(DATEVALUE(TRIM(MID(SUBSTITUTE(I30,";",REPT(" ",50)),201,50))),0),IFERROR(DATEVALUE(TRIM(MID(SUBSTITUTE(I30,";",REPT(" ",50)),251,50))),0),IFERROR(DATEVALUE(TRIM(MID(SUBSTITUTE(I30,";",REPT(" ",50)),301,50))),0),IFERROR(DATEVALUE(TRIM(MID(SUBSTITUTE(I30,";",REPT(" ",50)),351,50))),0),IFERROR(DATEVALUE(TRIM(MID(SUBSTITUTE(I30,";",REPT(" ",50)),401,50))),0),IFERROR(DATEVALUE(TRIM(MID(SUBSTITUTE(I30,";",REPT(" ",50)),451,50))),0)))</f>
        <v>45989</v>
      </c>
      <c r="M30" t="s">
        <v>167</v>
      </c>
      <c r="N30">
        <f>IF(M30="","",IF(L30="",INDEX($F$37:$F$40,MATCH(M30,$C$37:$C$40,0)),IF(L30&lt;=INDEX($D$37:$D$40,MATCH(M30,$C$37:$C$40,0)),0,IF(L30&lt;=INDEX($E$37:$E$40,MATCH(M30,$C$37:$C$40,0)),INDEX($F$37:$F$40,MATCH(M30,$C$37:$C$40,0)),INDEX($G$37:$G$40,MATCH(M30,$C$37:$C$40,0))))))</f>
        <v>0</v>
      </c>
      <c r="O30">
        <f>G30+N30</f>
        <v>0</v>
      </c>
      <c r="P30" t="s">
        <v>168</v>
      </c>
      <c r="Q30" t="s">
        <v>823</v>
      </c>
      <c r="R30" t="s">
        <v>1636</v>
      </c>
    </row>
    <row r="35" spans="3:7" x14ac:dyDescent="0.2">
      <c r="C35" s="56" t="s">
        <v>533</v>
      </c>
      <c r="D35" s="57"/>
      <c r="E35" s="57"/>
      <c r="F35" s="57"/>
      <c r="G35" s="58"/>
    </row>
    <row r="36" spans="3:7" x14ac:dyDescent="0.2">
      <c r="C36" s="31" t="s">
        <v>152</v>
      </c>
      <c r="D36" s="32" t="s">
        <v>534</v>
      </c>
      <c r="E36" s="32" t="s">
        <v>535</v>
      </c>
      <c r="F36" s="32" t="s">
        <v>536</v>
      </c>
      <c r="G36" s="32" t="s">
        <v>537</v>
      </c>
    </row>
    <row r="37" spans="3:7" x14ac:dyDescent="0.2">
      <c r="C37" s="33" t="s">
        <v>275</v>
      </c>
      <c r="D37" s="34">
        <v>90</v>
      </c>
      <c r="E37" s="34">
        <v>180</v>
      </c>
      <c r="F37" s="34">
        <v>5</v>
      </c>
      <c r="G37" s="35">
        <v>10</v>
      </c>
    </row>
    <row r="38" spans="3:7" x14ac:dyDescent="0.2">
      <c r="C38" s="36" t="s">
        <v>185</v>
      </c>
      <c r="D38" s="34">
        <v>180</v>
      </c>
      <c r="E38" s="34">
        <v>365</v>
      </c>
      <c r="F38" s="34">
        <v>3</v>
      </c>
      <c r="G38" s="35">
        <v>6</v>
      </c>
    </row>
    <row r="39" spans="3:7" x14ac:dyDescent="0.2">
      <c r="C39" s="36" t="s">
        <v>300</v>
      </c>
      <c r="D39" s="34">
        <v>365</v>
      </c>
      <c r="E39" s="34">
        <v>730</v>
      </c>
      <c r="F39" s="34">
        <v>2</v>
      </c>
      <c r="G39" s="35">
        <v>4</v>
      </c>
    </row>
    <row r="40" spans="3:7" x14ac:dyDescent="0.2">
      <c r="C40" s="31" t="s">
        <v>167</v>
      </c>
      <c r="D40" s="37">
        <v>9999</v>
      </c>
      <c r="E40" s="37">
        <v>9999</v>
      </c>
      <c r="F40" s="37">
        <v>0</v>
      </c>
      <c r="G40" s="32">
        <v>0</v>
      </c>
    </row>
    <row r="43" spans="3:7" ht="16" customHeight="1" thickBot="1" x14ac:dyDescent="0.25"/>
    <row r="44" spans="3:7" ht="16" customHeight="1" thickBot="1" x14ac:dyDescent="0.25">
      <c r="C44" s="52" t="s">
        <v>538</v>
      </c>
      <c r="D44" s="53"/>
      <c r="E44" s="54"/>
    </row>
    <row r="45" spans="3:7" x14ac:dyDescent="0.2">
      <c r="C45" s="44" t="s">
        <v>539</v>
      </c>
      <c r="D45" s="45"/>
      <c r="E45" s="8">
        <f>IF(COUNTIFS($A$4:$A$30,"A*",$C$4:$C$30,"&lt;&gt;")=0,"",AVERAGEIFS($O$4:$O$30,$A$4:$A$30,"A*",$C$4:$C$30,"&lt;&gt;"))</f>
        <v>7.625</v>
      </c>
    </row>
    <row r="46" spans="3:7" x14ac:dyDescent="0.2">
      <c r="C46" s="44" t="s">
        <v>540</v>
      </c>
      <c r="D46" s="45"/>
      <c r="E46" s="8">
        <f>IF(COUNTIFS($A$4:$A$30,"B*",$C$4:$C$30,"&lt;&gt;")=0,"",AVERAGEIFS($O$4:$O$30,$A$4:$A$30,"B*",$C$4:$C$30,"&lt;&gt;"))</f>
        <v>12</v>
      </c>
    </row>
    <row r="47" spans="3:7" x14ac:dyDescent="0.2">
      <c r="C47" s="44" t="s">
        <v>541</v>
      </c>
      <c r="D47" s="45"/>
      <c r="E47" s="8">
        <f>IF(COUNTIFS($A$4:$A$30,"C*",$C$4:$C$30,"&lt;&gt;")=0,"",AVERAGEIFS($O$4:$O$30,$A$4:$A$30,"C*",$C$4:$C$30,"&lt;&gt;"))</f>
        <v>12.875</v>
      </c>
    </row>
    <row r="48" spans="3:7" x14ac:dyDescent="0.2">
      <c r="C48" s="44" t="s">
        <v>542</v>
      </c>
      <c r="D48" s="45"/>
      <c r="E48" s="8">
        <f>IF(COUNTIFS($A$4:$A$30,"D*",$C$4:$C$30,"&lt;&gt;")=0,"",AVERAGEIFS($O$4:$O$30,$A$4:$A$30,"D*",$C$4:$C$30,"&lt;&gt;"))</f>
        <v>8.6666666666666661</v>
      </c>
    </row>
    <row r="49" spans="3:5" x14ac:dyDescent="0.2">
      <c r="C49" s="44" t="s">
        <v>543</v>
      </c>
      <c r="D49" s="45"/>
      <c r="E49" s="8">
        <f>IF(COUNTIFS($A$4:$A$30,"E*",$C$4:$C$30,"&lt;&gt;")=0,"",AVERAGEIFS($O$4:$O$30,$A$4:$A$30,"E*",$C$4:$C$30,"&lt;&gt;"))</f>
        <v>3.25</v>
      </c>
    </row>
    <row r="50" spans="3:5" x14ac:dyDescent="0.2">
      <c r="C50" s="44" t="s">
        <v>544</v>
      </c>
      <c r="D50" s="45"/>
      <c r="E50" s="8">
        <f>IF(COUNTIF($C$4:$C$30,"&lt;&gt;")=0,"",AVERAGEIFS($O$4:$O$30,$C$4:$C$30,"&lt;&gt;"))</f>
        <v>8.8947368421052637</v>
      </c>
    </row>
    <row r="51" spans="3:5" x14ac:dyDescent="0.2">
      <c r="C51" s="44" t="s">
        <v>545</v>
      </c>
      <c r="D51" s="45"/>
      <c r="E51" s="8" t="str">
        <f>IF(E50="","",IF(E50&lt;3,"Very Low",IF(E50&lt;6,"Low",IF(E50&lt;9,"Medium",IF(E50&lt;12,"Medium-High","High")))))</f>
        <v>Medium</v>
      </c>
    </row>
    <row r="52" spans="3:5" x14ac:dyDescent="0.2">
      <c r="C52" s="46" t="s">
        <v>546</v>
      </c>
      <c r="D52" s="47"/>
      <c r="E52" s="9" t="str">
        <f>IF(COUNT($E$45:$E$49)=0,"",IF($E$45=MIN($E$45:$E$49),"A",IF($E$46=MIN($E$45:$E$49),"B",IF($E$47=MIN($E$45:$E$49),"C",IF($E$48=MIN($E$45:$E$49),"D","E")))))</f>
        <v>E</v>
      </c>
    </row>
  </sheetData>
  <mergeCells count="15">
    <mergeCell ref="B3:R3"/>
    <mergeCell ref="C48:D48"/>
    <mergeCell ref="C49:D49"/>
    <mergeCell ref="C51:D51"/>
    <mergeCell ref="B15:R15"/>
    <mergeCell ref="C50:D50"/>
    <mergeCell ref="C45:D45"/>
    <mergeCell ref="C52:D52"/>
    <mergeCell ref="C35:G35"/>
    <mergeCell ref="B26:R26"/>
    <mergeCell ref="C46:D46"/>
    <mergeCell ref="B9:R9"/>
    <mergeCell ref="C47:D47"/>
    <mergeCell ref="C44:E44"/>
    <mergeCell ref="B21:R21"/>
  </mergeCells>
  <conditionalFormatting sqref="O4:O40">
    <cfRule type="colorScale" priority="6">
      <colorScale>
        <cfvo type="num" val="0"/>
        <cfvo type="percentile" val="50"/>
        <cfvo type="num" val="25"/>
        <color rgb="FF73FB79"/>
        <color rgb="FFFFFD78"/>
        <color rgb="FFFF2600"/>
      </colorScale>
    </cfRule>
  </conditionalFormatting>
  <conditionalFormatting sqref="P4:P30">
    <cfRule type="cellIs" dxfId="13" priority="7" operator="equal">
      <formula>"No Review"</formula>
    </cfRule>
    <cfRule type="cellIs" dxfId="12" priority="8" operator="equal">
      <formula>"Review Required"</formula>
    </cfRule>
  </conditionalFormatting>
  <dataValidations count="1">
    <dataValidation type="list" showInputMessage="1" showErrorMessage="1" sqref="M4:M42" xr:uid="{00000000-0002-0000-0600-000000000000}">
      <formula1>"Critical–Fast,Operational–Medium,Background–Slow,Evergreen–No Penalty"</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0"/>
  <sheetViews>
    <sheetView workbookViewId="0">
      <selection activeCell="E29" sqref="E29"/>
    </sheetView>
  </sheetViews>
  <sheetFormatPr baseColWidth="10" defaultColWidth="8.83203125" defaultRowHeight="15" x14ac:dyDescent="0.2"/>
  <cols>
    <col min="1" max="1" width="37.83203125" customWidth="1"/>
    <col min="2" max="9" width="21.33203125" customWidth="1"/>
  </cols>
  <sheetData>
    <row r="1" spans="1:8" x14ac:dyDescent="0.2">
      <c r="A1" s="18" t="s">
        <v>1637</v>
      </c>
      <c r="B1" s="18" t="s">
        <v>1638</v>
      </c>
      <c r="C1" s="18" t="s">
        <v>1639</v>
      </c>
      <c r="D1" s="18" t="s">
        <v>1640</v>
      </c>
      <c r="E1" s="18" t="s">
        <v>1641</v>
      </c>
      <c r="F1" s="18" t="s">
        <v>1642</v>
      </c>
      <c r="G1" s="18" t="s">
        <v>1643</v>
      </c>
      <c r="H1" s="18" t="s">
        <v>1644</v>
      </c>
    </row>
    <row r="2" spans="1:8" x14ac:dyDescent="0.2">
      <c r="A2" s="7" t="s">
        <v>1645</v>
      </c>
      <c r="B2" s="11">
        <v>0.15</v>
      </c>
      <c r="C2" s="11">
        <f ca="1">'Token Fundamentals &amp; Governance'!E106</f>
        <v>8.9621212121212128</v>
      </c>
      <c r="D2" s="11" t="str">
        <f ca="1">'Token Fundamentals &amp; Governance'!E107</f>
        <v>Medium</v>
      </c>
      <c r="E2" s="11">
        <f t="shared" ref="E2:E7" ca="1" si="0">IF(C2="","",IF(C2&lt;3,1,IF(C2&lt;6,2,IF(C2&lt;9,3,IF(C2&lt;12,4,5)))))</f>
        <v>3</v>
      </c>
      <c r="F2" s="11">
        <f t="shared" ref="F2:F7" ca="1" si="1">B2*C2</f>
        <v>1.344318181818182</v>
      </c>
      <c r="G2" s="11" t="str">
        <f>IF(COUNTIF('Token Fundamentals &amp; Governance'!P:P,"Review Required")&gt;0,"Yes","No")</f>
        <v>No</v>
      </c>
      <c r="H2" s="12" t="str">
        <f ca="1">'Token Fundamentals &amp; Governance'!E108</f>
        <v>D</v>
      </c>
    </row>
    <row r="3" spans="1:8" x14ac:dyDescent="0.2">
      <c r="A3" s="8" t="s">
        <v>1646</v>
      </c>
      <c r="B3">
        <v>0.2</v>
      </c>
      <c r="C3">
        <f ca="1">'Regulatory &amp; Legal Risk'!E73</f>
        <v>6.1794871794871797</v>
      </c>
      <c r="D3" t="str">
        <f ca="1">'Regulatory &amp; Legal Risk'!E74</f>
        <v>Medium</v>
      </c>
      <c r="E3">
        <f t="shared" ca="1" si="0"/>
        <v>3</v>
      </c>
      <c r="F3">
        <f t="shared" ca="1" si="1"/>
        <v>1.2358974358974359</v>
      </c>
      <c r="G3" t="str">
        <f>IF(COUNTIF('Regulatory &amp; Legal Risk'!P:P,"Review Required")&gt;0,"Yes","No")</f>
        <v>Yes</v>
      </c>
      <c r="H3" s="14" t="str">
        <f ca="1">'Regulatory &amp; Legal Risk'!E75</f>
        <v>E</v>
      </c>
    </row>
    <row r="4" spans="1:8" x14ac:dyDescent="0.2">
      <c r="A4" s="8" t="s">
        <v>1647</v>
      </c>
      <c r="B4">
        <v>0.25</v>
      </c>
      <c r="C4">
        <f ca="1">'AML &amp; Sanctions Risk'!E77</f>
        <v>3.7250000000000001</v>
      </c>
      <c r="D4" t="str">
        <f ca="1">'AML &amp; Sanctions Risk'!E78</f>
        <v>Low</v>
      </c>
      <c r="E4">
        <f t="shared" ca="1" si="0"/>
        <v>2</v>
      </c>
      <c r="F4">
        <f t="shared" ca="1" si="1"/>
        <v>0.93125000000000002</v>
      </c>
      <c r="G4" t="str">
        <f>IF(COUNTIF('AML &amp; Sanctions Risk'!P:P,"Review Required")&gt;0,"Yes","No")</f>
        <v>No</v>
      </c>
      <c r="H4" s="14" t="str">
        <f ca="1">'AML &amp; Sanctions Risk'!E79</f>
        <v>C</v>
      </c>
    </row>
    <row r="5" spans="1:8" x14ac:dyDescent="0.2">
      <c r="A5" s="8" t="s">
        <v>1648</v>
      </c>
      <c r="B5">
        <v>0.2</v>
      </c>
      <c r="C5">
        <f ca="1">'Technical &amp; Protocol Security'!E124</f>
        <v>8.7179487179487172</v>
      </c>
      <c r="D5" t="str">
        <f ca="1">'Technical &amp; Protocol Security'!E125</f>
        <v>Medium</v>
      </c>
      <c r="E5">
        <f t="shared" ca="1" si="0"/>
        <v>3</v>
      </c>
      <c r="F5">
        <f t="shared" ca="1" si="1"/>
        <v>1.7435897435897436</v>
      </c>
      <c r="G5" t="str">
        <f>IF(COUNTIF('Technical &amp; Protocol Security'!P:P,"Review Required")&gt;0,"Yes","No")</f>
        <v>Yes</v>
      </c>
      <c r="H5" s="14" t="str">
        <f ca="1">'Technical &amp; Protocol Security'!E126</f>
        <v>D</v>
      </c>
    </row>
    <row r="6" spans="1:8" x14ac:dyDescent="0.2">
      <c r="A6" s="8" t="s">
        <v>1649</v>
      </c>
      <c r="B6">
        <v>0.15</v>
      </c>
      <c r="C6">
        <f>'Market &amp; Liquidity Integrity'!E75</f>
        <v>8.0394736842105257</v>
      </c>
      <c r="D6" t="str">
        <f>'Market &amp; Liquidity Integrity'!E76</f>
        <v>Medium</v>
      </c>
      <c r="E6">
        <f t="shared" si="0"/>
        <v>3</v>
      </c>
      <c r="F6">
        <f t="shared" si="1"/>
        <v>1.2059210526315789</v>
      </c>
      <c r="G6" t="str">
        <f>IF(COUNTIF('Market &amp; Liquidity Integrity'!P:P,"Review Required")&gt;0,"Yes","No")</f>
        <v>No</v>
      </c>
      <c r="H6" s="14" t="str">
        <f>'Market &amp; Liquidity Integrity'!E77</f>
        <v>A</v>
      </c>
    </row>
    <row r="7" spans="1:8" x14ac:dyDescent="0.2">
      <c r="A7" s="9" t="s">
        <v>1650</v>
      </c>
      <c r="B7" s="16">
        <v>0.05</v>
      </c>
      <c r="C7" s="16">
        <f>'Strategic, Reputational &amp; ESG'!E50</f>
        <v>8.8947368421052637</v>
      </c>
      <c r="D7" s="16" t="str">
        <f>'Strategic, Reputational &amp; ESG'!E51</f>
        <v>Medium</v>
      </c>
      <c r="E7" s="16">
        <f t="shared" si="0"/>
        <v>3</v>
      </c>
      <c r="F7" s="16">
        <f t="shared" si="1"/>
        <v>0.44473684210526321</v>
      </c>
      <c r="G7" s="16" t="str">
        <f>IF(COUNTIF('Strategic, Reputational &amp; ESG'!P:P,"Review Required")&gt;0,"Yes","No")</f>
        <v>Yes</v>
      </c>
      <c r="H7" s="17" t="str">
        <f>'Strategic, Reputational &amp; ESG'!E52</f>
        <v>E</v>
      </c>
    </row>
    <row r="8" spans="1:8" ht="16" customHeight="1" thickBot="1" x14ac:dyDescent="0.25">
      <c r="A8" s="8"/>
      <c r="B8" s="7"/>
    </row>
    <row r="9" spans="1:8" ht="16" customHeight="1" thickBot="1" x14ac:dyDescent="0.25">
      <c r="A9" s="38" t="s">
        <v>1651</v>
      </c>
      <c r="B9" s="39">
        <f ca="1">IF(SUM(B2:B7)=0,"",SUM(F2:F7)/SUM(B2:B7))</f>
        <v>6.9057132560422039</v>
      </c>
    </row>
    <row r="10" spans="1:8" x14ac:dyDescent="0.2">
      <c r="A10" s="8" t="s">
        <v>1652</v>
      </c>
      <c r="B10" s="8" t="str">
        <f ca="1">IF(B9="","",IF(B9&lt;3,"Very Low",IF(B9&lt;6,"Low",IF(B9&lt;9,"Medium",IF(B9&lt;12,"Medium-High","High")))))</f>
        <v>Medium</v>
      </c>
    </row>
    <row r="11" spans="1:8" x14ac:dyDescent="0.2">
      <c r="A11" s="9" t="s">
        <v>1653</v>
      </c>
      <c r="B11" s="9">
        <f ca="1">IF(B9="","",IF(B9&lt;3,1,IF(B9&lt;6,2,IF(B9&lt;9,3,IF(B9&lt;12,4,5)))))</f>
        <v>3</v>
      </c>
    </row>
    <row r="13" spans="1:8" x14ac:dyDescent="0.2">
      <c r="A13" s="59" t="s">
        <v>1654</v>
      </c>
      <c r="B13" s="41"/>
      <c r="C13" s="41"/>
      <c r="D13" s="41"/>
      <c r="E13" s="41"/>
      <c r="F13" s="42"/>
    </row>
    <row r="14" spans="1:8" x14ac:dyDescent="0.2">
      <c r="A14" s="18" t="s">
        <v>1637</v>
      </c>
      <c r="B14" s="18" t="s">
        <v>1655</v>
      </c>
      <c r="C14" s="18" t="s">
        <v>1656</v>
      </c>
      <c r="D14" s="18" t="s">
        <v>1657</v>
      </c>
      <c r="E14" s="18" t="s">
        <v>1658</v>
      </c>
      <c r="F14" s="18" t="s">
        <v>1659</v>
      </c>
    </row>
    <row r="15" spans="1:8" x14ac:dyDescent="0.2">
      <c r="A15" s="7" t="s">
        <v>1645</v>
      </c>
      <c r="B15" s="10" t="str">
        <f ca="1">IF('Token Fundamentals &amp; Governance'!E101="","",IF('Token Fundamentals &amp; Governance'!E101&lt;3,"Very Low",IF('Token Fundamentals &amp; Governance'!E101&lt;6,"Low",IF('Token Fundamentals &amp; Governance'!E101&lt;9,"Medium",IF('Token Fundamentals &amp; Governance'!E101&lt;12,"Medium-High","High")))))</f>
        <v>Medium-High</v>
      </c>
      <c r="C15" s="11" t="str">
        <f ca="1">IF('Token Fundamentals &amp; Governance'!E102="","",IF('Token Fundamentals &amp; Governance'!E102&lt;3,"Very Low",IF('Token Fundamentals &amp; Governance'!E102&lt;6,"Low",IF('Token Fundamentals &amp; Governance'!E102&lt;9,"Medium",IF('Token Fundamentals &amp; Governance'!E102&lt;12,"Medium-High","High")))))</f>
        <v>Medium-High</v>
      </c>
      <c r="D15" s="11" t="str">
        <f ca="1">IF('Token Fundamentals &amp; Governance'!E103="","",IF('Token Fundamentals &amp; Governance'!E103&lt;3,"Very Low",IF('Token Fundamentals &amp; Governance'!E103&lt;6,"Low",IF('Token Fundamentals &amp; Governance'!E103&lt;9,"Medium",IF('Token Fundamentals &amp; Governance'!E103&lt;12,"Medium-High","High")))))</f>
        <v>Medium-High</v>
      </c>
      <c r="E15" s="11" t="str">
        <f ca="1">IF('Token Fundamentals &amp; Governance'!E104="","",IF('Token Fundamentals &amp; Governance'!E104&lt;3,"Very Low",IF('Token Fundamentals &amp; Governance'!E104&lt;6,"Low",IF('Token Fundamentals &amp; Governance'!E104&lt;9,"Medium",IF('Token Fundamentals &amp; Governance'!E104&lt;12,"Medium-High","High")))))</f>
        <v>Low</v>
      </c>
      <c r="F15" s="12" t="str">
        <f ca="1">IF('Token Fundamentals &amp; Governance'!E105="","",IF('Token Fundamentals &amp; Governance'!E105&lt;3,"Very Low",IF('Token Fundamentals &amp; Governance'!E105&lt;6,"Low",IF('Token Fundamentals &amp; Governance'!E105&lt;9,"Medium",IF('Token Fundamentals &amp; Governance'!E105&lt;12,"Medium-High","High")))))</f>
        <v>Medium</v>
      </c>
    </row>
    <row r="16" spans="1:8" x14ac:dyDescent="0.2">
      <c r="A16" s="8" t="s">
        <v>1646</v>
      </c>
      <c r="B16" s="13" t="str">
        <f ca="1">IF('Regulatory &amp; Legal Risk'!E68="","",IF('Regulatory &amp; Legal Risk'!E68&lt;3,"Very Low",IF('Regulatory &amp; Legal Risk'!E68&lt;6,"Low",IF('Regulatory &amp; Legal Risk'!E68&lt;9,"Medium",IF('Regulatory &amp; Legal Risk'!E68&lt;12,"Medium-High","High")))))</f>
        <v>Medium-High</v>
      </c>
      <c r="C16" t="str">
        <f ca="1">IF('Regulatory &amp; Legal Risk'!E69="","",IF('Regulatory &amp; Legal Risk'!E69&lt;3,"Very Low",IF('Regulatory &amp; Legal Risk'!E69&lt;6,"Low",IF('Regulatory &amp; Legal Risk'!E69&lt;9,"Medium",IF('Regulatory &amp; Legal Risk'!E69&lt;12,"Medium-High","High")))))</f>
        <v>Low</v>
      </c>
      <c r="D16" t="str">
        <f ca="1">IF('Regulatory &amp; Legal Risk'!E70="","",IF('Regulatory &amp; Legal Risk'!E70&lt;3,"Very Low",IF('Regulatory &amp; Legal Risk'!E70&lt;6,"Low",IF('Regulatory &amp; Legal Risk'!E70&lt;9,"Medium",IF('Regulatory &amp; Legal Risk'!E70&lt;12,"Medium-High","High")))))</f>
        <v>Medium-High</v>
      </c>
      <c r="E16" t="str">
        <f ca="1">IF('Regulatory &amp; Legal Risk'!E71="","",IF('Regulatory &amp; Legal Risk'!E71&lt;3,"Very Low",IF('Regulatory &amp; Legal Risk'!E71&lt;6,"Low",IF('Regulatory &amp; Legal Risk'!E71&lt;9,"Medium",IF('Regulatory &amp; Legal Risk'!E71&lt;12,"Medium-High","High")))))</f>
        <v>Low</v>
      </c>
      <c r="F16" s="14" t="str">
        <f ca="1">IF('Regulatory &amp; Legal Risk'!E72="","",IF('Regulatory &amp; Legal Risk'!E72&lt;3,"Very Low",IF('Regulatory &amp; Legal Risk'!E72&lt;6,"Low",IF('Regulatory &amp; Legal Risk'!E72&lt;9,"Medium",IF('Regulatory &amp; Legal Risk'!E72&lt;12,"Medium-High","High")))))</f>
        <v>Very Low</v>
      </c>
    </row>
    <row r="17" spans="1:6" x14ac:dyDescent="0.2">
      <c r="A17" s="8" t="s">
        <v>1647</v>
      </c>
      <c r="B17" s="13" t="str">
        <f ca="1">IF('AML &amp; Sanctions Risk'!E72="","",IF('AML &amp; Sanctions Risk'!E72&lt;3,"Very Low",IF('AML &amp; Sanctions Risk'!E72&lt;6,"Low",IF('AML &amp; Sanctions Risk'!E72&lt;9,"Medium",IF('AML &amp; Sanctions Risk'!E72&lt;12,"Medium-High","High")))))</f>
        <v>Low</v>
      </c>
      <c r="C17" t="str">
        <f ca="1">IF('AML &amp; Sanctions Risk'!E73="","",IF('AML &amp; Sanctions Risk'!E73&lt;3,"Very Low",IF('AML &amp; Sanctions Risk'!E73&lt;6,"Low",IF('AML &amp; Sanctions Risk'!E73&lt;9,"Medium",IF('AML &amp; Sanctions Risk'!E73&lt;12,"Medium-High","High")))))</f>
        <v>Very Low</v>
      </c>
      <c r="D17" t="str">
        <f ca="1">IF('AML &amp; Sanctions Risk'!E74="","",IF('AML &amp; Sanctions Risk'!E74&lt;3,"Very Low",IF('AML &amp; Sanctions Risk'!E74&lt;6,"Low",IF('AML &amp; Sanctions Risk'!E74&lt;9,"Medium",IF('AML &amp; Sanctions Risk'!E74&lt;12,"Medium-High","High")))))</f>
        <v>Very Low</v>
      </c>
      <c r="E17" t="str">
        <f ca="1">IF('AML &amp; Sanctions Risk'!E75="","",IF('AML &amp; Sanctions Risk'!E75&lt;3,"Very Low",IF('AML &amp; Sanctions Risk'!E75&lt;6,"Low",IF('AML &amp; Sanctions Risk'!E75&lt;9,"Medium",IF('AML &amp; Sanctions Risk'!E75&lt;12,"Medium-High","High")))))</f>
        <v>Medium</v>
      </c>
      <c r="F17" s="14" t="str">
        <f ca="1">IF('AML &amp; Sanctions Risk'!E76="","",IF('AML &amp; Sanctions Risk'!E76&lt;3,"Very Low",IF('AML &amp; Sanctions Risk'!E76&lt;6,"Low",IF('AML &amp; Sanctions Risk'!E76&lt;9,"Medium",IF('AML &amp; Sanctions Risk'!E76&lt;12,"Medium-High","High")))))</f>
        <v>Very Low</v>
      </c>
    </row>
    <row r="18" spans="1:6" x14ac:dyDescent="0.2">
      <c r="A18" s="8" t="s">
        <v>1648</v>
      </c>
      <c r="B18" s="13" t="str">
        <f ca="1">IF('Technical &amp; Protocol Security'!E119="","",IF('Technical &amp; Protocol Security'!E119&lt;3,"Very Low",IF('Technical &amp; Protocol Security'!E119&lt;6,"Low",IF('Technical &amp; Protocol Security'!E119&lt;9,"Medium",IF('Technical &amp; Protocol Security'!E119&lt;12,"Medium-High","High")))))</f>
        <v>Medium</v>
      </c>
      <c r="C18" t="str">
        <f ca="1">IF('Technical &amp; Protocol Security'!E120="","",IF('Technical &amp; Protocol Security'!E120&lt;3,"Very Low",IF('Technical &amp; Protocol Security'!E120&lt;6,"Low",IF('Technical &amp; Protocol Security'!E120&lt;9,"Medium",IF('Technical &amp; Protocol Security'!E120&lt;12,"Medium-High","High")))))</f>
        <v>Medium-High</v>
      </c>
      <c r="D18" t="str">
        <f ca="1">IF('Technical &amp; Protocol Security'!E121="","",IF('Technical &amp; Protocol Security'!E121&lt;3,"Very Low",IF('Technical &amp; Protocol Security'!E121&lt;6,"Low",IF('Technical &amp; Protocol Security'!E121&lt;9,"Medium",IF('Technical &amp; Protocol Security'!E121&lt;12,"Medium-High","High")))))</f>
        <v>Medium-High</v>
      </c>
      <c r="E18" t="str">
        <f ca="1">IF('Technical &amp; Protocol Security'!E122="","",IF('Technical &amp; Protocol Security'!E122&lt;3,"Very Low",IF('Technical &amp; Protocol Security'!E122&lt;6,"Low",IF('Technical &amp; Protocol Security'!E122&lt;9,"Medium",IF('Technical &amp; Protocol Security'!E122&lt;12,"Medium-High","High")))))</f>
        <v>Medium</v>
      </c>
      <c r="F18" s="14" t="str">
        <f ca="1">IF('Technical &amp; Protocol Security'!E123="","",IF('Technical &amp; Protocol Security'!E123&lt;3,"Very Low",IF('Technical &amp; Protocol Security'!E123&lt;6,"Low",IF('Technical &amp; Protocol Security'!E123&lt;9,"Medium",IF('Technical &amp; Protocol Security'!E123&lt;12,"Medium-High","High")))))</f>
        <v>Medium</v>
      </c>
    </row>
    <row r="19" spans="1:6" x14ac:dyDescent="0.2">
      <c r="A19" s="8" t="s">
        <v>1649</v>
      </c>
      <c r="B19" s="13" t="str">
        <f>IF('Market &amp; Liquidity Integrity'!E70="","",IF('Market &amp; Liquidity Integrity'!E70&lt;3,"Very Low",IF('Market &amp; Liquidity Integrity'!E70&lt;6,"Low",IF('Market &amp; Liquidity Integrity'!E70&lt;9,"Medium",IF('Market &amp; Liquidity Integrity'!E70&lt;12,"Medium-High","High")))))</f>
        <v>Medium</v>
      </c>
      <c r="C19" t="str">
        <f>IF('Market &amp; Liquidity Integrity'!E71="","",IF('Market &amp; Liquidity Integrity'!E71&lt;3,"Very Low",IF('Market &amp; Liquidity Integrity'!E71&lt;6,"Low",IF('Market &amp; Liquidity Integrity'!E71&lt;9,"Medium",IF('Market &amp; Liquidity Integrity'!E71&lt;12,"Medium-High","High")))))</f>
        <v>Medium</v>
      </c>
      <c r="D19" t="str">
        <f>IF('Market &amp; Liquidity Integrity'!E72="","",IF('Market &amp; Liquidity Integrity'!E72&lt;3,"Very Low",IF('Market &amp; Liquidity Integrity'!E72&lt;6,"Low",IF('Market &amp; Liquidity Integrity'!E72&lt;9,"Medium",IF('Market &amp; Liquidity Integrity'!E72&lt;12,"Medium-High","High")))))</f>
        <v>Medium</v>
      </c>
      <c r="E19" t="str">
        <f>IF('Market &amp; Liquidity Integrity'!E73="","",IF('Market &amp; Liquidity Integrity'!E73&lt;3,"Very Low",IF('Market &amp; Liquidity Integrity'!E73&lt;6,"Low",IF('Market &amp; Liquidity Integrity'!E73&lt;9,"Medium",IF('Market &amp; Liquidity Integrity'!E73&lt;12,"Medium-High","High")))))</f>
        <v>Medium-High</v>
      </c>
      <c r="F19" s="14" t="str">
        <f>IF('Market &amp; Liquidity Integrity'!E74="","",IF('Market &amp; Liquidity Integrity'!E74&lt;3,"Very Low",IF('Market &amp; Liquidity Integrity'!E74&lt;6,"Low",IF('Market &amp; Liquidity Integrity'!E74&lt;9,"Medium",IF('Market &amp; Liquidity Integrity'!E74&lt;12,"Medium-High","High")))))</f>
        <v>Medium</v>
      </c>
    </row>
    <row r="20" spans="1:6" x14ac:dyDescent="0.2">
      <c r="A20" s="9" t="s">
        <v>1650</v>
      </c>
      <c r="B20" s="15" t="str">
        <f>IF('Strategic, Reputational &amp; ESG'!E45="","",IF('Strategic, Reputational &amp; ESG'!E45&lt;3,"Very Low",IF('Strategic, Reputational &amp; ESG'!E45&lt;6,"Low",IF('Strategic, Reputational &amp; ESG'!E45&lt;9,"Medium",IF('Strategic, Reputational &amp; ESG'!E45&lt;12,"Medium-High","High")))))</f>
        <v>Medium</v>
      </c>
      <c r="C20" s="16" t="str">
        <f>IF('Strategic, Reputational &amp; ESG'!E46="","",IF('Strategic, Reputational &amp; ESG'!E46&lt;3,"Very Low",IF('Strategic, Reputational &amp; ESG'!E46&lt;6,"Low",IF('Strategic, Reputational &amp; ESG'!E46&lt;9,"Medium",IF('Strategic, Reputational &amp; ESG'!E46&lt;12,"Medium-High","High")))))</f>
        <v>High</v>
      </c>
      <c r="D20" s="16" t="str">
        <f>IF('Strategic, Reputational &amp; ESG'!E47="","",IF('Strategic, Reputational &amp; ESG'!E47&lt;3,"Very Low",IF('Strategic, Reputational &amp; ESG'!E47&lt;6,"Low",IF('Strategic, Reputational &amp; ESG'!E47&lt;9,"Medium",IF('Strategic, Reputational &amp; ESG'!E47&lt;12,"Medium-High","High")))))</f>
        <v>High</v>
      </c>
      <c r="E20" s="16" t="str">
        <f>IF('Strategic, Reputational &amp; ESG'!E48="","",IF('Strategic, Reputational &amp; ESG'!E48&lt;3,"Very Low",IF('Strategic, Reputational &amp; ESG'!E48&lt;6,"Low",IF('Strategic, Reputational &amp; ESG'!E48&lt;9,"Medium",IF('Strategic, Reputational &amp; ESG'!E48&lt;12,"Medium-High","High")))))</f>
        <v>Medium</v>
      </c>
      <c r="F20" s="17" t="str">
        <f>IF('Strategic, Reputational &amp; ESG'!E49="","",IF('Strategic, Reputational &amp; ESG'!E49&lt;3,"Very Low",IF('Strategic, Reputational &amp; ESG'!E49&lt;6,"Low",IF('Strategic, Reputational &amp; ESG'!E49&lt;9,"Medium",IF('Strategic, Reputational &amp; ESG'!E49&lt;12,"Medium-High","High")))))</f>
        <v>Low</v>
      </c>
    </row>
    <row r="22" spans="1:6" ht="16" customHeight="1" thickBot="1" x14ac:dyDescent="0.25"/>
    <row r="23" spans="1:6" ht="16" customHeight="1" thickBot="1" x14ac:dyDescent="0.25">
      <c r="A23" s="60" t="s">
        <v>1660</v>
      </c>
      <c r="B23" s="54"/>
    </row>
    <row r="24" spans="1:6" x14ac:dyDescent="0.2">
      <c r="A24" s="8"/>
      <c r="B24" s="8"/>
    </row>
    <row r="25" spans="1:6" x14ac:dyDescent="0.2">
      <c r="A25" s="8" t="s">
        <v>1661</v>
      </c>
      <c r="B25" s="8" t="str">
        <f>IF(COUNTIF(G2:G7,"Yes")&gt;0,"Yes","No")</f>
        <v>Yes</v>
      </c>
    </row>
    <row r="26" spans="1:6" x14ac:dyDescent="0.2">
      <c r="A26" s="8"/>
      <c r="B26" s="8"/>
    </row>
    <row r="27" spans="1:6" x14ac:dyDescent="0.2">
      <c r="A27" s="8" t="s">
        <v>1662</v>
      </c>
      <c r="B27" s="8" t="str">
        <f>IF(COUNTIF(G2:G7,"Yes")=0,"None",LEFT(IF(G2="Yes",A2&amp;", ","")&amp;IF(G3="Yes",A3&amp;", ","")&amp;IF(G4="Yes",A4&amp;", ","")&amp;IF(G5="Yes",A5&amp;", ","")&amp;IF(G6="Yes",A6&amp;", ","")&amp;IF(G7="Yes",A7&amp;", ",""),LEN(IF(G2="Yes",A2&amp;", ","")&amp;IF(G3="Yes",A3&amp;", ","")&amp;IF(G4="Yes",A4&amp;", ","")&amp;IF(G5="Yes",A5&amp;", ","")&amp;IF(G6="Yes",A6&amp;", ","")&amp;IF(G7="Yes",A7&amp;", ",""))-2))</f>
        <v>Regulatory &amp; Legal Risk, Technical &amp; Protocol Security, Strategic, Reputational &amp; ESG</v>
      </c>
    </row>
    <row r="28" spans="1:6" x14ac:dyDescent="0.2">
      <c r="A28" s="8"/>
      <c r="B28" s="8"/>
    </row>
    <row r="29" spans="1:6" x14ac:dyDescent="0.2">
      <c r="A29" s="8" t="s">
        <v>1663</v>
      </c>
      <c r="B29" s="9" t="str">
        <f ca="1">IF(COUNTIF(D2:D7,"Medium-High")+COUNTIF(D2:D7,"High")=0,"None",LEFT(IF(OR(D2="Medium-High",D2="High"),A2&amp;", ","")&amp;IF(OR(D3="Medium-High",D3="High"),A3&amp;", ","")&amp;IF(OR(D4="Medium-High",D4="High"),A4&amp;", ","")&amp;IF(OR(D5="Medium-High",D5="High"),A5&amp;", ","")&amp;IF(OR(D6="Medium-High",D6="High"),A6&amp;", ","")&amp;IF(OR(D7="Medium-High",D7="High"),A7&amp;", ",""),LEN(IF(OR(D2="Medium-High",D2="High"),A2&amp;", ","")&amp;IF(OR(D3="Medium-High",D3="High"),A3&amp;", ","")&amp;IF(OR(D4="Medium-High",D4="High"),A4&amp;", ","")&amp;IF(OR(D5="Medium-High",D5="High"),A5&amp;", ","")&amp;IF(OR(D6="Medium-High",D6="High"),A6&amp;", ","")&amp;IF(OR(D7="Medium-High",D7="High"),A7&amp;", ",""))-2))</f>
        <v>None</v>
      </c>
    </row>
    <row r="30" spans="1:6" x14ac:dyDescent="0.2">
      <c r="A30" s="27"/>
    </row>
  </sheetData>
  <mergeCells count="2">
    <mergeCell ref="A13:F13"/>
    <mergeCell ref="A23:B23"/>
  </mergeCells>
  <conditionalFormatting sqref="B9">
    <cfRule type="colorScale" priority="1">
      <colorScale>
        <cfvo type="num" val="0"/>
        <cfvo type="percentile" val="50"/>
        <cfvo type="num" val="13"/>
        <color rgb="FF00FA00"/>
        <color rgb="FFFFFC00"/>
        <color rgb="FFFF2600"/>
      </colorScale>
    </cfRule>
  </conditionalFormatting>
  <conditionalFormatting sqref="B15:F20">
    <cfRule type="cellIs" dxfId="11" priority="9" operator="equal">
      <formula>"Very Low"</formula>
    </cfRule>
    <cfRule type="cellIs" dxfId="10" priority="10" stopIfTrue="1" operator="equal">
      <formula>"Low"</formula>
    </cfRule>
    <cfRule type="cellIs" dxfId="9" priority="11" stopIfTrue="1" operator="equal">
      <formula>"Medium"</formula>
    </cfRule>
    <cfRule type="cellIs" dxfId="8" priority="12" operator="equal">
      <formula>"Medium-High"</formula>
    </cfRule>
    <cfRule type="cellIs" dxfId="7" priority="13" stopIfTrue="1" operator="equal">
      <formula>"High"</formula>
    </cfRule>
  </conditionalFormatting>
  <conditionalFormatting sqref="D2:D7">
    <cfRule type="cellIs" dxfId="6" priority="2" stopIfTrue="1" operator="equal">
      <formula>"Very Low"</formula>
    </cfRule>
    <cfRule type="cellIs" dxfId="5" priority="3" stopIfTrue="1" operator="equal">
      <formula>"Low"</formula>
    </cfRule>
    <cfRule type="cellIs" dxfId="4" priority="4" stopIfTrue="1" operator="equal">
      <formula>"Medium"</formula>
    </cfRule>
    <cfRule type="cellIs" dxfId="3" priority="5" stopIfTrue="1" operator="equal">
      <formula>"Medium-High"</formula>
    </cfRule>
    <cfRule type="cellIs" dxfId="2" priority="6" stopIfTrue="1" operator="equal">
      <formula>"High"</formula>
    </cfRule>
  </conditionalFormatting>
  <conditionalFormatting sqref="G2:G7">
    <cfRule type="cellIs" dxfId="1" priority="7" operator="equal">
      <formula>"Yes"</formula>
    </cfRule>
    <cfRule type="cellIs" dxfId="0" priority="8" operator="equal">
      <formula>"No"</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Overview</vt:lpstr>
      <vt:lpstr>Token Fundamentals &amp; Governance</vt:lpstr>
      <vt:lpstr>Regulatory &amp; Legal Risk</vt:lpstr>
      <vt:lpstr>AML &amp; Sanctions Risk</vt:lpstr>
      <vt:lpstr>Technical &amp; Protocol Security</vt:lpstr>
      <vt:lpstr>Market &amp; Liquidity Integrity</vt:lpstr>
      <vt:lpstr>Strategic, Reputational &amp; ESG</vt:lpstr>
      <vt:lpstr>Master_Summary</vt:lpstr>
      <vt:lpstr>Structure_Map</vt:lpstr>
      <vt:lpstr>Tab1_Map</vt:lpstr>
      <vt:lpstr>Tab2_Map</vt:lpstr>
      <vt:lpstr>Tab3_Map</vt:lpstr>
      <vt:lpstr>Tab4_Map</vt:lpstr>
      <vt:lpstr>Tab5_Map</vt:lpstr>
      <vt:lpstr>Tab6_Map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Nikolas Spence</cp:lastModifiedBy>
  <dcterms:created xsi:type="dcterms:W3CDTF">2025-11-02T22:21:41Z</dcterms:created>
  <dcterms:modified xsi:type="dcterms:W3CDTF">2025-12-21T17:09:51Z</dcterms:modified>
</cp:coreProperties>
</file>