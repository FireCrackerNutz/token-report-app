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https://englebertapp-my.sharepoint.com/personal/nikolas_zeyro_one1/Documents/Coding/New Cryptoasset Listing Framework/Example DDQ Runs/V9_4/"/>
    </mc:Choice>
  </mc:AlternateContent>
  <xr:revisionPtr revIDLastSave="2" documentId="8_{71657372-7EA6-D04D-9957-200F3CDA656C}" xr6:coauthVersionLast="47" xr6:coauthVersionMax="47" xr10:uidLastSave="{35D92E26-8CB1-0E4D-9568-0D7D77450464}"/>
  <bookViews>
    <workbookView xWindow="0" yWindow="680" windowWidth="29400" windowHeight="17240" firstSheet="1" activeTab="1" xr2:uid="{00000000-000D-0000-FFFF-FFFF00000000}"/>
  </bookViews>
  <sheets>
    <sheet name="Overview" sheetId="1" r:id="rId1"/>
    <sheet name="Token Fundamentals &amp; Governance" sheetId="2" r:id="rId2"/>
    <sheet name="Regulatory &amp; Legal Risk" sheetId="3" r:id="rId3"/>
    <sheet name="AML &amp; Sanctions Risk" sheetId="4" r:id="rId4"/>
    <sheet name="Technical &amp; Protocol Security" sheetId="5" r:id="rId5"/>
    <sheet name="Market &amp; Liquidity Integrity" sheetId="6" r:id="rId6"/>
    <sheet name="Strategic, Reputational &amp; ESG" sheetId="7" r:id="rId7"/>
    <sheet name="Master_Summary" sheetId="8" r:id="rId8"/>
  </sheets>
  <definedNames>
    <definedName name="Structure_Map">Overview!$D$80</definedName>
    <definedName name="Tab1_Map">Overview!$D$238</definedName>
    <definedName name="Tab2_Map">Overview!$D$265</definedName>
    <definedName name="Tab3_Map">Overview!$D$295</definedName>
    <definedName name="Tab4_Map">Overview!$D$326</definedName>
    <definedName name="Tab5_Map">Overview!$D$357</definedName>
    <definedName name="Tab6_Map">Overview!$D$386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46" i="2" l="1"/>
  <c r="N30" i="7"/>
  <c r="K30" i="7"/>
  <c r="F30" i="7"/>
  <c r="G30" i="7" s="1"/>
  <c r="O30" i="7" s="1"/>
  <c r="P29" i="7"/>
  <c r="N29" i="7"/>
  <c r="K29" i="7"/>
  <c r="F29" i="7"/>
  <c r="E29" i="7"/>
  <c r="G29" i="7" s="1"/>
  <c r="O29" i="7" s="1"/>
  <c r="P28" i="7"/>
  <c r="N28" i="7"/>
  <c r="K28" i="7"/>
  <c r="F28" i="7"/>
  <c r="E28" i="7"/>
  <c r="G28" i="7" s="1"/>
  <c r="O28" i="7" s="1"/>
  <c r="N27" i="7"/>
  <c r="K27" i="7"/>
  <c r="F27" i="7"/>
  <c r="E27" i="7"/>
  <c r="G27" i="7" s="1"/>
  <c r="O27" i="7" s="1"/>
  <c r="E49" i="7" s="1"/>
  <c r="F20" i="8" s="1"/>
  <c r="N25" i="7"/>
  <c r="K25" i="7"/>
  <c r="N24" i="7"/>
  <c r="K24" i="7"/>
  <c r="F24" i="7"/>
  <c r="G24" i="7" s="1"/>
  <c r="O24" i="7" s="1"/>
  <c r="P23" i="7"/>
  <c r="N23" i="7"/>
  <c r="K23" i="7"/>
  <c r="F23" i="7"/>
  <c r="E23" i="7"/>
  <c r="G23" i="7" s="1"/>
  <c r="O23" i="7" s="1"/>
  <c r="N22" i="7"/>
  <c r="K22" i="7"/>
  <c r="F22" i="7"/>
  <c r="E22" i="7"/>
  <c r="G22" i="7" s="1"/>
  <c r="O22" i="7" s="1"/>
  <c r="E48" i="7" s="1"/>
  <c r="E20" i="8" s="1"/>
  <c r="N20" i="7"/>
  <c r="K20" i="7"/>
  <c r="N19" i="7"/>
  <c r="K19" i="7"/>
  <c r="F19" i="7"/>
  <c r="G19" i="7" s="1"/>
  <c r="O19" i="7" s="1"/>
  <c r="P18" i="7"/>
  <c r="N18" i="7"/>
  <c r="K18" i="7"/>
  <c r="F18" i="7"/>
  <c r="E18" i="7"/>
  <c r="G18" i="7" s="1"/>
  <c r="O18" i="7" s="1"/>
  <c r="P17" i="7"/>
  <c r="N17" i="7"/>
  <c r="K17" i="7"/>
  <c r="F17" i="7"/>
  <c r="E17" i="7"/>
  <c r="G17" i="7" s="1"/>
  <c r="O17" i="7" s="1"/>
  <c r="N16" i="7"/>
  <c r="K16" i="7"/>
  <c r="F16" i="7"/>
  <c r="E16" i="7"/>
  <c r="G16" i="7" s="1"/>
  <c r="O16" i="7" s="1"/>
  <c r="E47" i="7" s="1"/>
  <c r="D20" i="8" s="1"/>
  <c r="N14" i="7"/>
  <c r="K14" i="7"/>
  <c r="N13" i="7"/>
  <c r="K13" i="7"/>
  <c r="F13" i="7"/>
  <c r="G13" i="7" s="1"/>
  <c r="O13" i="7" s="1"/>
  <c r="N12" i="7"/>
  <c r="K12" i="7"/>
  <c r="F12" i="7"/>
  <c r="E12" i="7"/>
  <c r="G12" i="7" s="1"/>
  <c r="O12" i="7" s="1"/>
  <c r="P11" i="7"/>
  <c r="N11" i="7"/>
  <c r="K11" i="7"/>
  <c r="F11" i="7"/>
  <c r="E11" i="7"/>
  <c r="G11" i="7" s="1"/>
  <c r="O11" i="7" s="1"/>
  <c r="P10" i="7"/>
  <c r="N10" i="7"/>
  <c r="K10" i="7"/>
  <c r="F10" i="7"/>
  <c r="E10" i="7"/>
  <c r="G10" i="7" s="1"/>
  <c r="O10" i="7" s="1"/>
  <c r="E46" i="7" s="1"/>
  <c r="C20" i="8" s="1"/>
  <c r="N8" i="7"/>
  <c r="K8" i="7"/>
  <c r="N7" i="7"/>
  <c r="K7" i="7"/>
  <c r="F7" i="7"/>
  <c r="G7" i="7" s="1"/>
  <c r="O7" i="7" s="1"/>
  <c r="N6" i="7"/>
  <c r="K6" i="7"/>
  <c r="F6" i="7"/>
  <c r="E6" i="7"/>
  <c r="G6" i="7" s="1"/>
  <c r="O6" i="7" s="1"/>
  <c r="P5" i="7"/>
  <c r="G7" i="8" s="1"/>
  <c r="N5" i="7"/>
  <c r="K5" i="7"/>
  <c r="F5" i="7"/>
  <c r="E5" i="7"/>
  <c r="G5" i="7" s="1"/>
  <c r="O5" i="7" s="1"/>
  <c r="N4" i="7"/>
  <c r="K4" i="7"/>
  <c r="F4" i="7"/>
  <c r="E4" i="7"/>
  <c r="G4" i="7" s="1"/>
  <c r="O4" i="7" s="1"/>
  <c r="N54" i="6"/>
  <c r="K54" i="6"/>
  <c r="F54" i="6"/>
  <c r="G54" i="6" s="1"/>
  <c r="O54" i="6" s="1"/>
  <c r="P53" i="6"/>
  <c r="N53" i="6"/>
  <c r="K53" i="6"/>
  <c r="F53" i="6"/>
  <c r="E53" i="6"/>
  <c r="G53" i="6" s="1"/>
  <c r="O53" i="6" s="1"/>
  <c r="P52" i="6"/>
  <c r="N52" i="6"/>
  <c r="K52" i="6"/>
  <c r="F52" i="6"/>
  <c r="E52" i="6"/>
  <c r="G52" i="6" s="1"/>
  <c r="O52" i="6" s="1"/>
  <c r="P51" i="6"/>
  <c r="N51" i="6"/>
  <c r="K51" i="6"/>
  <c r="F51" i="6"/>
  <c r="E51" i="6"/>
  <c r="G51" i="6" s="1"/>
  <c r="O51" i="6" s="1"/>
  <c r="N49" i="6"/>
  <c r="K49" i="6"/>
  <c r="F49" i="6"/>
  <c r="G49" i="6" s="1"/>
  <c r="O49" i="6" s="1"/>
  <c r="N48" i="6"/>
  <c r="K48" i="6"/>
  <c r="F48" i="6"/>
  <c r="E48" i="6"/>
  <c r="G48" i="6" s="1"/>
  <c r="O48" i="6" s="1"/>
  <c r="N47" i="6"/>
  <c r="K47" i="6"/>
  <c r="F47" i="6"/>
  <c r="E47" i="6"/>
  <c r="G47" i="6" s="1"/>
  <c r="O47" i="6" s="1"/>
  <c r="E74" i="6" s="1"/>
  <c r="F19" i="8" s="1"/>
  <c r="N45" i="6"/>
  <c r="K45" i="6"/>
  <c r="N44" i="6"/>
  <c r="K44" i="6"/>
  <c r="F44" i="6"/>
  <c r="G44" i="6" s="1"/>
  <c r="O44" i="6" s="1"/>
  <c r="N43" i="6"/>
  <c r="K43" i="6"/>
  <c r="F43" i="6"/>
  <c r="E43" i="6"/>
  <c r="G43" i="6" s="1"/>
  <c r="O43" i="6" s="1"/>
  <c r="P42" i="6"/>
  <c r="N42" i="6"/>
  <c r="K42" i="6"/>
  <c r="F42" i="6"/>
  <c r="E42" i="6"/>
  <c r="G42" i="6" s="1"/>
  <c r="O42" i="6" s="1"/>
  <c r="N41" i="6"/>
  <c r="K41" i="6"/>
  <c r="F41" i="6"/>
  <c r="E41" i="6"/>
  <c r="G41" i="6" s="1"/>
  <c r="O41" i="6" s="1"/>
  <c r="N39" i="6"/>
  <c r="K39" i="6"/>
  <c r="F39" i="6"/>
  <c r="G39" i="6" s="1"/>
  <c r="O39" i="6" s="1"/>
  <c r="N38" i="6"/>
  <c r="K38" i="6"/>
  <c r="F38" i="6"/>
  <c r="E38" i="6"/>
  <c r="G38" i="6" s="1"/>
  <c r="O38" i="6" s="1"/>
  <c r="N37" i="6"/>
  <c r="K37" i="6"/>
  <c r="F37" i="6"/>
  <c r="E37" i="6"/>
  <c r="G37" i="6" s="1"/>
  <c r="O37" i="6" s="1"/>
  <c r="E73" i="6" s="1"/>
  <c r="E19" i="8" s="1"/>
  <c r="N35" i="6"/>
  <c r="K35" i="6"/>
  <c r="N34" i="6"/>
  <c r="K34" i="6"/>
  <c r="F34" i="6"/>
  <c r="G34" i="6" s="1"/>
  <c r="O34" i="6" s="1"/>
  <c r="N33" i="6"/>
  <c r="K33" i="6"/>
  <c r="F33" i="6"/>
  <c r="E33" i="6"/>
  <c r="G33" i="6" s="1"/>
  <c r="O33" i="6" s="1"/>
  <c r="N32" i="6"/>
  <c r="K32" i="6"/>
  <c r="F32" i="6"/>
  <c r="E32" i="6"/>
  <c r="G32" i="6" s="1"/>
  <c r="O32" i="6" s="1"/>
  <c r="N31" i="6"/>
  <c r="K31" i="6"/>
  <c r="F31" i="6"/>
  <c r="E31" i="6"/>
  <c r="G31" i="6" s="1"/>
  <c r="O31" i="6" s="1"/>
  <c r="N29" i="6"/>
  <c r="K29" i="6"/>
  <c r="F29" i="6"/>
  <c r="G29" i="6" s="1"/>
  <c r="O29" i="6" s="1"/>
  <c r="N28" i="6"/>
  <c r="K28" i="6"/>
  <c r="F28" i="6"/>
  <c r="E28" i="6"/>
  <c r="G28" i="6" s="1"/>
  <c r="O28" i="6" s="1"/>
  <c r="N27" i="6"/>
  <c r="K27" i="6"/>
  <c r="F27" i="6"/>
  <c r="E27" i="6"/>
  <c r="G27" i="6" s="1"/>
  <c r="O27" i="6" s="1"/>
  <c r="P26" i="6"/>
  <c r="N26" i="6"/>
  <c r="K26" i="6"/>
  <c r="F26" i="6"/>
  <c r="E26" i="6"/>
  <c r="G26" i="6" s="1"/>
  <c r="O26" i="6" s="1"/>
  <c r="E72" i="6" s="1"/>
  <c r="D19" i="8" s="1"/>
  <c r="N24" i="6"/>
  <c r="K24" i="6"/>
  <c r="N23" i="6"/>
  <c r="K23" i="6"/>
  <c r="F23" i="6"/>
  <c r="G23" i="6" s="1"/>
  <c r="O23" i="6" s="1"/>
  <c r="P22" i="6"/>
  <c r="N22" i="6"/>
  <c r="K22" i="6"/>
  <c r="F22" i="6"/>
  <c r="G22" i="6" s="1"/>
  <c r="O22" i="6" s="1"/>
  <c r="N21" i="6"/>
  <c r="K21" i="6"/>
  <c r="F21" i="6"/>
  <c r="E21" i="6"/>
  <c r="G21" i="6" s="1"/>
  <c r="O21" i="6" s="1"/>
  <c r="P20" i="6"/>
  <c r="N20" i="6"/>
  <c r="K20" i="6"/>
  <c r="F20" i="6"/>
  <c r="E20" i="6"/>
  <c r="G20" i="6" s="1"/>
  <c r="O20" i="6" s="1"/>
  <c r="N18" i="6"/>
  <c r="K18" i="6"/>
  <c r="F18" i="6"/>
  <c r="G18" i="6" s="1"/>
  <c r="O18" i="6" s="1"/>
  <c r="N17" i="6"/>
  <c r="K17" i="6"/>
  <c r="F17" i="6"/>
  <c r="E17" i="6"/>
  <c r="G17" i="6" s="1"/>
  <c r="O17" i="6" s="1"/>
  <c r="N16" i="6"/>
  <c r="K16" i="6"/>
  <c r="F16" i="6"/>
  <c r="E16" i="6"/>
  <c r="G16" i="6" s="1"/>
  <c r="O16" i="6" s="1"/>
  <c r="N15" i="6"/>
  <c r="K15" i="6"/>
  <c r="F15" i="6"/>
  <c r="E15" i="6"/>
  <c r="G15" i="6" s="1"/>
  <c r="O15" i="6" s="1"/>
  <c r="E71" i="6" s="1"/>
  <c r="C19" i="8" s="1"/>
  <c r="N13" i="6"/>
  <c r="K13" i="6"/>
  <c r="N12" i="6"/>
  <c r="K12" i="6"/>
  <c r="F12" i="6"/>
  <c r="G12" i="6" s="1"/>
  <c r="O12" i="6" s="1"/>
  <c r="N11" i="6"/>
  <c r="K11" i="6"/>
  <c r="F11" i="6"/>
  <c r="E11" i="6"/>
  <c r="G11" i="6" s="1"/>
  <c r="O11" i="6" s="1"/>
  <c r="N10" i="6"/>
  <c r="K10" i="6"/>
  <c r="F10" i="6"/>
  <c r="E10" i="6"/>
  <c r="G10" i="6" s="1"/>
  <c r="O10" i="6" s="1"/>
  <c r="P9" i="6"/>
  <c r="N9" i="6"/>
  <c r="K9" i="6"/>
  <c r="F9" i="6"/>
  <c r="E9" i="6"/>
  <c r="G9" i="6" s="1"/>
  <c r="O9" i="6" s="1"/>
  <c r="N7" i="6"/>
  <c r="K7" i="6"/>
  <c r="F7" i="6"/>
  <c r="G7" i="6" s="1"/>
  <c r="O7" i="6" s="1"/>
  <c r="N6" i="6"/>
  <c r="K6" i="6"/>
  <c r="F6" i="6"/>
  <c r="E6" i="6"/>
  <c r="G6" i="6" s="1"/>
  <c r="O6" i="6" s="1"/>
  <c r="P5" i="6"/>
  <c r="G6" i="8" s="1"/>
  <c r="N5" i="6"/>
  <c r="K5" i="6"/>
  <c r="F5" i="6"/>
  <c r="E5" i="6"/>
  <c r="G5" i="6" s="1"/>
  <c r="O5" i="6" s="1"/>
  <c r="N4" i="6"/>
  <c r="K4" i="6"/>
  <c r="F4" i="6"/>
  <c r="E4" i="6"/>
  <c r="G4" i="6" s="1"/>
  <c r="O4" i="6" s="1"/>
  <c r="N103" i="5"/>
  <c r="K103" i="5"/>
  <c r="F103" i="5"/>
  <c r="G103" i="5" s="1"/>
  <c r="O103" i="5" s="1"/>
  <c r="P102" i="5"/>
  <c r="N102" i="5"/>
  <c r="K102" i="5"/>
  <c r="F102" i="5"/>
  <c r="G102" i="5" s="1"/>
  <c r="O102" i="5" s="1"/>
  <c r="K101" i="5"/>
  <c r="L101" i="5" s="1"/>
  <c r="N101" i="5" s="1"/>
  <c r="F101" i="5"/>
  <c r="E101" i="5"/>
  <c r="G101" i="5" s="1"/>
  <c r="K100" i="5"/>
  <c r="L100" i="5" s="1"/>
  <c r="N100" i="5" s="1"/>
  <c r="F100" i="5"/>
  <c r="E100" i="5"/>
  <c r="G100" i="5" s="1"/>
  <c r="N98" i="5"/>
  <c r="K98" i="5"/>
  <c r="F98" i="5"/>
  <c r="G98" i="5" s="1"/>
  <c r="O98" i="5" s="1"/>
  <c r="P97" i="5"/>
  <c r="K97" i="5"/>
  <c r="L97" i="5" s="1"/>
  <c r="N97" i="5" s="1"/>
  <c r="F97" i="5"/>
  <c r="E97" i="5"/>
  <c r="G97" i="5" s="1"/>
  <c r="K96" i="5"/>
  <c r="L96" i="5" s="1"/>
  <c r="N96" i="5" s="1"/>
  <c r="F96" i="5"/>
  <c r="E96" i="5"/>
  <c r="G96" i="5" s="1"/>
  <c r="K95" i="5"/>
  <c r="L95" i="5" s="1"/>
  <c r="N95" i="5" s="1"/>
  <c r="F95" i="5"/>
  <c r="E95" i="5"/>
  <c r="G95" i="5" s="1"/>
  <c r="N93" i="5"/>
  <c r="K93" i="5"/>
  <c r="F93" i="5"/>
  <c r="G93" i="5" s="1"/>
  <c r="O93" i="5" s="1"/>
  <c r="P92" i="5"/>
  <c r="K92" i="5"/>
  <c r="L92" i="5" s="1"/>
  <c r="N92" i="5" s="1"/>
  <c r="F92" i="5"/>
  <c r="E92" i="5"/>
  <c r="G92" i="5" s="1"/>
  <c r="K91" i="5"/>
  <c r="L91" i="5" s="1"/>
  <c r="N91" i="5" s="1"/>
  <c r="F91" i="5"/>
  <c r="E91" i="5"/>
  <c r="G91" i="5" s="1"/>
  <c r="K90" i="5"/>
  <c r="L90" i="5" s="1"/>
  <c r="N90" i="5" s="1"/>
  <c r="F90" i="5"/>
  <c r="E90" i="5"/>
  <c r="G90" i="5" s="1"/>
  <c r="N88" i="5"/>
  <c r="K88" i="5"/>
  <c r="F88" i="5"/>
  <c r="G88" i="5" s="1"/>
  <c r="O88" i="5" s="1"/>
  <c r="P87" i="5"/>
  <c r="K87" i="5"/>
  <c r="L87" i="5" s="1"/>
  <c r="N87" i="5" s="1"/>
  <c r="F87" i="5"/>
  <c r="E87" i="5"/>
  <c r="G87" i="5" s="1"/>
  <c r="K86" i="5"/>
  <c r="L86" i="5" s="1"/>
  <c r="N86" i="5" s="1"/>
  <c r="F86" i="5"/>
  <c r="E86" i="5"/>
  <c r="G86" i="5" s="1"/>
  <c r="K85" i="5"/>
  <c r="L85" i="5" s="1"/>
  <c r="N85" i="5" s="1"/>
  <c r="F85" i="5"/>
  <c r="E85" i="5"/>
  <c r="G85" i="5" s="1"/>
  <c r="N83" i="5"/>
  <c r="K83" i="5"/>
  <c r="N82" i="5"/>
  <c r="K82" i="5"/>
  <c r="F82" i="5"/>
  <c r="G82" i="5" s="1"/>
  <c r="O82" i="5" s="1"/>
  <c r="P81" i="5"/>
  <c r="N81" i="5"/>
  <c r="K81" i="5"/>
  <c r="F81" i="5"/>
  <c r="G81" i="5" s="1"/>
  <c r="O81" i="5" s="1"/>
  <c r="K80" i="5"/>
  <c r="L80" i="5" s="1"/>
  <c r="N80" i="5" s="1"/>
  <c r="F80" i="5"/>
  <c r="E80" i="5"/>
  <c r="G80" i="5" s="1"/>
  <c r="K79" i="5"/>
  <c r="L79" i="5" s="1"/>
  <c r="N79" i="5" s="1"/>
  <c r="F79" i="5"/>
  <c r="E79" i="5"/>
  <c r="G79" i="5" s="1"/>
  <c r="N77" i="5"/>
  <c r="K77" i="5"/>
  <c r="F77" i="5"/>
  <c r="G77" i="5" s="1"/>
  <c r="O77" i="5" s="1"/>
  <c r="P76" i="5"/>
  <c r="K76" i="5"/>
  <c r="L76" i="5" s="1"/>
  <c r="N76" i="5" s="1"/>
  <c r="F76" i="5"/>
  <c r="E76" i="5"/>
  <c r="G76" i="5" s="1"/>
  <c r="P75" i="5"/>
  <c r="K75" i="5"/>
  <c r="L75" i="5" s="1"/>
  <c r="N75" i="5" s="1"/>
  <c r="F75" i="5"/>
  <c r="E75" i="5"/>
  <c r="G75" i="5" s="1"/>
  <c r="K74" i="5"/>
  <c r="L74" i="5" s="1"/>
  <c r="N74" i="5" s="1"/>
  <c r="F74" i="5"/>
  <c r="E74" i="5"/>
  <c r="G74" i="5" s="1"/>
  <c r="N72" i="5"/>
  <c r="K72" i="5"/>
  <c r="F72" i="5"/>
  <c r="G72" i="5" s="1"/>
  <c r="O72" i="5" s="1"/>
  <c r="K71" i="5"/>
  <c r="L71" i="5" s="1"/>
  <c r="N71" i="5" s="1"/>
  <c r="F71" i="5"/>
  <c r="E71" i="5"/>
  <c r="G71" i="5" s="1"/>
  <c r="P70" i="5"/>
  <c r="K70" i="5"/>
  <c r="L70" i="5" s="1"/>
  <c r="N70" i="5" s="1"/>
  <c r="F70" i="5"/>
  <c r="E70" i="5"/>
  <c r="G70" i="5" s="1"/>
  <c r="P69" i="5"/>
  <c r="K69" i="5"/>
  <c r="L69" i="5" s="1"/>
  <c r="N69" i="5" s="1"/>
  <c r="F69" i="5"/>
  <c r="E69" i="5"/>
  <c r="G69" i="5" s="1"/>
  <c r="N67" i="5"/>
  <c r="K67" i="5"/>
  <c r="F67" i="5"/>
  <c r="G67" i="5" s="1"/>
  <c r="O67" i="5" s="1"/>
  <c r="K66" i="5"/>
  <c r="L66" i="5" s="1"/>
  <c r="N66" i="5" s="1"/>
  <c r="F66" i="5"/>
  <c r="E66" i="5"/>
  <c r="G66" i="5" s="1"/>
  <c r="P65" i="5"/>
  <c r="K65" i="5"/>
  <c r="L65" i="5" s="1"/>
  <c r="N65" i="5" s="1"/>
  <c r="F65" i="5"/>
  <c r="E65" i="5"/>
  <c r="G65" i="5" s="1"/>
  <c r="K64" i="5"/>
  <c r="L64" i="5" s="1"/>
  <c r="N64" i="5" s="1"/>
  <c r="F64" i="5"/>
  <c r="E64" i="5"/>
  <c r="G64" i="5" s="1"/>
  <c r="N62" i="5"/>
  <c r="K62" i="5"/>
  <c r="N61" i="5"/>
  <c r="K61" i="5"/>
  <c r="F61" i="5"/>
  <c r="G61" i="5" s="1"/>
  <c r="O61" i="5" s="1"/>
  <c r="K60" i="5"/>
  <c r="L60" i="5" s="1"/>
  <c r="N60" i="5" s="1"/>
  <c r="F60" i="5"/>
  <c r="E60" i="5"/>
  <c r="G60" i="5" s="1"/>
  <c r="P59" i="5"/>
  <c r="K59" i="5"/>
  <c r="L59" i="5" s="1"/>
  <c r="N59" i="5" s="1"/>
  <c r="F59" i="5"/>
  <c r="E59" i="5"/>
  <c r="G59" i="5" s="1"/>
  <c r="P58" i="5"/>
  <c r="K58" i="5"/>
  <c r="L58" i="5" s="1"/>
  <c r="N58" i="5" s="1"/>
  <c r="F58" i="5"/>
  <c r="E58" i="5"/>
  <c r="G58" i="5" s="1"/>
  <c r="N56" i="5"/>
  <c r="K56" i="5"/>
  <c r="F56" i="5"/>
  <c r="G56" i="5" s="1"/>
  <c r="O56" i="5" s="1"/>
  <c r="K55" i="5"/>
  <c r="L55" i="5" s="1"/>
  <c r="N55" i="5" s="1"/>
  <c r="F55" i="5"/>
  <c r="E55" i="5"/>
  <c r="G55" i="5" s="1"/>
  <c r="P54" i="5"/>
  <c r="K54" i="5"/>
  <c r="L54" i="5" s="1"/>
  <c r="N54" i="5" s="1"/>
  <c r="F54" i="5"/>
  <c r="E54" i="5"/>
  <c r="G54" i="5" s="1"/>
  <c r="N52" i="5"/>
  <c r="K52" i="5"/>
  <c r="F52" i="5"/>
  <c r="G52" i="5" s="1"/>
  <c r="O52" i="5" s="1"/>
  <c r="K51" i="5"/>
  <c r="L51" i="5" s="1"/>
  <c r="N51" i="5" s="1"/>
  <c r="F51" i="5"/>
  <c r="E51" i="5"/>
  <c r="G51" i="5" s="1"/>
  <c r="K50" i="5"/>
  <c r="L50" i="5" s="1"/>
  <c r="N50" i="5" s="1"/>
  <c r="F50" i="5"/>
  <c r="E50" i="5"/>
  <c r="G50" i="5" s="1"/>
  <c r="K49" i="5"/>
  <c r="L49" i="5" s="1"/>
  <c r="N49" i="5" s="1"/>
  <c r="F49" i="5"/>
  <c r="E49" i="5"/>
  <c r="G49" i="5" s="1"/>
  <c r="N47" i="5"/>
  <c r="K47" i="5"/>
  <c r="F47" i="5"/>
  <c r="G47" i="5" s="1"/>
  <c r="O47" i="5" s="1"/>
  <c r="P46" i="5"/>
  <c r="K46" i="5"/>
  <c r="L46" i="5" s="1"/>
  <c r="N46" i="5" s="1"/>
  <c r="F46" i="5"/>
  <c r="E46" i="5"/>
  <c r="G46" i="5" s="1"/>
  <c r="K45" i="5"/>
  <c r="L45" i="5" s="1"/>
  <c r="N45" i="5" s="1"/>
  <c r="F45" i="5"/>
  <c r="E45" i="5"/>
  <c r="G45" i="5" s="1"/>
  <c r="P44" i="5"/>
  <c r="K44" i="5"/>
  <c r="L44" i="5" s="1"/>
  <c r="N44" i="5" s="1"/>
  <c r="F44" i="5"/>
  <c r="E44" i="5"/>
  <c r="G44" i="5" s="1"/>
  <c r="N42" i="5"/>
  <c r="K42" i="5"/>
  <c r="N41" i="5"/>
  <c r="K41" i="5"/>
  <c r="F41" i="5"/>
  <c r="G41" i="5" s="1"/>
  <c r="O41" i="5" s="1"/>
  <c r="P40" i="5"/>
  <c r="K40" i="5"/>
  <c r="L40" i="5" s="1"/>
  <c r="N40" i="5" s="1"/>
  <c r="F40" i="5"/>
  <c r="E40" i="5"/>
  <c r="G40" i="5" s="1"/>
  <c r="K39" i="5"/>
  <c r="L39" i="5" s="1"/>
  <c r="N39" i="5" s="1"/>
  <c r="F39" i="5"/>
  <c r="E39" i="5"/>
  <c r="G39" i="5" s="1"/>
  <c r="N37" i="5"/>
  <c r="K37" i="5"/>
  <c r="F37" i="5"/>
  <c r="G37" i="5" s="1"/>
  <c r="O37" i="5" s="1"/>
  <c r="K36" i="5"/>
  <c r="L36" i="5" s="1"/>
  <c r="N36" i="5" s="1"/>
  <c r="F36" i="5"/>
  <c r="E36" i="5"/>
  <c r="G36" i="5" s="1"/>
  <c r="P35" i="5"/>
  <c r="K35" i="5"/>
  <c r="L35" i="5" s="1"/>
  <c r="N35" i="5" s="1"/>
  <c r="F35" i="5"/>
  <c r="E35" i="5"/>
  <c r="G35" i="5" s="1"/>
  <c r="P34" i="5"/>
  <c r="K34" i="5"/>
  <c r="L34" i="5" s="1"/>
  <c r="N34" i="5" s="1"/>
  <c r="F34" i="5"/>
  <c r="E34" i="5"/>
  <c r="G34" i="5" s="1"/>
  <c r="N32" i="5"/>
  <c r="K32" i="5"/>
  <c r="F32" i="5"/>
  <c r="G32" i="5" s="1"/>
  <c r="O32" i="5" s="1"/>
  <c r="P31" i="5"/>
  <c r="K31" i="5"/>
  <c r="L31" i="5" s="1"/>
  <c r="N31" i="5" s="1"/>
  <c r="F31" i="5"/>
  <c r="E31" i="5"/>
  <c r="G31" i="5" s="1"/>
  <c r="K30" i="5"/>
  <c r="L30" i="5" s="1"/>
  <c r="N30" i="5" s="1"/>
  <c r="F30" i="5"/>
  <c r="E30" i="5"/>
  <c r="G30" i="5" s="1"/>
  <c r="K29" i="5"/>
  <c r="L29" i="5" s="1"/>
  <c r="N29" i="5" s="1"/>
  <c r="F29" i="5"/>
  <c r="E29" i="5"/>
  <c r="G29" i="5" s="1"/>
  <c r="N27" i="5"/>
  <c r="K27" i="5"/>
  <c r="N26" i="5"/>
  <c r="K26" i="5"/>
  <c r="F26" i="5"/>
  <c r="G26" i="5" s="1"/>
  <c r="O26" i="5" s="1"/>
  <c r="P25" i="5"/>
  <c r="K25" i="5"/>
  <c r="L25" i="5" s="1"/>
  <c r="N25" i="5" s="1"/>
  <c r="F25" i="5"/>
  <c r="E25" i="5"/>
  <c r="G25" i="5" s="1"/>
  <c r="P24" i="5"/>
  <c r="K24" i="5"/>
  <c r="L24" i="5" s="1"/>
  <c r="N24" i="5" s="1"/>
  <c r="F24" i="5"/>
  <c r="E24" i="5"/>
  <c r="G24" i="5" s="1"/>
  <c r="K23" i="5"/>
  <c r="L23" i="5" s="1"/>
  <c r="N23" i="5" s="1"/>
  <c r="F23" i="5"/>
  <c r="E23" i="5"/>
  <c r="G23" i="5" s="1"/>
  <c r="N21" i="5"/>
  <c r="K21" i="5"/>
  <c r="F21" i="5"/>
  <c r="G21" i="5" s="1"/>
  <c r="O21" i="5" s="1"/>
  <c r="P20" i="5"/>
  <c r="K20" i="5"/>
  <c r="L20" i="5" s="1"/>
  <c r="N20" i="5" s="1"/>
  <c r="F20" i="5"/>
  <c r="E20" i="5"/>
  <c r="G20" i="5" s="1"/>
  <c r="K19" i="5"/>
  <c r="L19" i="5" s="1"/>
  <c r="N19" i="5" s="1"/>
  <c r="F19" i="5"/>
  <c r="E19" i="5"/>
  <c r="G19" i="5" s="1"/>
  <c r="K18" i="5"/>
  <c r="L18" i="5" s="1"/>
  <c r="N18" i="5" s="1"/>
  <c r="F18" i="5"/>
  <c r="E18" i="5"/>
  <c r="G18" i="5" s="1"/>
  <c r="K17" i="5"/>
  <c r="L17" i="5" s="1"/>
  <c r="N17" i="5" s="1"/>
  <c r="F17" i="5"/>
  <c r="E17" i="5"/>
  <c r="G17" i="5" s="1"/>
  <c r="N15" i="5"/>
  <c r="K15" i="5"/>
  <c r="F15" i="5"/>
  <c r="G15" i="5" s="1"/>
  <c r="O15" i="5" s="1"/>
  <c r="K14" i="5"/>
  <c r="L14" i="5" s="1"/>
  <c r="N14" i="5" s="1"/>
  <c r="F14" i="5"/>
  <c r="E14" i="5"/>
  <c r="G14" i="5" s="1"/>
  <c r="K13" i="5"/>
  <c r="L13" i="5" s="1"/>
  <c r="N13" i="5" s="1"/>
  <c r="F13" i="5"/>
  <c r="E13" i="5"/>
  <c r="G13" i="5" s="1"/>
  <c r="P12" i="5"/>
  <c r="K12" i="5"/>
  <c r="L12" i="5" s="1"/>
  <c r="N12" i="5" s="1"/>
  <c r="F12" i="5"/>
  <c r="E12" i="5"/>
  <c r="G12" i="5" s="1"/>
  <c r="K11" i="5"/>
  <c r="L11" i="5" s="1"/>
  <c r="N11" i="5" s="1"/>
  <c r="F11" i="5"/>
  <c r="E11" i="5"/>
  <c r="G11" i="5" s="1"/>
  <c r="N9" i="5"/>
  <c r="K9" i="5"/>
  <c r="F9" i="5"/>
  <c r="G9" i="5" s="1"/>
  <c r="O9" i="5" s="1"/>
  <c r="P8" i="5"/>
  <c r="K8" i="5"/>
  <c r="L8" i="5" s="1"/>
  <c r="N8" i="5" s="1"/>
  <c r="F8" i="5"/>
  <c r="E8" i="5"/>
  <c r="G8" i="5" s="1"/>
  <c r="P7" i="5"/>
  <c r="K7" i="5"/>
  <c r="L7" i="5" s="1"/>
  <c r="N7" i="5" s="1"/>
  <c r="F7" i="5"/>
  <c r="E7" i="5"/>
  <c r="G7" i="5" s="1"/>
  <c r="K6" i="5"/>
  <c r="L6" i="5" s="1"/>
  <c r="N6" i="5" s="1"/>
  <c r="F6" i="5"/>
  <c r="E6" i="5"/>
  <c r="G6" i="5" s="1"/>
  <c r="K5" i="5"/>
  <c r="L5" i="5" s="1"/>
  <c r="N5" i="5" s="1"/>
  <c r="F5" i="5"/>
  <c r="E5" i="5"/>
  <c r="G5" i="5" s="1"/>
  <c r="P4" i="5"/>
  <c r="G5" i="8" s="1"/>
  <c r="K4" i="5"/>
  <c r="L4" i="5" s="1"/>
  <c r="N4" i="5" s="1"/>
  <c r="F4" i="5"/>
  <c r="E4" i="5"/>
  <c r="G4" i="5" s="1"/>
  <c r="O4" i="5" s="1"/>
  <c r="K56" i="4"/>
  <c r="L56" i="4" s="1"/>
  <c r="N56" i="4" s="1"/>
  <c r="F56" i="4"/>
  <c r="G56" i="4" s="1"/>
  <c r="K55" i="4"/>
  <c r="L55" i="4" s="1"/>
  <c r="N55" i="4" s="1"/>
  <c r="F55" i="4"/>
  <c r="E55" i="4"/>
  <c r="G55" i="4" s="1"/>
  <c r="K54" i="4"/>
  <c r="L54" i="4" s="1"/>
  <c r="N54" i="4" s="1"/>
  <c r="F54" i="4"/>
  <c r="E54" i="4"/>
  <c r="G54" i="4" s="1"/>
  <c r="P53" i="4"/>
  <c r="K53" i="4"/>
  <c r="L53" i="4" s="1"/>
  <c r="N53" i="4" s="1"/>
  <c r="F53" i="4"/>
  <c r="E53" i="4"/>
  <c r="G53" i="4" s="1"/>
  <c r="K51" i="4"/>
  <c r="L51" i="4" s="1"/>
  <c r="N51" i="4" s="1"/>
  <c r="F51" i="4"/>
  <c r="G51" i="4" s="1"/>
  <c r="K50" i="4"/>
  <c r="L50" i="4" s="1"/>
  <c r="N50" i="4" s="1"/>
  <c r="F50" i="4"/>
  <c r="E50" i="4"/>
  <c r="G50" i="4" s="1"/>
  <c r="K49" i="4"/>
  <c r="L49" i="4" s="1"/>
  <c r="N49" i="4" s="1"/>
  <c r="F49" i="4"/>
  <c r="E49" i="4"/>
  <c r="G49" i="4" s="1"/>
  <c r="K48" i="4"/>
  <c r="L48" i="4" s="1"/>
  <c r="N48" i="4" s="1"/>
  <c r="F48" i="4"/>
  <c r="E48" i="4"/>
  <c r="G48" i="4" s="1"/>
  <c r="N46" i="4"/>
  <c r="K46" i="4"/>
  <c r="K45" i="4"/>
  <c r="L45" i="4" s="1"/>
  <c r="N45" i="4" s="1"/>
  <c r="F45" i="4"/>
  <c r="G45" i="4" s="1"/>
  <c r="K44" i="4"/>
  <c r="L44" i="4" s="1"/>
  <c r="N44" i="4" s="1"/>
  <c r="F44" i="4"/>
  <c r="E44" i="4"/>
  <c r="G44" i="4" s="1"/>
  <c r="K43" i="4"/>
  <c r="L43" i="4" s="1"/>
  <c r="N43" i="4" s="1"/>
  <c r="F43" i="4"/>
  <c r="E43" i="4"/>
  <c r="G43" i="4" s="1"/>
  <c r="K42" i="4"/>
  <c r="L42" i="4" s="1"/>
  <c r="N42" i="4" s="1"/>
  <c r="F42" i="4"/>
  <c r="E42" i="4"/>
  <c r="G42" i="4" s="1"/>
  <c r="K40" i="4"/>
  <c r="L40" i="4" s="1"/>
  <c r="N40" i="4" s="1"/>
  <c r="F40" i="4"/>
  <c r="G40" i="4" s="1"/>
  <c r="K39" i="4"/>
  <c r="L39" i="4" s="1"/>
  <c r="N39" i="4" s="1"/>
  <c r="F39" i="4"/>
  <c r="E39" i="4"/>
  <c r="G39" i="4" s="1"/>
  <c r="O39" i="4" s="1"/>
  <c r="K38" i="4"/>
  <c r="L38" i="4" s="1"/>
  <c r="N38" i="4" s="1"/>
  <c r="F38" i="4"/>
  <c r="E38" i="4"/>
  <c r="G38" i="4" s="1"/>
  <c r="K37" i="4"/>
  <c r="L37" i="4" s="1"/>
  <c r="N37" i="4" s="1"/>
  <c r="F37" i="4"/>
  <c r="E37" i="4"/>
  <c r="G37" i="4" s="1"/>
  <c r="N35" i="4"/>
  <c r="K35" i="4"/>
  <c r="K34" i="4"/>
  <c r="L34" i="4" s="1"/>
  <c r="N34" i="4" s="1"/>
  <c r="F34" i="4"/>
  <c r="G34" i="4" s="1"/>
  <c r="P33" i="4"/>
  <c r="K33" i="4"/>
  <c r="L33" i="4" s="1"/>
  <c r="N33" i="4" s="1"/>
  <c r="F33" i="4"/>
  <c r="E33" i="4"/>
  <c r="G33" i="4" s="1"/>
  <c r="K32" i="4"/>
  <c r="L32" i="4" s="1"/>
  <c r="N32" i="4" s="1"/>
  <c r="F32" i="4"/>
  <c r="E32" i="4"/>
  <c r="G32" i="4" s="1"/>
  <c r="P31" i="4"/>
  <c r="K31" i="4"/>
  <c r="L31" i="4" s="1"/>
  <c r="N31" i="4" s="1"/>
  <c r="F31" i="4"/>
  <c r="E31" i="4"/>
  <c r="G31" i="4" s="1"/>
  <c r="K29" i="4"/>
  <c r="L29" i="4" s="1"/>
  <c r="N29" i="4" s="1"/>
  <c r="F29" i="4"/>
  <c r="G29" i="4" s="1"/>
  <c r="P28" i="4"/>
  <c r="K28" i="4"/>
  <c r="L28" i="4" s="1"/>
  <c r="N28" i="4" s="1"/>
  <c r="F28" i="4"/>
  <c r="E28" i="4"/>
  <c r="G28" i="4" s="1"/>
  <c r="P27" i="4"/>
  <c r="K27" i="4"/>
  <c r="L27" i="4" s="1"/>
  <c r="N27" i="4" s="1"/>
  <c r="F27" i="4"/>
  <c r="E27" i="4"/>
  <c r="G27" i="4" s="1"/>
  <c r="P26" i="4"/>
  <c r="K26" i="4"/>
  <c r="L26" i="4" s="1"/>
  <c r="N26" i="4" s="1"/>
  <c r="F26" i="4"/>
  <c r="E26" i="4"/>
  <c r="G26" i="4" s="1"/>
  <c r="N24" i="4"/>
  <c r="K24" i="4"/>
  <c r="K23" i="4"/>
  <c r="L23" i="4" s="1"/>
  <c r="N23" i="4" s="1"/>
  <c r="F23" i="4"/>
  <c r="G23" i="4" s="1"/>
  <c r="K22" i="4"/>
  <c r="L22" i="4" s="1"/>
  <c r="N22" i="4" s="1"/>
  <c r="F22" i="4"/>
  <c r="E22" i="4"/>
  <c r="G22" i="4" s="1"/>
  <c r="P21" i="4"/>
  <c r="K21" i="4"/>
  <c r="L21" i="4" s="1"/>
  <c r="N21" i="4" s="1"/>
  <c r="F21" i="4"/>
  <c r="E21" i="4"/>
  <c r="G21" i="4" s="1"/>
  <c r="P20" i="4"/>
  <c r="K20" i="4"/>
  <c r="L20" i="4" s="1"/>
  <c r="N20" i="4" s="1"/>
  <c r="F20" i="4"/>
  <c r="E20" i="4"/>
  <c r="G20" i="4" s="1"/>
  <c r="K18" i="4"/>
  <c r="L18" i="4" s="1"/>
  <c r="N18" i="4" s="1"/>
  <c r="F18" i="4"/>
  <c r="G18" i="4" s="1"/>
  <c r="P17" i="4"/>
  <c r="K17" i="4"/>
  <c r="L17" i="4" s="1"/>
  <c r="N17" i="4" s="1"/>
  <c r="F17" i="4"/>
  <c r="E17" i="4"/>
  <c r="G17" i="4" s="1"/>
  <c r="P16" i="4"/>
  <c r="K16" i="4"/>
  <c r="L16" i="4" s="1"/>
  <c r="N16" i="4" s="1"/>
  <c r="F16" i="4"/>
  <c r="E16" i="4"/>
  <c r="G16" i="4" s="1"/>
  <c r="P15" i="4"/>
  <c r="K15" i="4"/>
  <c r="L15" i="4" s="1"/>
  <c r="N15" i="4" s="1"/>
  <c r="F15" i="4"/>
  <c r="E15" i="4"/>
  <c r="G15" i="4" s="1"/>
  <c r="N13" i="4"/>
  <c r="K13" i="4"/>
  <c r="K12" i="4"/>
  <c r="L12" i="4" s="1"/>
  <c r="N12" i="4" s="1"/>
  <c r="F12" i="4"/>
  <c r="G12" i="4" s="1"/>
  <c r="P11" i="4"/>
  <c r="K11" i="4"/>
  <c r="L11" i="4" s="1"/>
  <c r="N11" i="4" s="1"/>
  <c r="F11" i="4"/>
  <c r="E11" i="4"/>
  <c r="G11" i="4" s="1"/>
  <c r="K10" i="4"/>
  <c r="L10" i="4" s="1"/>
  <c r="N10" i="4" s="1"/>
  <c r="F10" i="4"/>
  <c r="E10" i="4"/>
  <c r="G10" i="4" s="1"/>
  <c r="K9" i="4"/>
  <c r="L9" i="4" s="1"/>
  <c r="N9" i="4" s="1"/>
  <c r="F9" i="4"/>
  <c r="E9" i="4"/>
  <c r="G9" i="4" s="1"/>
  <c r="K7" i="4"/>
  <c r="L7" i="4" s="1"/>
  <c r="N7" i="4" s="1"/>
  <c r="F7" i="4"/>
  <c r="G7" i="4" s="1"/>
  <c r="K6" i="4"/>
  <c r="L6" i="4" s="1"/>
  <c r="N6" i="4" s="1"/>
  <c r="F6" i="4"/>
  <c r="E6" i="4"/>
  <c r="G6" i="4" s="1"/>
  <c r="P5" i="4"/>
  <c r="K5" i="4"/>
  <c r="L5" i="4" s="1"/>
  <c r="N5" i="4" s="1"/>
  <c r="F5" i="4"/>
  <c r="E5" i="4"/>
  <c r="G5" i="4" s="1"/>
  <c r="P4" i="4"/>
  <c r="G4" i="8" s="1"/>
  <c r="K4" i="4"/>
  <c r="L4" i="4" s="1"/>
  <c r="N4" i="4" s="1"/>
  <c r="F4" i="4"/>
  <c r="E4" i="4"/>
  <c r="G4" i="4" s="1"/>
  <c r="K62" i="3"/>
  <c r="L62" i="3" s="1"/>
  <c r="N62" i="3" s="1"/>
  <c r="F62" i="3"/>
  <c r="G62" i="3" s="1"/>
  <c r="K61" i="3"/>
  <c r="L61" i="3" s="1"/>
  <c r="N61" i="3" s="1"/>
  <c r="F61" i="3"/>
  <c r="E61" i="3"/>
  <c r="G61" i="3" s="1"/>
  <c r="P60" i="3"/>
  <c r="K60" i="3"/>
  <c r="L60" i="3" s="1"/>
  <c r="N60" i="3" s="1"/>
  <c r="F60" i="3"/>
  <c r="E60" i="3"/>
  <c r="G60" i="3" s="1"/>
  <c r="K59" i="3"/>
  <c r="L59" i="3" s="1"/>
  <c r="N59" i="3" s="1"/>
  <c r="F59" i="3"/>
  <c r="E59" i="3"/>
  <c r="G59" i="3" s="1"/>
  <c r="P57" i="3"/>
  <c r="K57" i="3"/>
  <c r="L57" i="3" s="1"/>
  <c r="N57" i="3" s="1"/>
  <c r="F57" i="3"/>
  <c r="E57" i="3"/>
  <c r="G57" i="3" s="1"/>
  <c r="P56" i="3"/>
  <c r="K56" i="3"/>
  <c r="L56" i="3" s="1"/>
  <c r="N56" i="3" s="1"/>
  <c r="F56" i="3"/>
  <c r="E56" i="3" a="1"/>
  <c r="E56" i="3"/>
  <c r="G56" i="3" s="1"/>
  <c r="P55" i="3"/>
  <c r="K55" i="3"/>
  <c r="L55" i="3" s="1"/>
  <c r="N55" i="3" s="1"/>
  <c r="F55" i="3"/>
  <c r="E55" i="3" a="1"/>
  <c r="E55" i="3"/>
  <c r="G55" i="3" s="1"/>
  <c r="P54" i="3"/>
  <c r="K54" i="3"/>
  <c r="L54" i="3" s="1"/>
  <c r="N54" i="3" s="1"/>
  <c r="F54" i="3"/>
  <c r="E54" i="3"/>
  <c r="G54" i="3" s="1"/>
  <c r="P52" i="3"/>
  <c r="K52" i="3"/>
  <c r="L52" i="3" s="1"/>
  <c r="N52" i="3" s="1"/>
  <c r="F52" i="3"/>
  <c r="E52" i="3"/>
  <c r="G52" i="3" s="1"/>
  <c r="P51" i="3"/>
  <c r="K51" i="3"/>
  <c r="L51" i="3" s="1"/>
  <c r="N51" i="3" s="1"/>
  <c r="F51" i="3"/>
  <c r="E51" i="3"/>
  <c r="G51" i="3" s="1"/>
  <c r="P50" i="3"/>
  <c r="K50" i="3"/>
  <c r="L50" i="3" s="1"/>
  <c r="N50" i="3" s="1"/>
  <c r="F50" i="3"/>
  <c r="E50" i="3" a="1"/>
  <c r="E50" i="3"/>
  <c r="G50" i="3" s="1"/>
  <c r="P49" i="3"/>
  <c r="K49" i="3"/>
  <c r="L49" i="3" s="1"/>
  <c r="N49" i="3" s="1"/>
  <c r="F49" i="3"/>
  <c r="E49" i="3"/>
  <c r="G49" i="3" s="1"/>
  <c r="P48" i="3"/>
  <c r="K48" i="3"/>
  <c r="L48" i="3" s="1"/>
  <c r="N48" i="3" s="1"/>
  <c r="F48" i="3"/>
  <c r="E48" i="3"/>
  <c r="G48" i="3" s="1"/>
  <c r="P47" i="3"/>
  <c r="K47" i="3"/>
  <c r="L47" i="3" s="1"/>
  <c r="N47" i="3" s="1"/>
  <c r="F47" i="3"/>
  <c r="E47" i="3"/>
  <c r="G47" i="3" s="1"/>
  <c r="K45" i="3"/>
  <c r="L45" i="3" s="1"/>
  <c r="N45" i="3" s="1"/>
  <c r="F45" i="3"/>
  <c r="G45" i="3" s="1"/>
  <c r="K44" i="3"/>
  <c r="L44" i="3" s="1"/>
  <c r="N44" i="3" s="1"/>
  <c r="F44" i="3"/>
  <c r="E44" i="3"/>
  <c r="G44" i="3" s="1"/>
  <c r="K43" i="3"/>
  <c r="L43" i="3" s="1"/>
  <c r="N43" i="3" s="1"/>
  <c r="F43" i="3"/>
  <c r="E43" i="3"/>
  <c r="G43" i="3" s="1"/>
  <c r="K42" i="3"/>
  <c r="L42" i="3" s="1"/>
  <c r="N42" i="3" s="1"/>
  <c r="F42" i="3"/>
  <c r="E42" i="3"/>
  <c r="G42" i="3" s="1"/>
  <c r="K41" i="3"/>
  <c r="L41" i="3" s="1"/>
  <c r="N41" i="3" s="1"/>
  <c r="F41" i="3"/>
  <c r="G41" i="3" s="1"/>
  <c r="N39" i="3"/>
  <c r="K39" i="3"/>
  <c r="K38" i="3"/>
  <c r="L38" i="3" s="1"/>
  <c r="N38" i="3" s="1"/>
  <c r="F38" i="3"/>
  <c r="E38" i="3"/>
  <c r="G38" i="3" s="1"/>
  <c r="K37" i="3"/>
  <c r="L37" i="3" s="1"/>
  <c r="N37" i="3" s="1"/>
  <c r="F37" i="3"/>
  <c r="E37" i="3"/>
  <c r="G37" i="3" s="1"/>
  <c r="K36" i="3"/>
  <c r="L36" i="3" s="1"/>
  <c r="N36" i="3" s="1"/>
  <c r="F36" i="3"/>
  <c r="E36" i="3"/>
  <c r="G36" i="3" s="1"/>
  <c r="K35" i="3"/>
  <c r="L35" i="3" s="1"/>
  <c r="N35" i="3" s="1"/>
  <c r="F35" i="3"/>
  <c r="E35" i="3"/>
  <c r="G35" i="3" s="1"/>
  <c r="P34" i="3"/>
  <c r="K34" i="3"/>
  <c r="L34" i="3" s="1"/>
  <c r="N34" i="3" s="1"/>
  <c r="F34" i="3"/>
  <c r="E34" i="3"/>
  <c r="G34" i="3" s="1"/>
  <c r="K33" i="3"/>
  <c r="L33" i="3" s="1"/>
  <c r="N33" i="3" s="1"/>
  <c r="F33" i="3"/>
  <c r="E33" i="3"/>
  <c r="G33" i="3" s="1"/>
  <c r="K32" i="3"/>
  <c r="L32" i="3" s="1"/>
  <c r="N32" i="3" s="1"/>
  <c r="F32" i="3"/>
  <c r="E32" i="3"/>
  <c r="G32" i="3" s="1"/>
  <c r="P31" i="3"/>
  <c r="K31" i="3"/>
  <c r="L31" i="3" s="1"/>
  <c r="N31" i="3" s="1"/>
  <c r="F31" i="3"/>
  <c r="E31" i="3"/>
  <c r="G31" i="3" s="1"/>
  <c r="N29" i="3"/>
  <c r="K29" i="3"/>
  <c r="K28" i="3"/>
  <c r="L28" i="3" s="1"/>
  <c r="N28" i="3" s="1"/>
  <c r="F28" i="3"/>
  <c r="G28" i="3" s="1"/>
  <c r="K27" i="3"/>
  <c r="L27" i="3" s="1"/>
  <c r="N27" i="3" s="1"/>
  <c r="F27" i="3"/>
  <c r="E27" i="3"/>
  <c r="G27" i="3" s="1"/>
  <c r="K26" i="3"/>
  <c r="L26" i="3" s="1"/>
  <c r="N26" i="3" s="1"/>
  <c r="F26" i="3"/>
  <c r="E26" i="3"/>
  <c r="G26" i="3" s="1"/>
  <c r="P25" i="3"/>
  <c r="K25" i="3"/>
  <c r="L25" i="3" s="1"/>
  <c r="N25" i="3" s="1"/>
  <c r="F25" i="3"/>
  <c r="E25" i="3"/>
  <c r="G25" i="3" s="1"/>
  <c r="K24" i="3"/>
  <c r="L24" i="3" s="1"/>
  <c r="N24" i="3" s="1"/>
  <c r="F24" i="3"/>
  <c r="E24" i="3"/>
  <c r="G24" i="3" s="1"/>
  <c r="K23" i="3"/>
  <c r="L23" i="3" s="1"/>
  <c r="N23" i="3" s="1"/>
  <c r="F23" i="3"/>
  <c r="E23" i="3"/>
  <c r="G23" i="3" s="1"/>
  <c r="K22" i="3"/>
  <c r="L22" i="3" s="1"/>
  <c r="N22" i="3" s="1"/>
  <c r="F22" i="3"/>
  <c r="E22" i="3"/>
  <c r="G22" i="3" s="1"/>
  <c r="P21" i="3"/>
  <c r="K21" i="3"/>
  <c r="L21" i="3" s="1"/>
  <c r="N21" i="3" s="1"/>
  <c r="F21" i="3"/>
  <c r="E21" i="3"/>
  <c r="G21" i="3" s="1"/>
  <c r="K20" i="3"/>
  <c r="N19" i="3"/>
  <c r="K19" i="3"/>
  <c r="K18" i="3"/>
  <c r="L18" i="3" s="1"/>
  <c r="N18" i="3" s="1"/>
  <c r="F18" i="3"/>
  <c r="G18" i="3" s="1"/>
  <c r="K17" i="3"/>
  <c r="L17" i="3" s="1"/>
  <c r="N17" i="3" s="1"/>
  <c r="F17" i="3"/>
  <c r="E17" i="3"/>
  <c r="G17" i="3" s="1"/>
  <c r="K16" i="3"/>
  <c r="L16" i="3" s="1"/>
  <c r="N16" i="3" s="1"/>
  <c r="F16" i="3"/>
  <c r="E16" i="3"/>
  <c r="G16" i="3" s="1"/>
  <c r="P15" i="3"/>
  <c r="K15" i="3"/>
  <c r="L15" i="3" s="1"/>
  <c r="N15" i="3" s="1"/>
  <c r="F15" i="3"/>
  <c r="E15" i="3"/>
  <c r="G15" i="3" s="1"/>
  <c r="K14" i="3"/>
  <c r="L14" i="3" s="1"/>
  <c r="N14" i="3" s="1"/>
  <c r="F14" i="3"/>
  <c r="E14" i="3"/>
  <c r="G14" i="3" s="1"/>
  <c r="P13" i="3"/>
  <c r="K13" i="3"/>
  <c r="L13" i="3" s="1"/>
  <c r="N13" i="3" s="1"/>
  <c r="F13" i="3"/>
  <c r="E13" i="3"/>
  <c r="G13" i="3" s="1"/>
  <c r="K12" i="3"/>
  <c r="L12" i="3" s="1"/>
  <c r="N12" i="3" s="1"/>
  <c r="F12" i="3"/>
  <c r="E12" i="3"/>
  <c r="G12" i="3" s="1"/>
  <c r="P11" i="3"/>
  <c r="K11" i="3"/>
  <c r="L11" i="3" s="1"/>
  <c r="N11" i="3" s="1"/>
  <c r="F11" i="3"/>
  <c r="E11" i="3"/>
  <c r="G11" i="3" s="1"/>
  <c r="N9" i="3"/>
  <c r="K9" i="3"/>
  <c r="K8" i="3"/>
  <c r="L8" i="3" s="1"/>
  <c r="N8" i="3" s="1"/>
  <c r="F8" i="3"/>
  <c r="E8" i="3"/>
  <c r="G8" i="3" s="1"/>
  <c r="K7" i="3"/>
  <c r="L7" i="3" s="1"/>
  <c r="N7" i="3" s="1"/>
  <c r="F7" i="3"/>
  <c r="E7" i="3"/>
  <c r="G7" i="3" s="1"/>
  <c r="P6" i="3"/>
  <c r="G3" i="8" s="1"/>
  <c r="K6" i="3"/>
  <c r="L6" i="3" s="1"/>
  <c r="N6" i="3" s="1"/>
  <c r="F6" i="3"/>
  <c r="E6" i="3"/>
  <c r="G6" i="3" s="1"/>
  <c r="K5" i="3"/>
  <c r="L5" i="3" s="1"/>
  <c r="N5" i="3" s="1"/>
  <c r="F5" i="3"/>
  <c r="E5" i="3"/>
  <c r="G5" i="3" s="1"/>
  <c r="K4" i="3"/>
  <c r="L4" i="3" s="1"/>
  <c r="N4" i="3" s="1"/>
  <c r="F4" i="3"/>
  <c r="E4" i="3"/>
  <c r="G4" i="3" s="1"/>
  <c r="K85" i="2"/>
  <c r="L85" i="2" s="1"/>
  <c r="N85" i="2" s="1"/>
  <c r="F85" i="2"/>
  <c r="G85" i="2" s="1"/>
  <c r="K84" i="2"/>
  <c r="L84" i="2" s="1"/>
  <c r="N84" i="2" s="1"/>
  <c r="F84" i="2"/>
  <c r="E84" i="2"/>
  <c r="G84" i="2" s="1"/>
  <c r="P83" i="2"/>
  <c r="K83" i="2"/>
  <c r="L83" i="2" s="1"/>
  <c r="N83" i="2" s="1"/>
  <c r="F83" i="2"/>
  <c r="E83" i="2"/>
  <c r="G83" i="2" s="1"/>
  <c r="K82" i="2"/>
  <c r="L82" i="2" s="1"/>
  <c r="N82" i="2" s="1"/>
  <c r="F82" i="2"/>
  <c r="E82" i="2"/>
  <c r="G82" i="2" s="1"/>
  <c r="P80" i="2"/>
  <c r="K80" i="2"/>
  <c r="L80" i="2" s="1"/>
  <c r="N80" i="2" s="1"/>
  <c r="F80" i="2"/>
  <c r="E80" i="2"/>
  <c r="G80" i="2" s="1"/>
  <c r="P79" i="2"/>
  <c r="K79" i="2"/>
  <c r="L79" i="2" s="1"/>
  <c r="N79" i="2" s="1"/>
  <c r="F79" i="2"/>
  <c r="E79" i="2" a="1"/>
  <c r="E79" i="2"/>
  <c r="G79" i="2" s="1"/>
  <c r="P78" i="2"/>
  <c r="K78" i="2"/>
  <c r="L78" i="2" s="1"/>
  <c r="N78" i="2" s="1"/>
  <c r="F78" i="2"/>
  <c r="E78" i="2" a="1"/>
  <c r="E78" i="2"/>
  <c r="G78" i="2" s="1"/>
  <c r="P77" i="2"/>
  <c r="K77" i="2"/>
  <c r="L77" i="2" s="1"/>
  <c r="N77" i="2" s="1"/>
  <c r="F77" i="2"/>
  <c r="E77" i="2"/>
  <c r="G77" i="2" s="1"/>
  <c r="P75" i="2"/>
  <c r="K75" i="2"/>
  <c r="L75" i="2" s="1"/>
  <c r="N75" i="2" s="1"/>
  <c r="F75" i="2"/>
  <c r="E75" i="2"/>
  <c r="G75" i="2" s="1"/>
  <c r="P74" i="2"/>
  <c r="K74" i="2"/>
  <c r="L74" i="2" s="1"/>
  <c r="N74" i="2" s="1"/>
  <c r="F74" i="2"/>
  <c r="E74" i="2"/>
  <c r="G74" i="2" s="1"/>
  <c r="P73" i="2"/>
  <c r="K73" i="2"/>
  <c r="L73" i="2" s="1"/>
  <c r="N73" i="2" s="1"/>
  <c r="F73" i="2"/>
  <c r="E73" i="2" a="1"/>
  <c r="E73" i="2"/>
  <c r="G73" i="2" s="1"/>
  <c r="P72" i="2"/>
  <c r="K72" i="2"/>
  <c r="L72" i="2" s="1"/>
  <c r="N72" i="2" s="1"/>
  <c r="F72" i="2"/>
  <c r="E72" i="2"/>
  <c r="G72" i="2" s="1"/>
  <c r="P71" i="2"/>
  <c r="K71" i="2"/>
  <c r="L71" i="2" s="1"/>
  <c r="N71" i="2" s="1"/>
  <c r="F71" i="2"/>
  <c r="E71" i="2"/>
  <c r="G71" i="2" s="1"/>
  <c r="P70" i="2"/>
  <c r="K70" i="2"/>
  <c r="L70" i="2" s="1"/>
  <c r="N70" i="2" s="1"/>
  <c r="F70" i="2"/>
  <c r="E70" i="2"/>
  <c r="G70" i="2" s="1"/>
  <c r="K68" i="2"/>
  <c r="L68" i="2" s="1"/>
  <c r="N68" i="2" s="1"/>
  <c r="F68" i="2"/>
  <c r="G68" i="2" s="1"/>
  <c r="K67" i="2"/>
  <c r="L67" i="2" s="1"/>
  <c r="N67" i="2" s="1"/>
  <c r="F67" i="2"/>
  <c r="E67" i="2"/>
  <c r="G67" i="2" s="1"/>
  <c r="K66" i="2"/>
  <c r="L66" i="2" s="1"/>
  <c r="N66" i="2" s="1"/>
  <c r="F66" i="2"/>
  <c r="E66" i="2"/>
  <c r="G66" i="2" s="1"/>
  <c r="K65" i="2"/>
  <c r="L65" i="2" s="1"/>
  <c r="N65" i="2" s="1"/>
  <c r="F65" i="2"/>
  <c r="E65" i="2"/>
  <c r="G65" i="2" s="1"/>
  <c r="K64" i="2"/>
  <c r="L64" i="2" s="1"/>
  <c r="N64" i="2" s="1"/>
  <c r="F64" i="2"/>
  <c r="G64" i="2" s="1"/>
  <c r="N62" i="2"/>
  <c r="K62" i="2"/>
  <c r="K61" i="2"/>
  <c r="L61" i="2" s="1"/>
  <c r="N61" i="2" s="1"/>
  <c r="F61" i="2"/>
  <c r="E61" i="2"/>
  <c r="G61" i="2" s="1"/>
  <c r="K60" i="2"/>
  <c r="L60" i="2" s="1"/>
  <c r="N60" i="2" s="1"/>
  <c r="F60" i="2"/>
  <c r="E60" i="2"/>
  <c r="G60" i="2" s="1"/>
  <c r="K59" i="2"/>
  <c r="L59" i="2" s="1"/>
  <c r="N59" i="2" s="1"/>
  <c r="F59" i="2"/>
  <c r="E59" i="2"/>
  <c r="G59" i="2" s="1"/>
  <c r="K58" i="2"/>
  <c r="L58" i="2" s="1"/>
  <c r="N58" i="2" s="1"/>
  <c r="F58" i="2"/>
  <c r="E58" i="2"/>
  <c r="G58" i="2" s="1"/>
  <c r="P57" i="2"/>
  <c r="K57" i="2"/>
  <c r="L57" i="2" s="1"/>
  <c r="N57" i="2" s="1"/>
  <c r="F57" i="2"/>
  <c r="E57" i="2"/>
  <c r="G57" i="2" s="1"/>
  <c r="K56" i="2"/>
  <c r="L56" i="2" s="1"/>
  <c r="N56" i="2" s="1"/>
  <c r="F56" i="2"/>
  <c r="E56" i="2"/>
  <c r="G56" i="2" s="1"/>
  <c r="K55" i="2"/>
  <c r="L55" i="2" s="1"/>
  <c r="N55" i="2" s="1"/>
  <c r="F55" i="2"/>
  <c r="E55" i="2"/>
  <c r="G55" i="2" s="1"/>
  <c r="P54" i="2"/>
  <c r="K54" i="2"/>
  <c r="L54" i="2" s="1"/>
  <c r="N54" i="2" s="1"/>
  <c r="F54" i="2"/>
  <c r="E54" i="2"/>
  <c r="G54" i="2" s="1"/>
  <c r="N52" i="2"/>
  <c r="K52" i="2"/>
  <c r="K51" i="2"/>
  <c r="L51" i="2" s="1"/>
  <c r="N51" i="2" s="1"/>
  <c r="F51" i="2"/>
  <c r="E51" i="2"/>
  <c r="G51" i="2" s="1"/>
  <c r="K50" i="2"/>
  <c r="L50" i="2" s="1"/>
  <c r="N50" i="2" s="1"/>
  <c r="F50" i="2"/>
  <c r="E50" i="2"/>
  <c r="G50" i="2" s="1"/>
  <c r="K49" i="2"/>
  <c r="L49" i="2" s="1"/>
  <c r="N49" i="2" s="1"/>
  <c r="F49" i="2"/>
  <c r="E49" i="2"/>
  <c r="G49" i="2" s="1"/>
  <c r="K48" i="2"/>
  <c r="L48" i="2" s="1"/>
  <c r="N48" i="2" s="1"/>
  <c r="F48" i="2"/>
  <c r="E48" i="2"/>
  <c r="G48" i="2" s="1"/>
  <c r="P47" i="2"/>
  <c r="K47" i="2"/>
  <c r="L47" i="2" s="1"/>
  <c r="N47" i="2" s="1"/>
  <c r="F47" i="2"/>
  <c r="E47" i="2"/>
  <c r="G47" i="2" s="1"/>
  <c r="K46" i="2"/>
  <c r="L46" i="2" s="1"/>
  <c r="N46" i="2" s="1"/>
  <c r="F46" i="2"/>
  <c r="E46" i="2"/>
  <c r="G46" i="2" s="1"/>
  <c r="K45" i="2"/>
  <c r="L45" i="2" s="1"/>
  <c r="N45" i="2" s="1"/>
  <c r="F45" i="2"/>
  <c r="E45" i="2"/>
  <c r="G45" i="2" s="1"/>
  <c r="N43" i="2"/>
  <c r="K43" i="2"/>
  <c r="K42" i="2"/>
  <c r="L42" i="2" s="1"/>
  <c r="N42" i="2" s="1"/>
  <c r="F42" i="2"/>
  <c r="E42" i="2"/>
  <c r="G42" i="2" s="1"/>
  <c r="K41" i="2"/>
  <c r="L41" i="2" s="1"/>
  <c r="N41" i="2" s="1"/>
  <c r="F41" i="2"/>
  <c r="E41" i="2"/>
  <c r="G41" i="2" s="1"/>
  <c r="K39" i="2"/>
  <c r="L39" i="2" s="1"/>
  <c r="N39" i="2" s="1"/>
  <c r="F39" i="2"/>
  <c r="E39" i="2"/>
  <c r="G39" i="2" s="1"/>
  <c r="K38" i="2"/>
  <c r="L38" i="2" s="1"/>
  <c r="N38" i="2" s="1"/>
  <c r="F38" i="2"/>
  <c r="E38" i="2"/>
  <c r="G38" i="2" s="1"/>
  <c r="K37" i="2"/>
  <c r="L37" i="2" s="1"/>
  <c r="N37" i="2" s="1"/>
  <c r="F37" i="2"/>
  <c r="E37" i="2"/>
  <c r="G37" i="2" s="1"/>
  <c r="K36" i="2"/>
  <c r="L36" i="2" s="1"/>
  <c r="N36" i="2" s="1"/>
  <c r="F36" i="2"/>
  <c r="E36" i="2"/>
  <c r="G36" i="2" s="1"/>
  <c r="K35" i="2"/>
  <c r="L35" i="2" s="1"/>
  <c r="N35" i="2" s="1"/>
  <c r="F35" i="2"/>
  <c r="E35" i="2"/>
  <c r="G35" i="2" s="1"/>
  <c r="P34" i="2"/>
  <c r="K34" i="2"/>
  <c r="L34" i="2" s="1"/>
  <c r="N34" i="2" s="1"/>
  <c r="F34" i="2"/>
  <c r="E34" i="2"/>
  <c r="G34" i="2" s="1"/>
  <c r="K32" i="2"/>
  <c r="L32" i="2" s="1"/>
  <c r="N32" i="2" s="1"/>
  <c r="F32" i="2"/>
  <c r="E32" i="2"/>
  <c r="G32" i="2" s="1"/>
  <c r="K31" i="2"/>
  <c r="L31" i="2" s="1"/>
  <c r="N31" i="2" s="1"/>
  <c r="F31" i="2"/>
  <c r="E31" i="2"/>
  <c r="G31" i="2" s="1"/>
  <c r="K30" i="2"/>
  <c r="L30" i="2" s="1"/>
  <c r="N30" i="2" s="1"/>
  <c r="F30" i="2"/>
  <c r="E30" i="2"/>
  <c r="G30" i="2" s="1"/>
  <c r="K29" i="2"/>
  <c r="L29" i="2" s="1"/>
  <c r="N29" i="2" s="1"/>
  <c r="F29" i="2"/>
  <c r="E29" i="2"/>
  <c r="G29" i="2" s="1"/>
  <c r="P28" i="2"/>
  <c r="K28" i="2"/>
  <c r="L28" i="2" s="1"/>
  <c r="N28" i="2" s="1"/>
  <c r="F28" i="2"/>
  <c r="E28" i="2"/>
  <c r="G28" i="2" s="1"/>
  <c r="K27" i="2"/>
  <c r="L27" i="2" s="1"/>
  <c r="N27" i="2" s="1"/>
  <c r="F27" i="2"/>
  <c r="E27" i="2"/>
  <c r="G27" i="2" s="1"/>
  <c r="P26" i="2"/>
  <c r="K26" i="2"/>
  <c r="L26" i="2" s="1"/>
  <c r="N26" i="2" s="1"/>
  <c r="F26" i="2"/>
  <c r="E26" i="2"/>
  <c r="G26" i="2" s="1"/>
  <c r="K24" i="2"/>
  <c r="L24" i="2" s="1"/>
  <c r="N24" i="2" s="1"/>
  <c r="F24" i="2"/>
  <c r="E24" i="2"/>
  <c r="G24" i="2" s="1"/>
  <c r="K23" i="2"/>
  <c r="L23" i="2" s="1"/>
  <c r="N23" i="2" s="1"/>
  <c r="F23" i="2"/>
  <c r="E23" i="2"/>
  <c r="G23" i="2" s="1"/>
  <c r="K22" i="2"/>
  <c r="L22" i="2" s="1"/>
  <c r="N22" i="2" s="1"/>
  <c r="F22" i="2"/>
  <c r="E22" i="2"/>
  <c r="G22" i="2" s="1"/>
  <c r="K21" i="2"/>
  <c r="L21" i="2" s="1"/>
  <c r="N21" i="2" s="1"/>
  <c r="F21" i="2"/>
  <c r="E21" i="2"/>
  <c r="G21" i="2" s="1"/>
  <c r="K20" i="2"/>
  <c r="L20" i="2" s="1"/>
  <c r="N20" i="2" s="1"/>
  <c r="F20" i="2"/>
  <c r="E20" i="2"/>
  <c r="G20" i="2" s="1"/>
  <c r="N18" i="2"/>
  <c r="K18" i="2"/>
  <c r="K17" i="2"/>
  <c r="L17" i="2" s="1"/>
  <c r="N17" i="2" s="1"/>
  <c r="F17" i="2"/>
  <c r="G17" i="2" s="1"/>
  <c r="K16" i="2"/>
  <c r="L16" i="2" s="1"/>
  <c r="N16" i="2" s="1"/>
  <c r="F16" i="2"/>
  <c r="E16" i="2"/>
  <c r="G16" i="2" s="1"/>
  <c r="K14" i="2"/>
  <c r="L14" i="2" s="1"/>
  <c r="N14" i="2" s="1"/>
  <c r="F14" i="2"/>
  <c r="G14" i="2" s="1"/>
  <c r="K13" i="2"/>
  <c r="L13" i="2" s="1"/>
  <c r="N13" i="2" s="1"/>
  <c r="F13" i="2"/>
  <c r="E13" i="2"/>
  <c r="G13" i="2" s="1"/>
  <c r="K12" i="2"/>
  <c r="L12" i="2" s="1"/>
  <c r="N12" i="2" s="1"/>
  <c r="F12" i="2"/>
  <c r="E12" i="2"/>
  <c r="G12" i="2" s="1"/>
  <c r="K11" i="2"/>
  <c r="L11" i="2" s="1"/>
  <c r="N11" i="2" s="1"/>
  <c r="F11" i="2"/>
  <c r="E11" i="2"/>
  <c r="G11" i="2" s="1"/>
  <c r="K9" i="2"/>
  <c r="L9" i="2" s="1"/>
  <c r="N9" i="2" s="1"/>
  <c r="F9" i="2"/>
  <c r="G9" i="2" s="1"/>
  <c r="K8" i="2"/>
  <c r="L8" i="2" s="1"/>
  <c r="N8" i="2" s="1"/>
  <c r="F8" i="2"/>
  <c r="E8" i="2"/>
  <c r="G8" i="2" s="1"/>
  <c r="K7" i="2"/>
  <c r="L7" i="2" s="1"/>
  <c r="N7" i="2" s="1"/>
  <c r="F7" i="2"/>
  <c r="E7" i="2"/>
  <c r="P6" i="2"/>
  <c r="K6" i="2"/>
  <c r="L6" i="2" s="1"/>
  <c r="N6" i="2" s="1"/>
  <c r="F6" i="2"/>
  <c r="E6" i="2"/>
  <c r="G6" i="2" s="1"/>
  <c r="K5" i="2"/>
  <c r="L5" i="2" s="1"/>
  <c r="N5" i="2" s="1"/>
  <c r="F5" i="2"/>
  <c r="G5" i="2" s="1"/>
  <c r="K4" i="2"/>
  <c r="L4" i="2" s="1"/>
  <c r="N4" i="2" s="1"/>
  <c r="F4" i="2"/>
  <c r="E4" i="2"/>
  <c r="G4" i="2" s="1"/>
  <c r="O7" i="3" l="1"/>
  <c r="O5" i="3"/>
  <c r="O37" i="4"/>
  <c r="O38" i="4"/>
  <c r="O17" i="5"/>
  <c r="O8" i="2"/>
  <c r="O31" i="3"/>
  <c r="O40" i="4"/>
  <c r="O4" i="3"/>
  <c r="E78" i="3" s="1"/>
  <c r="O37" i="2"/>
  <c r="O8" i="3"/>
  <c r="O6" i="3"/>
  <c r="O48" i="3"/>
  <c r="O11" i="4"/>
  <c r="O71" i="5"/>
  <c r="O79" i="5"/>
  <c r="O51" i="5"/>
  <c r="O66" i="5"/>
  <c r="O6" i="4"/>
  <c r="O12" i="3"/>
  <c r="O13" i="3"/>
  <c r="O5" i="2"/>
  <c r="O42" i="4"/>
  <c r="O11" i="2"/>
  <c r="O11" i="3"/>
  <c r="O6" i="2"/>
  <c r="O4" i="2"/>
  <c r="E101" i="2" s="1"/>
  <c r="O19" i="5"/>
  <c r="O18" i="3"/>
  <c r="O49" i="5"/>
  <c r="O8" i="5"/>
  <c r="O23" i="3"/>
  <c r="O21" i="3"/>
  <c r="O16" i="3"/>
  <c r="O73" i="2"/>
  <c r="O44" i="4"/>
  <c r="O23" i="4"/>
  <c r="O25" i="3"/>
  <c r="O32" i="4"/>
  <c r="O55" i="3"/>
  <c r="O41" i="3"/>
  <c r="O23" i="2"/>
  <c r="O20" i="2"/>
  <c r="O14" i="2"/>
  <c r="O14" i="3"/>
  <c r="O13" i="5"/>
  <c r="O43" i="4"/>
  <c r="O34" i="4"/>
  <c r="O44" i="3"/>
  <c r="O34" i="3"/>
  <c r="O32" i="3"/>
  <c r="O22" i="2"/>
  <c r="O17" i="2"/>
  <c r="O13" i="2"/>
  <c r="O9" i="2"/>
  <c r="O7" i="5"/>
  <c r="O24" i="2"/>
  <c r="O21" i="2"/>
  <c r="O16" i="2"/>
  <c r="O12" i="2"/>
  <c r="O96" i="5"/>
  <c r="O50" i="5"/>
  <c r="O53" i="4"/>
  <c r="O22" i="3"/>
  <c r="O17" i="3"/>
  <c r="O15" i="3"/>
  <c r="O58" i="5"/>
  <c r="O33" i="4"/>
  <c r="O31" i="4"/>
  <c r="E50" i="7"/>
  <c r="E45" i="7"/>
  <c r="E70" i="6"/>
  <c r="E75" i="6"/>
  <c r="P8" i="2"/>
  <c r="G2" i="8" s="1"/>
  <c r="P16" i="2"/>
  <c r="G7" i="2"/>
  <c r="O7" i="2" s="1"/>
  <c r="O97" i="5"/>
  <c r="O91" i="5"/>
  <c r="O60" i="5"/>
  <c r="O54" i="5"/>
  <c r="O45" i="5"/>
  <c r="O36" i="5"/>
  <c r="O29" i="5"/>
  <c r="O24" i="5"/>
  <c r="O14" i="5"/>
  <c r="O11" i="5"/>
  <c r="O54" i="4"/>
  <c r="O50" i="4"/>
  <c r="O48" i="4"/>
  <c r="O20" i="4"/>
  <c r="O17" i="4"/>
  <c r="O9" i="4"/>
  <c r="O62" i="3"/>
  <c r="O61" i="3"/>
  <c r="O59" i="3"/>
  <c r="O56" i="3"/>
  <c r="O49" i="3"/>
  <c r="O45" i="3"/>
  <c r="O43" i="3"/>
  <c r="O70" i="2"/>
  <c r="O67" i="2"/>
  <c r="O61" i="2"/>
  <c r="O57" i="2"/>
  <c r="O55" i="2"/>
  <c r="O48" i="2"/>
  <c r="O41" i="2"/>
  <c r="O29" i="2"/>
  <c r="O69" i="5"/>
  <c r="O65" i="5"/>
  <c r="O6" i="5"/>
  <c r="O55" i="4"/>
  <c r="O29" i="4"/>
  <c r="O27" i="4"/>
  <c r="O22" i="4"/>
  <c r="O18" i="4"/>
  <c r="O71" i="2"/>
  <c r="O45" i="4"/>
  <c r="O15" i="4"/>
  <c r="O33" i="3"/>
  <c r="O28" i="3"/>
  <c r="O26" i="3"/>
  <c r="O77" i="2"/>
  <c r="O74" i="2"/>
  <c r="O72" i="2"/>
  <c r="O82" i="2"/>
  <c r="O49" i="2"/>
  <c r="O46" i="2"/>
  <c r="O42" i="2"/>
  <c r="O35" i="2"/>
  <c r="O31" i="2"/>
  <c r="O26" i="2"/>
  <c r="O87" i="5"/>
  <c r="O76" i="5"/>
  <c r="O74" i="5"/>
  <c r="O31" i="5"/>
  <c r="O20" i="5"/>
  <c r="O12" i="5"/>
  <c r="O5" i="5"/>
  <c r="O56" i="4"/>
  <c r="O51" i="4"/>
  <c r="O49" i="4"/>
  <c r="O28" i="4"/>
  <c r="O26" i="4"/>
  <c r="O21" i="4"/>
  <c r="O16" i="4"/>
  <c r="O42" i="3"/>
  <c r="O37" i="3"/>
  <c r="O27" i="3"/>
  <c r="O83" i="2"/>
  <c r="O78" i="2"/>
  <c r="O65" i="2"/>
  <c r="O59" i="2"/>
  <c r="O54" i="2"/>
  <c r="O47" i="2"/>
  <c r="O39" i="2"/>
  <c r="O28" i="2"/>
  <c r="O101" i="5"/>
  <c r="O92" i="5"/>
  <c r="O86" i="5"/>
  <c r="O64" i="5"/>
  <c r="O59" i="5"/>
  <c r="O55" i="5"/>
  <c r="O46" i="5"/>
  <c r="O40" i="5"/>
  <c r="O35" i="5"/>
  <c r="O25" i="5"/>
  <c r="O18" i="5"/>
  <c r="O12" i="4"/>
  <c r="O5" i="4"/>
  <c r="O57" i="3"/>
  <c r="O54" i="3"/>
  <c r="O52" i="3"/>
  <c r="O50" i="3"/>
  <c r="O38" i="3"/>
  <c r="O35" i="3"/>
  <c r="O84" i="2"/>
  <c r="O79" i="2"/>
  <c r="O66" i="2"/>
  <c r="O60" i="2"/>
  <c r="O56" i="2"/>
  <c r="O50" i="2"/>
  <c r="O38" i="2"/>
  <c r="O32" i="2"/>
  <c r="O27" i="2"/>
  <c r="O100" i="5"/>
  <c r="O95" i="5"/>
  <c r="O90" i="5"/>
  <c r="O85" i="5"/>
  <c r="O80" i="5"/>
  <c r="O75" i="5"/>
  <c r="O70" i="5"/>
  <c r="O44" i="5"/>
  <c r="O39" i="5"/>
  <c r="O34" i="5"/>
  <c r="O30" i="5"/>
  <c r="O23" i="5"/>
  <c r="O10" i="4"/>
  <c r="O7" i="4"/>
  <c r="O4" i="4"/>
  <c r="O60" i="3"/>
  <c r="O51" i="3"/>
  <c r="O47" i="3"/>
  <c r="O36" i="3"/>
  <c r="O24" i="3"/>
  <c r="O85" i="2"/>
  <c r="O80" i="2"/>
  <c r="O75" i="2"/>
  <c r="O68" i="2"/>
  <c r="O64" i="2"/>
  <c r="O58" i="2"/>
  <c r="O51" i="2"/>
  <c r="O45" i="2"/>
  <c r="O36" i="2"/>
  <c r="O34" i="2"/>
  <c r="O30" i="2"/>
  <c r="E123" i="5" l="1"/>
  <c r="F18" i="8" s="1"/>
  <c r="E79" i="3"/>
  <c r="C16" i="8" s="1"/>
  <c r="E75" i="4"/>
  <c r="E17" i="8" s="1"/>
  <c r="E74" i="4"/>
  <c r="D17" i="8" s="1"/>
  <c r="E122" i="5"/>
  <c r="E18" i="8" s="1"/>
  <c r="E83" i="3"/>
  <c r="E80" i="3"/>
  <c r="D16" i="8" s="1"/>
  <c r="E106" i="2"/>
  <c r="E104" i="2"/>
  <c r="E15" i="8" s="1"/>
  <c r="E51" i="7"/>
  <c r="D7" i="8" s="1"/>
  <c r="C7" i="8"/>
  <c r="B20" i="8"/>
  <c r="E52" i="7"/>
  <c r="H7" i="8" s="1"/>
  <c r="B19" i="8"/>
  <c r="E77" i="6"/>
  <c r="H6" i="8" s="1"/>
  <c r="E76" i="6"/>
  <c r="D6" i="8" s="1"/>
  <c r="C6" i="8"/>
  <c r="B16" i="8"/>
  <c r="B15" i="8"/>
  <c r="E77" i="4"/>
  <c r="E72" i="4"/>
  <c r="E121" i="5"/>
  <c r="D18" i="8" s="1"/>
  <c r="E105" i="2"/>
  <c r="F15" i="8" s="1"/>
  <c r="E103" i="2"/>
  <c r="D15" i="8" s="1"/>
  <c r="E102" i="2"/>
  <c r="E76" i="4"/>
  <c r="F17" i="8" s="1"/>
  <c r="E81" i="3"/>
  <c r="E120" i="5"/>
  <c r="C18" i="8" s="1"/>
  <c r="E73" i="4"/>
  <c r="C17" i="8" s="1"/>
  <c r="E82" i="3"/>
  <c r="F16" i="8" s="1"/>
  <c r="B27" i="8"/>
  <c r="B25" i="8"/>
  <c r="E124" i="5"/>
  <c r="E119" i="5"/>
  <c r="E84" i="3" l="1"/>
  <c r="D3" i="8" s="1"/>
  <c r="C3" i="8"/>
  <c r="E107" i="2"/>
  <c r="D2" i="8" s="1"/>
  <c r="C2" i="8"/>
  <c r="E7" i="8"/>
  <c r="F7" i="8"/>
  <c r="E6" i="8"/>
  <c r="F6" i="8"/>
  <c r="E78" i="4"/>
  <c r="D4" i="8" s="1"/>
  <c r="C4" i="8"/>
  <c r="B17" i="8"/>
  <c r="E79" i="4"/>
  <c r="H4" i="8" s="1"/>
  <c r="C5" i="8"/>
  <c r="E125" i="5"/>
  <c r="D5" i="8" s="1"/>
  <c r="E126" i="5"/>
  <c r="H5" i="8" s="1"/>
  <c r="B18" i="8"/>
  <c r="C15" i="8"/>
  <c r="E108" i="2"/>
  <c r="H2" i="8" s="1"/>
  <c r="E16" i="8"/>
  <c r="E85" i="3"/>
  <c r="H3" i="8" s="1"/>
  <c r="E3" i="8" l="1"/>
  <c r="F3" i="8"/>
  <c r="E2" i="8"/>
  <c r="F2" i="8"/>
  <c r="F4" i="8"/>
  <c r="E4" i="8"/>
  <c r="E5" i="8"/>
  <c r="F5" i="8"/>
  <c r="B29" i="8"/>
  <c r="B9" i="8" l="1"/>
  <c r="B10" i="8" l="1"/>
  <c r="B11" i="8"/>
</calcChain>
</file>

<file path=xl/sharedStrings.xml><?xml version="1.0" encoding="utf-8"?>
<sst xmlns="http://schemas.openxmlformats.org/spreadsheetml/2006/main" count="3360" uniqueCount="1737">
  <si>
    <t>View detailed regulatory mapping for Tab 1 &gt;</t>
  </si>
  <si>
    <t>View detailed regulatory mapping for Tab 2 &gt;</t>
  </si>
  <si>
    <t>View detailed regulatory mapping for Tab 3 &gt;</t>
  </si>
  <si>
    <t>View detailed regulatory mapping for Tab 4 &gt;</t>
  </si>
  <si>
    <t>View detailed regulatory mapping for Tab 5 &gt;</t>
  </si>
  <si>
    <t>View detailed regulatory mapping for Tab 6 &gt;</t>
  </si>
  <si>
    <t>Return to: 3. Structure of the Workbook ^</t>
  </si>
  <si>
    <t>Area</t>
  </si>
  <si>
    <t>Specific FCA Provisions (examples)</t>
  </si>
  <si>
    <t>Key FCA Expectations</t>
  </si>
  <si>
    <t>How Tab 1 helps evidence this</t>
  </si>
  <si>
    <t>Consumer Duty – products &amp; services; price &amp; value; communications</t>
  </si>
  <si>
    <t>PRIN 2A – The Consumer Duty: PRIN 2A.3 Products and services outcome (design, target market, distribution). (FCA Handbook) PRIN 2A.4 Price and value outcome (reasonable relationship between price and benefits). (FCA Handbook) PRIN 2.1.1R (Principle 7) – information that is clear, fair and not misleading. (FCA)</t>
  </si>
  <si>
    <t>- Products must be fit for purpose and designed to meet the needs, characteristics and objectives of an identified target market. - Firms must ensure a reasonable relationship between price and value – no obvious structural unfairness or extraction. - Customers should be able to understand key features and limitations from the firm’s communications. (FCA Handbook)</t>
  </si>
  <si>
    <t>- Sections A &amp; E assess token purpose, utility and economic design (allocations, vesting, emissions, incentives), helping show the token is not inherently misaligned with customer needs or structurally unfair on value. - Sections C &amp; D assess token holder rights and the quality/completeness of disclosures (e.g. whitepaper), supporting evidence that material features, risks and limitations are not obscured and can be explained clearly to retail. - Overall, Tab 1 provides a documented basis that the token is coherent, explainable and not obviously exploitative, which you can cross-reference in Consumer Duty product &amp; value assessments.</t>
  </si>
  <si>
    <t>Product governance – design, approval and understanding of instruments (PROD)</t>
  </si>
  <si>
    <t>PROD 3.2 – Product governance for manufacturers: e.g. PROD 3.2.1R / 3.2.3R – maintain, operate and review a product approval process for each product and significant adaptation. (FCA Handbook) PROD 3.3 – Product governance for distributors: PROD 3.3.1R and related rules – distributors must understand the financial instruments they distribute and assess compatibility with clients’ needs. (FCA Handbook) FCA MiFID II product governance review / good-practice commentary (e.g. 2021 multi-firm review). (FCA)</t>
  </si>
  <si>
    <t>- Manufacturers: operate a formal product approval process considering target market, risk/return profile and distribution strategy. - Distributors: understand product features, risks and costs and only distribute where compatible with the needs and objectives of the target market. - Maintain an evidence trail showing that products have been assessed and reviewed over time (not just one-off sign-off). (FCA Handbook)</t>
  </si>
  <si>
    <t>- Tab 1 functions as the front-end product approval template for tokens, capturing their purpose, governance, rights and economic model in a consistent way. - The questions force a structured articulation of how the token works, how value flows, who controls key decisions, and what holders actually get – satisfying the PROD expectation that distributors “understand the instruments” they sell. - Re-running Tab 1 when governance, tokenomics or rights change provides a repeatable review process you can point to in product governance/POG frameworks and product approval committee minutes.</t>
  </si>
  <si>
    <t>Governance &amp; SMCR – SYSC systems and controls, risk identification and oversight</t>
  </si>
  <si>
    <t>SYSC 4.1.1R – General requirements: firms must have robust governance arrangements, including clear structures and effective processes to identify, manage, monitor and report the risks they are or might be exposed to. (FCA Handbook) SYSC 3.1 – Systems and controls: firms must take reasonable care to establish and maintain effective systems and controls for compliance with regulatory requirements and risk management. (Square Mile Research) SM&amp;CR guidance emphasising Senior Managers’ responsibility for effective oversight of products and associated risks. (BDO)</t>
  </si>
  <si>
    <t>- Have formal processes and controls to identify and monitor product-level risks, not just business-line or balance-sheet risks. - Ensure Senior Managers can demonstrate they understand and have challenged significant new products and that decisions are evidenced. - Embed product and conduct risks into the firm’s overall risk management and governance framework.</t>
  </si>
  <si>
    <t>- Tab 1 gives a structured risk identification mechanism for token fundamentals and governance: numerical scores, risk bands, and a “weakest link” indicator for the domain. - The section-level summaries and narratives provide a concise briefing pack for Senior Managers and committees, making it easier to show that listing decisions were considered and challenged (rather than rubber-stamped). - As part of the wider engine, Tab 1 supports the argument that you have robust governance arrangements and systems and controls to identify and manage product-specific risks, in line with SYSC 4.1.1R and SYSC 3.1.</t>
  </si>
  <si>
    <t>FCA focus on product governance and value (cross-cutting guidance)</t>
  </si>
  <si>
    <t>FCA product governance / value publications and reviews, e.g.: - MiFID II product governance multi-firm review (2021). (FCA) - Consumer Duty and its impact on product governance and target market work (various guidance / good-practice papers). (DWF)</t>
  </si>
  <si>
    <t>- Firms should be able to demonstrate how they have assessed value, target market and product design, especially for complex / higher-risk products. - Supervisors expect documented frameworks rather than informal judgements, particularly for novel or high-risk asset classes like cryptoassets.</t>
  </si>
  <si>
    <t>- Tab 1 is a key part of your evidential framework for crypto tokens, showing that you have gone beyond surface-level marketing claims to interrogate fundamentals, governance and tokenomics. - Outputs from Tab 1 can be lifted directly into Product Approval Committee packs, listing committee papers, IA/product files and regulatory submissions to demonstrate that crypto products have been through the same, or stronger, governance as traditional products.</t>
  </si>
  <si>
    <t>How Tab 2 helps evidence this</t>
  </si>
  <si>
    <t>Financial promotion regime – cryptoassets and high-risk investments</t>
  </si>
  <si>
    <t>FSMA 2000 s.21 – Financial promotion restriction: a person must not, in the course of business, communicate an invitation or inducement to engage in investment activity unless the promotion is issued or approved by an authorised person or an exemption applies. (Legislation.gov.uk) COBS 4 – Communicating with clients, including financial promotions: promotions must be fair, clear and not misleading and comply with detailed rules (e.g. risk warnings, prominence, appropriate balancing of benefits and risks). (FCA Handbook) PS23/6 – Financial promotion rules for cryptoassets and FG23/3: extend the financial promotion regime to qualifying cryptoassets, imposing RMMI-style requirements (risk warnings, 24-hour cooling off, appropriateness, banned incentives, etc.). (FCA) Crypto promotions rely on routes under FSMA and the FPO (e.g. newly introduced exemptions for FCA-registered crypto businesses). (FCA)</t>
  </si>
  <si>
    <t>- Firms must ensure that any cryptoasset promotion to UK consumers is lawfully communicated under s.21 FSMA, via an authorised person, an exemption, or another lawful route. - Promotions must meet high standards of clarity and risk disclosure (fair, clear, not misleading; prominent, prescribed warnings; appropriate framing of risks vs returns). - Cryptoassets treated as high-risk investments must comply with strengthened rules around risk warnings, incentives, cooling-off and appropriateness. (FCA)</t>
  </si>
  <si>
    <t>- Tab 2 captures how the token is being promoted to UK customers and under which lawful route (authorised firm promotion, s.21 approval, exemption or overseas-only marketing), giving you a structured record that the financial promotion restriction has been considered. - Questions around disclosure content, prominence of risk warnings, use of incentives, cooling-off and appropriateness allow you to benchmark the token’s promotional materials against the crypto financial promotion regime in PS23/6 / FG23-3 and the underlying COBS 4 standards. - The tab’s scoring and narrative provide an auditable explanation of why the firm believes the promotions are compliant, or why additional controls (re-wording, target-market limits, professional-only routes) are needed.</t>
  </si>
  <si>
    <t>Approval and ongoing oversight of financial promotions</t>
  </si>
  <si>
    <t>COBS 4.10 – Approving financial promotions: firms approving a promotion must take reasonable steps to ensure it complies with the rules and remains so for its lifetime. (FCA Handbook) COBS 4.11 – Record-keeping: financial promotions: firms must keep adequate records of promotions they communicate, approve or confirm compliance with. (FCA Handbook) FSMA 2023 – Financial promotion gateway (“approver permission”): new requirement for firms to obtain specific permission to approve promotions for unauthorised persons. (FCA) FCA cryptoasset financial promotions guidance emphasises the need for firms approving promotions to understand the token and associated risks. (Burges Salmon)</t>
  </si>
  <si>
    <t>- Firms that approve promotions must have appropriate expertise and due diligence processes to satisfy themselves the promotion is compliant on approval and remains compliant over time. - Firms must maintain records of approvals, underlying assessments and monitoring, enabling them to demonstrate why they considered a promotion compliant at the time. - Under the new gateway, only firms with the specific “approver permission” may approve promotions for unauthorised persons, and the FCA expects high standards of scrutiny, especially for cryptoassets.</t>
  </si>
  <si>
    <t>- Tab 2 provides a standardised due diligence record for each token’s regulatory/legal profile and promotional set-up. This can be cited as part of the file evidencing your s.21 approval or oversight of promotions. - Questions on regulatory route, risk classification, and disclosures demonstrate that the firm has considered the key issues the FCA expects approvers to address before signing off crypto promotions. - The tab’s outputs can be cross-referenced in your COBS 4.10/4.11 records and in your internal financial promotion approval logs, showing how each promotion was assessed in light of the token’s regulatory/legal risks.</t>
  </si>
  <si>
    <t>Regulatory perimeter &amp; classification of the token / activities</t>
  </si>
  <si>
    <t>FSMA 2000 and the RAO – define “regulated activities” and “specified investments” (e.g. securities, units in collective investment schemes, contracts for differences, etc.). FCA perimeter guidance including PERG 2 &amp; PERG 8 on the financial promotion regime and what constitutes “investment activity”. (sedric.ai) FCA and HM Treasury material on the future Designated Activities Regime (DAR) for cryptoassets under FSMA 2023, under which certain crypto activities will be designated and subject to activity-specific rules. (Taylor Wessing)</t>
  </si>
  <si>
    <t>- Firms must assess whether a token or associated activities fall inside or outside the current regulatory perimeter (e.g. security token vs unregulated cryptoasset vs e-money vs CIS / AIF structure). - Even where a token itself is unregulated, perimeter issues can arise (e.g. units in a CIS, operating a trading platform, custody, payment services). - As the DAR and other reforms are implemented, firms will be expected to understand whether their crypto offerings fall within designated activities and to comply with the associated rule-sets.</t>
  </si>
  <si>
    <t>- Tab 2 prompts a structured assessment of the token’s likely classification (security-like features, rights, redemption terms, profit-sharing, pooling of assets, etc.) and the associated regulated activities that may be triggered. - This gives you a documented, repeatable trail of the perimeter analysis that underpins your decision to treat a token as: - a regulated instrument (with full FSMA/COBS/PROD implications), - an unregulated cryptoasset subject to the financial promotion regime, or - part of a broader arrangement (e.g. pooled vehicles) that might itself be a regulated CIS. - As DAR and future rules come in, the same Tab 2 structure can be extended to track which designated activities are in scope and what additional legal/regulatory constraints apply.</t>
  </si>
  <si>
    <t>Consumer Duty &amp; retail distribution – suitability, appropriateness and high-risk categorisation</t>
  </si>
  <si>
    <t>PRIN 2A – The Consumer Duty (especially: products &amp; services, price &amp; value, consumer understanding). (FCA Handbook) FCA high-risk investment / crypto promotion work, including the classification of qualifying cryptoassets as Restricted Mass Market Investments (RMMIs) with enhanced promotion rules. (FCA) COBS 10 &amp; 10A – Appropriateness (for complex/high-risk investments) – assessing whether a non-advised client has the necessary experience and knowledge to understand the risks. (FCA Handbook)</t>
  </si>
  <si>
    <t>- Even where crypto activities themselves are not fully regulated yet, the Consumer Duty and strengthened financial promotion rules emphasise: - clear identification of target market vs restricted/professional-only distribution; - robust appropriateness tests for high-risk or complex products; - enhanced warnings and frictions (e.g. cooling-off) for RMMIs such as crypto. - Firms should be able to demonstrate why a given token is appropriate for a particular retail segment (or why retail access is restricted) in light of its risks and complexity.</t>
  </si>
  <si>
    <t>- Tab 2 consolidates your thinking on whether a given token: - should be treated as a high-risk investment for retail purposes, - should be accessible only to restricted / sophisticated / professional clients, or - should not be offered at all. - It links the token’s regulatory and legal profile to distribution and suitability decisions (e.g. requirement for appropriateness tests, extra risk warnings, or channel restrictions). - These outputs can be used to justify your target market definition, your use of appropriateness tests, and any distribution restrictions in internal Consumer Duty and product governance documentation.</t>
  </si>
  <si>
    <t>Cross-border and jurisdictional legal risk</t>
  </si>
  <si>
    <t>FCA Principles (e.g. Principle 1 – Integrity, Principle 2 – Due skill, care and diligence) and SYSC 6 expectations around having adequate compliance functions and controls to identify and manage legal/regulatory risks across jurisdictions. (FCA Handbook) Overseas regimes that may restrict marketing or availability of certain tokens to local investors (e.g. local securities or derivatives laws, bans, enforcement actions).</t>
  </si>
  <si>
    <t>- Firms are expected to avoid engaging in or facilitating activity that breaches local law in other jurisdictions, even if some aspects of the token are unregulated in the UK. - Compliance and legal teams must be able to identify where a token is subject to material overseas restrictions or enforcement, and decide whether and how to offer exposure from the UK.</t>
  </si>
  <si>
    <t>- Tab 2 includes questions on jurisdictional mapping, overseas regulatory actions and local restrictions affecting the token or its issuer. - This creates a central place where you record whether there are material overseas legal risks (e.g. securities enforcement, bans on retail marketing) that should influence your decision to list the token, how you structure access, or whether you apply additional warnings or exclusions for particular client segments or geographies.</t>
  </si>
  <si>
    <t>How Tab 3 helps evidence this</t>
  </si>
  <si>
    <t>Core AML/CTF regime &amp; firm-wide risk assessment</t>
  </si>
  <si>
    <t>Money Laundering, Terrorist Financing and Transfer of Funds (Information on the Payer) Regulations 2017 (MLRs) – e.g.: - Regulation 18 – firm-wide risk assessment of money laundering and terrorist financing risks. (Legislation.gov.uk) - Regulation 19 – policies, controls and procedures to mitigate and manage those risks. (Legislation.gov.uk) FCA Financial Crime Guide (FCG) and FG18/5 – guidance on systems and controls to counter financial crime, including market-related risks. (FCA Handbook)</t>
  </si>
  <si>
    <t>- Firms must identify, assess and understand their ML/TF risk profile, including new products and technologies, and maintain documented risk assessments. - Appropriate policies, controls and procedures must be implemented and kept up to date to mitigate identified risks. - New or developing technologies (such as cryptoassets) require a specific risk assessment and tailored controls under the risk-based approach. (Legislation.gov.uk)</t>
  </si>
  <si>
    <t>- Tab 3 provides a structured product-level ML/TF risk assessment for each token, feeding into your firm-wide Reg 18 risk assessment and product risk register. - Questions around anonymity features, obfuscation tools, typical use-cases and high-risk geographies show that you have explicitly considered ML/TF risk factors for this cryptoasset, not just for the customer base in general. - The scoring and risk banding can be referenced in your Reg 18 assessment and in the documentation of the AML risk classification for each token (e.g. “standard”, “elevated”, “intolerable”).</t>
  </si>
  <si>
    <t>Customer due diligence (CDD), enhanced due diligence (EDD) &amp; high-risk factors</t>
  </si>
  <si>
    <t>MLRs 2017 – key CDD/EDD obligations: - Regulation 27–30 – customer due diligence and ongoing monitoring. - Regulation 33 – enhanced due diligence for higher-risk situations (including high-risk third countries, complex or unusually large transactions). (Legislation.gov.uk) - Regulation 35 – PEPs; Regulation 33–35 together set out higher-risk customer factors. (Legislation.gov.uk) JMLSG Guidance (e.g. Part I, Ch. 4 – risk-based approach) emphasises assessing ML/TF risk for new products and technologies. (jmlsg.org.uk)</t>
  </si>
  <si>
    <t>- Firms must perform CDD and adapt the depth of checks based on risk, applying EDD where higher risks are identified (e.g. high-risk countries, complex structures, unusual patterns). - For new products or technologies, firms must understand how those products can be used to obscure beneficial ownership, source of funds or transaction trails, and adjust CDD/EDD accordingly. - Ongoing monitoring must detect atypical patterns and trigger review or escalation. (Legislation.gov.uk)</t>
  </si>
  <si>
    <t>- Tab 3 analyses product-specific risk factors that drive the need for EDD: - embedded privacy features, mixers/bridges/ecosystem tools commonly used for obfuscation, - typical customer and transactional profiles, - links to typologies such as scams, darknet markets or ransomware. - By scoring these factors, Tab 3 gives concrete input to your CDD/EDD risk scoring models, helping justify when a token (or flows involving a token) should be treated as requiring EDD, additional monitoring rules, or even hard blocks in certain jurisdictions or counterparties.</t>
  </si>
  <si>
    <t>FCA cryptoasset AML/CTF registration and expectations</t>
  </si>
  <si>
    <t>FCA Cryptoassets: AML / CTF regime – cryptoasset businesses in scope must register with the FCA under the MLRs and comply with the regulations. (FCA) FCA guidance on what the FCA expects to see in an AML registration application for cryptoasset firms (understanding and implementing the MLRs, including risk assessments, CDD/EDD and monitoring). (FCA)</t>
  </si>
  <si>
    <t>- In-scope crypto businesses must show a comprehensive understanding of the UK AML regime and how it is applied in the context of their products and services. - Firms must have a robust financial crime framework tailored to crypto-specific risks (e.g. pseudonymous transactions, high-velocity flows, cross-border activity). - Supervisors expect firms to evidence product-specific ML/TF risk assessment rather than generic AML boilerplate. (FCA)</t>
  </si>
  <si>
    <t>- Tab 3 evidences that your firm has gone beyond generic AML policy and carried out a cryptoasset-specific risk assessment at the individual token level. - It helps demonstrate to the FCA (or internal audit) that the firm understands: - which tokens are higher-risk from an ML/TF perspective, - how those risks are mitigated (e.g. venue choice, monitoring scenarios, thresholds, restricted jurisdictions), and - where the firm may decide not to list or to delist a token. - This can be referenced in your FCA registration file and ongoing supervisory interactions as evidence of a structured financial crime control environment around crypto offerings.</t>
  </si>
  <si>
    <t>Sanctions compliance – UK sanctions framework &amp; OFSI guidance</t>
  </si>
  <si>
    <t>Sanctions and Anti-Money Laundering Act 2018 – primary legislation for the UK’s autonomous sanctions regimes. (Legislation.gov.uk) UK financial sanctions general guidance from OFSI and HM Treasury (how to comply with financial sanctions, screening expectations, asset freezes, reporting). (GOV.UK) Wider guidance and commentary on the UK sanctions regime (e.g. Law Society guidance). (Law Society)</t>
  </si>
  <si>
    <t>- Firms must ensure they do not: - deal with sanctioned persons or entities, - make funds or economic resources available, directly or indirectly, to designated persons, or - participate in arrangements that circumvent sanctions. - Appropriate screening and controls must be in place for customers, counterparties, and (for crypto) potentially for wallets/addresses, protocols or projects that are the subject of sanctions or sectoral measures. (GOV.UK)</t>
  </si>
  <si>
    <t>- Tab 3 contains questions specifically focused on sanctions exposure, such as: - whether relevant token contracts, treasuries or major counterparties are linked to designated persons or sanctioned jurisdictions; - the presence of OFAC/UK-sanctioned addresses or entities in the project’s history or ecosystem; - whether the token is widely used in typologies that overlap with sanctions evasion. - By assigning a sanctions risk score and band, Tab 3 gives a transparent basis for deciding: - whether to permit any activity involving the token, - whether to limit access (e.g. no support for self-hosted wallets in particular jurisdictions), and - how to parameterise sanctions screening and alerts for flows involving that token.</t>
  </si>
  <si>
    <t>Financial crime systems &amp; controls – SYSC 6</t>
  </si>
  <si>
    <t>SYSC 6.1.1R – firms must establish, implement and maintain adequate policies and procedures to ensure compliance with obligations under the regulatory system, including countering the risk that the firm might be used to further financial crime. (FCA Handbook) FCA Financial Crime Guide (FCG) and related FG18/5 guidance on financial crime systems and controls, including application of SYSC 6.1.1R. (FCA Handbook)</t>
  </si>
  <si>
    <t>- Firms must have effective systems and controls proportionate to the nature, scale and complexity of their activities, including products and services that present higher financial crime risk (such as cryptoassets). - They should be able to demonstrate how they identify, assess and mitigate financial crime risks at the product, customer and transaction levels. - Supervisors place particular scrutiny on how new products and technologies are risk assessed and embedded into the financial crime framework. (FCA Handbook)</t>
  </si>
  <si>
    <t>- Tab 3 acts as a product-level financial crime risk tool within your wider SYSC 6 framework. - It documents, in a consistent and repeatable way, the key ML/TF and sanctions risk factors for each token and assigns a risk band that can feed into: - onboarding decisions (list vs do not list), - monitoring rules and thresholds (e.g. stricter surveillance for higher-risk tokens), and - periodic re-assessment cycles. - This can be pointed to in your SYSC 6 documentation and financial crime policies as the mechanism by which crypto products are brought within the firm’s risk identification, assessment and mitigation processes.</t>
  </si>
  <si>
    <t>International standards &amp; typologies (FATF, JMLSG, etc.)</t>
  </si>
  <si>
    <t>FATF Recommendations on virtual assets (VAs) and VASPs, including risk-based approach, Travel Rule, and expectations around VA-specific ML/TF risks. (Reflected in UK implementation via MLRs and FCA guidance.) (ICAEW) JMLSG guidance on risk-based approach for new products and technologies (Part I, Ch. 4). (jmlsg.org.uk)</t>
  </si>
  <si>
    <t>- Regulators expect firms to have regard to international standards on cryptoasset ML/TF risk, especially FATF’s VA/VASP guidance. - Firms should understand and respond to emerging typologies (e.g. mixing, DeFi, cross-chain bridges, ransomware, darknet markets) and not treat crypto like a simple extension of fiat payments.</t>
  </si>
  <si>
    <t>- Tab 3 explicitly incorporates crypto-specific typologies and technology risks (e.g. mixers, privacy protocols, DeFi exploits, high-risk venues) into its scoring, aligning your analysis with emerging FATF/JMLSG expectations. - This makes it easier, in audits or supervisory visits, to show that your AML/CTF assessments for cryptoassets are aligned with current international standards and not based on outdated or purely fiat-centric assumptions.</t>
  </si>
  <si>
    <t>How Tab 4 helps evidence this</t>
  </si>
  <si>
    <t>Systems and controls for technology &amp; operational risk (SYSC)</t>
  </si>
  <si>
    <t>SYSC 3.1.1R – firms must take reasonable care to establish and maintain effective systems and controls for compliance with regulatory obligations and for managing risk. SYSC 4.1.1R – firms must have robust governance arrangements, including effective processes to identify, manage, monitor and report risks. SYSC 13 &amp; 13.7 (for certain firms) – additional expectations around operational risk and business continuity.</t>
  </si>
  <si>
    <t>- Technology and operational arrangements (including those supporting crypto services) must be fit for purpose, controlled, and subject to appropriate risk management. - Firms must be able to identify and monitor key operational/technical risks in the products they offer, not just in their own internal IT stack. - Senior management should be able to explain how technical risk in products is understood, monitored and reflected in risk appetite and controls.</t>
  </si>
  <si>
    <t>- Tab 4 gives a structured assessment of protocol and smart contract security, feeding directly into the firm’s SYSC 3/4 view of operational risk associated with the token. - Questions around vulnerability management, incident history, governance controls and resilience build a documented record of the technical risks you are accepting by listing/supporting this token. - The resulting scores and risk bands can be referenced in risk appetite discussions, product approval papers and the operational risk register as evidence that crypto product technical risks are being actively assessed.</t>
  </si>
  <si>
    <t>Operational resilience – important business services and impact of disruption</t>
  </si>
  <si>
    <t>FCA Operational Resilience framework (PS21/3 and related rules in the FCA Handbook – primarily in SYSC and the Operational Resilience sourcebook for in-scope firms): firms must identify important business services, set impact tolerances and ensure they can remain within those tolerances under severe but plausible disruptions.</t>
  </si>
  <si>
    <t>- Firms must understand how reliance on particular technologies, infrastructures or third-party services could cause intolerable harm to customers or market integrity if they fail. - Crypto-related services (e.g. custody, trading, staking) that are “important business services” require particular attention to resilience and failure modes. - There should be a clear view of how protocol-level failures or exploits could affect the firm’s ability to deliver services within impact tolerances.</t>
  </si>
  <si>
    <t>- Tab 4 helps identify tokens where protocol or contract weaknesses could realistically cause service disruption (e.g. trading halts, frozen funds, permanent loss) for your clients. - Where a token underpins an important business service (e.g. major trading pair, staking product), Tab 4 scores and narratives inform your operational resilience mapping, by documenting the likelihood and impact of technical failure. - These insights can be used to support decisions such as position limits, venue selection, contingency plans and disclosure in operational resilience documentation.</t>
  </si>
  <si>
    <t>Outsourcing, third-party and dependency risk</t>
  </si>
  <si>
    <t>SYSC 8 – outsourcing: requires that where a firm outsources critical or important operational functions, it must ensure the service provider has the ability, capacity and authorisation to carry out the functions reliably and professionally, and that the firm remains responsible for compliance. FCA outsourcing / third-party risk guidance emphasises understanding dependencies and ensuring appropriate oversight and exit strategies.</t>
  </si>
  <si>
    <t>- Firms must identify and manage critical dependencies on third-party providers (including technology providers, infrastructure, and crucial external services such as oracles or bridges). - Outsourcing or relying on third parties does not dilute the firm’s responsibility; firms must ensure they have adequate oversight, contingency and control.</t>
  </si>
  <si>
    <t>- Tab 4 captures key technical dependencies for each token (e.g. reliance on a specific oracle network, bridge, centralised sequencer, governance admin key, custodian or infrastructure provider). - It allows you to flag tokens where a single failure point (e.g. centralised multisig, unaudited bridge, off-chain oracle dependency) creates an unacceptable level of dependency risk. - You can use the Tab 4 outputs to explain, in your outsourcing/third-party risk framework, why certain tokens are restricted, require additional monitoring, or are only supported on particular venues or custody arrangements.</t>
  </si>
  <si>
    <t>Cyber &amp; information security expectations</t>
  </si>
  <si>
    <t>FCA guidance and SYSC provisions emphasising IT and cyber security as part of effective systems and controls (e.g. FCG cyber guidance, thematic reviews on cyber and technology resilience). PRA/FCA material on cyber risk (e.g. cyber resilience statements, Dear CEO letters) often stresses the need for robust protection against cyber attacks and fraud.</t>
  </si>
  <si>
    <t>- Firms must take steps to ensure that IT environments and interfaces with external systems (including crypto protocols, APIs, nodes, wallets) are secure. - Where a product relies on external protocols and smart contracts, firms should understand key vulnerability vectors (e.g. admin key compromise, oracle manipulation, re-entrancy exploits) and reflect them in risk management.</t>
  </si>
  <si>
    <t>- Tab 4 surfaces whether a token’s protocol and contracts have a history of exploits or critical vulnerabilities, whether security best practices (e.g. audited, open-source, peer-reviewed code) are in place, and how quickly issues have been remediated in the past. - This allows your IT/cyber risk function and product owners to see where technical risk is particularly acute and where additional controls (e.g. limited functionality, enhanced monitoring, no leverage or derivatives on that token) may be required. - It also creates a record that cyber/technical risk has been considered at product level, not just at infrastructure level.</t>
  </si>
  <si>
    <t>Market integrity and conduct – impact of technical design on fairness and manipulation</t>
  </si>
  <si>
    <t>Principles for Businesses – particularly: - Principle 1 (Integrity) – conducting business with integrity. - Principle 2 (Skill, care and diligence) – managing products and risks competently. FCA market abuse / market integrity expectations (while the formal UK MAR regime may not apply directly to unregulated cryptoassets, the FCA expects firms to manage market integrity and abuse risks in line with their authorisations and permissions).</t>
  </si>
  <si>
    <t>- Firms are expected not to facilitate markets or products that are structurally prone to abuse or unfair outcomes, particularly where technical design encourages manipulation or unfair advantage. - Even where a specific regime (like MAR) is not fully applicable, firms must consider conduct and integrity risks arising from product structures and protocols (e.g. privileged insiders, upgrade powers, oracle design).</t>
  </si>
  <si>
    <t>- Tab 4 includes questions on upgrade and control mechanisms, oracle design, admin keys and governance rights, which affect the potential for technical manipulation (e.g. changing rules mid-game, pausing contracts, shutting out users). - By scoring these factors, you can distinguish between tokens with robust, decentralised, transparent technical control structures and those where a small group can materially change or halt the protocol, raising integrity concerns. - This supports conduct and market integrity obligations by demonstrating that technical features that could facilitate unfair practices have been explicitly considered before listing.</t>
  </si>
  <si>
    <t>Consumer Duty – reliability and foreseeable harm from technical failure</t>
  </si>
  <si>
    <t>PRIN 2A – Consumer Duty, especially: - Products and services outcome (PRIN 2A.3) – products should function as anticipated and deliver outcomes in line with customers’ needs. - Consumer support / foreseeable harm concepts – firms should avoid causing foreseeable harm through poor product design or unreliable services.</t>
  </si>
  <si>
    <t>- Firms should not offer products where foreseeable and material technical failures are likely to cause harm (e.g. repeated contract exploits, unsafe bridges, known critical vulnerabilities). - Where technical risk is material, it should be reflected in product design, disclosures, restrictions, and ongoing oversight.</t>
  </si>
  <si>
    <t>- Tab 4 gives an explicit, quantitative view of foreseeable technical harms: probability and impact of exploit, contract failure, or protocol malfunction. - This supports Consumer Duty by allowing you to show that you identified foreseeable technical harms, assessed their severity, and either: - mitigated them (through controls, disclosures, product design), or - decided not to offer or to withdraw exposure to certain tokens. - The Tab 4 narrative can be incorporated into Duty-focused product reviews and outcome assessments.</t>
  </si>
  <si>
    <t>How Tab 5 helps evidence this</t>
  </si>
  <si>
    <t>Market integrity &amp; market abuse (even where MAR doesn’t strictly apply)</t>
  </si>
  <si>
    <t>FCA Market Abuse Regulation (MAR) material – MAR aims to increase market integrity and investor protection by tackling insider dealing, unlawful disclosure and market manipulation.(FCA) FCA market abuse pages stress firms’ responsibility for safeguards against abusive behaviours.(FCA) FCA DP24/4 – Regulating cryptoassets: Admissions &amp; Disclosures and Market Abuse Regime for Cryptoassets (MARC) – developing a crypto-specific market abuse regime that mirrors MAR-style outcomes.(FCA)</t>
  </si>
  <si>
    <t>- Firms should not facilitate trading environments that are systemically prone to abuse (e.g. persistent manipulation, wash trading, insider dealing), even where MAR technically applies only to certain instruments/venues. - Cryptoasset markets are increasingly expected to align with market integrity standards similar to those under MAR, especially as a dedicated MARC framework is developed. - Firms should have arrangements and surveillance to identify unusual or abusive patterns and respond appropriately.(FCA)</t>
  </si>
  <si>
    <t>- Tab 5 specifically looks for indicators of wash trading, spoofing-style activity, extreme concentration of volume or holdings, and structurally weak venues, giving a transparent assessment of the market integrity for each token. - High scores in the “manipulation/abuse” questions provide a clear signal that the token’s trading environment may be inconsistent with the FCA’s expectations on orderly and abuse-resistant markets, even if the token/venue is formally outside MAR. - These outputs support your argument that you either: - apply enhanced surveillance and restrictions for certain tokens; or - decline to list them where market integrity is too weak.</t>
  </si>
  <si>
    <t>Best execution, order handling and fair pricing / liquidity</t>
  </si>
  <si>
    <t>COBS 11 – Dealing and managing: - COBS 11.2A (Best execution – MiFID provisions) – firms must take all reasonable steps to obtain the best possible result for clients, considering price, costs, speed, likelihood of execution/settlement and other relevant factors.(beta-handbook.fca.org.uk) - COBS 11.3 – client order handling rules (fair, prompt, expeditious execution; avoiding adverse impact on clients).</t>
  </si>
  <si>
    <t>- Where best execution obligations apply, firms must be able to demonstrate that they considered liquidity, spreads, depth and execution likelihood across different venues when designing execution arrangements. - Even outside strict MiFID best execution scope, firms promoting trading in certain assets are expected to consider whether the trading environment produces fair pricing and reasonable execution outcomes.</t>
  </si>
  <si>
    <t>- Tab 5’s focus on liquidity depth, spreads, slippage and venue quality gives a structured view of whether it is realistically possible to achieve “good” execution outcomes in the token under plausible trade sizes. - The scores highlight tokens where liquidity is so thin or fragmented that material slippage or failed execution is likely, which can be factored into: - your best execution policy, - internal lists of tokens permitted for execution, and - position size / ticket size guidance. - This helps demonstrate that you have considered liquidity and execution factors in line with COBS 11.2A/11.3, even where the token trades on venues technically outside MiFID scope.</t>
  </si>
  <si>
    <t>Consumer Duty – price &amp; value, foreseeable harm from illiquidity and volatile trading conditions</t>
  </si>
  <si>
    <t>PRIN 2A – Consumer Duty: - PRIN 2A.3 Products and services outcome – products should work as reasonably expected and be designed for a defined target market. - PRIN 2A.4 Price and value outcome – there should be a reasonable relationship between price and benefits; poor value can arise where trading conditions impose excessive friction.(FCA) FCA commentary on high-risk investments and crypto promotions emphasises the need to consider liquidity, volatility and exit risk when assessing suitability for retail investors.(FCA)</t>
  </si>
  <si>
    <t>- Firms should not put customers into products where foreseeable trading conditions (e.g. chronic illiquidity, extreme slippage, inability to exit) are likely to cause foreseeable harm or poor value. - Liquidity, volatility and depth should be factored into decisions about whether a cryptoasset is appropriate for retail, restricted to certain client types, or not offered at all.</t>
  </si>
  <si>
    <t>- Tab 5 quantifies liquidity and exit risk (spreads, depth, ability to execute in typical trade sizes) and flags tokens where customers may struggle to exit positions at a fair price. - It also considers volatility / market quality elements that can make realisable value materially different from notional value (e.g. manipulated pumps, thin order books). - These insights support your Consumer Duty work by linking the economic experience clients actually get in the market to your product and value assessments – and can justify limiting or prohibiting retail access where market conditions are consistently poor.</t>
  </si>
  <si>
    <t>Financial promotions for high-risk investments / cryptoassets – clarity about trading conditions</t>
  </si>
  <si>
    <t>PS23/6 – Financial promotion rules for cryptoassets and associated guidance: qualifying cryptoassets are treated as Restricted Mass Market Investments (RMMIs) with strengthened promotion rules (risk warnings, appropriateness, cooling-off, banned incentives).(FCA) FCA good and poor practice review on back-end cryptoasset financial promotions (2024) emphasises that firms must ensure ongoing promotions remain fair, clear and not misleading, including around liquidity and trading risks.(FCA) Under COBS 4, financial promotions (including crypto) must be fair, clear and not misleading, and must not disguise, diminish or obscure important information.(FCA)</t>
  </si>
  <si>
    <t>- Promotions for cryptoassets must give a balanced and accurate picture of the risks, including those arising from illiquidity, volatility, potential for slippage, and venue quality. - Firms must ensure that what is said about tradability, liquidity and “ease of exit” is true in practice and not undermined by actual market conditions. - Where liquidity or market quality changes over time, firms should review whether promotions remain accurate and compliant.</t>
  </si>
  <si>
    <t>- Tab 5 helps you check whether claims about a token being “liquid”, “widely traded” or “easy to exit” are actually supported by data (depth, spreads, number/quality of venues). - Where Tab 5 scores indicate weak or deteriorating liquidity, you can: - review and adjust cryptoasset promotions, - add or strengthen risk warnings about liquidity/exit risk, or - restrict marketing to certain client types. - This provides a clear evidential link between observed market conditions and how you draft and maintain crypto financial promotions under PS23/6 and COBS 4.</t>
  </si>
  <si>
    <t>Financial crime through markets – wash trading, layering and manipulation via illiquid markets</t>
  </si>
  <si>
    <t>FCA analysis on Money Laundering Through the Markets (MLTM) highlights how capital markets can be used to move criminally generated funds and that thin or opaque markets are particularly vulnerable to manipulation and layering.(FCA) FCA speeches and strategy documents on fighting financial crime and market abuse stress surveillance and controls in markets with higher inherent manipulation risk.(FCA)</t>
  </si>
  <si>
    <t>- Firms should recognise that illiquid or lightly regulated trading venues can be used to facilitate both market abuse and broader financial crime (e.g. wash trading to create artificial volume, layering to move value). - They are expected to design surveillance and product governance frameworks that account for these vulnerabilities, especially where they list or support trading in such instruments.</t>
  </si>
  <si>
    <t>- Tab 5 explicitly looks at volume quality, patterns of trading and concentration, making it easier to identify tokens where wash trading or artificial volume is likely. - High-risk findings in Tab 5 can be directly linked into: - enhanced surveillance scenarios, - controls around which venues you will route orders to, and - decisions to avoid listing or to delist tokens with persistent integrity red flags. - This shows that your firm is connecting market integrity and financial crime risks into product and venue selection, not just client-level AML controls.</t>
  </si>
  <si>
    <t>How Tab 6 helps evidence this</t>
  </si>
  <si>
    <t>Consumer Duty – culture, foreseeable harm and trust</t>
  </si>
  <si>
    <t>PRIN 2A – Consumer Duty: requires firms to act to deliver good outcomes for retail customers, including products &amp; services, price &amp; value, consumer understanding and support.(FCA Handbook) The Duty and related guidance emphasise firm culture, governance and monitoring of outcomes, not just technical rule compliance.(Simmons &amp; Simmons)</t>
  </si>
  <si>
    <t>- Firms should not engage in or promote products where foreseeable harm is likely – including harm to trust and confidence – because of the way a project behaves, communicates or treats users. - Culture and conduct around products (e.g. repeated controversies, misleading claims, aggressive hype) are relevant to assessing overall outcomes. - Boards and senior managers must consider whether a product fits with the firm’s values and customer proposition, not just whether it’s technically allowed.</t>
  </si>
  <si>
    <t>- Tab 6 surfaces strategic and reputational red flags: past scandals, enforcement actions, fraud allegations, customer harm episodes, or patterns of behaviour by founders/teams that make foreseeable harm more likely. - It allows you to document when a token is in tension with your stated customer outcomes and values, even if it can be structured to be technically compliant. - The resulting scores and narratives support Consumer Duty governance by showing you have considered wider trust and cultural aspects in deciding whether to list / maintain / restrict a token.</t>
  </si>
  <si>
    <t>Anti-greenwashing &amp; ESG/sustainability claims</t>
  </si>
  <si>
    <t>FCA’s Sustainability Disclosure Requirements (SDR) and investment labels regime (PS23/16) introduces an anti-greenwashing rule that applies to all FCA-authorised firms making sustainability-related claims.(FCA) The anti-greenwashing rule requires that any sustainability-related claims be fair, clear and not misleading and consistent with the product’s actual sustainability characteristics.(FCA) FCA guiding principles on ESG/sustainable investment funds (Dear Chair letter and follow-up reviews) set expectations that ESG claims are specific, evidence-based and reflected in holdings.(FCA)</t>
  </si>
  <si>
    <t>- Any claims your firm makes about ESG, sustainability, impact or responsibility – including in crypto-related products and marketing – must be accurate, substantiated and not exaggerated. - Firms must avoid greenwashing or “ESG-washing”, including by associating with projects whose actual practices conflict with the sustainability story presented to clients. - If a firm positions itself as ESG-aware or uses sustainability language, its product set should be broadly coherent with that positioning.</t>
  </si>
  <si>
    <t>- Tab 6 assesses whether the token’s environmental, social and governance reality is broadly aligned with any ESG or “responsible investing” narrative you use, or that the issuer uses and you might amplify. - High ESG-risk scores (e.g. significant environmental concerns, governance controversies, social harms) help you identify tokens where including them in “responsible” or ESG-themed offerings could breach anti-greenwashing expectations. - The tab’s outputs can be referenced when documenting how you have ensured ESG-related claims about your crypto offerings are consistent with underlying assets, in line with the anti-greenwashing rule and SDR expectations.</t>
  </si>
  <si>
    <t>ESG / sustainability disclosure expectations for investment products</t>
  </si>
  <si>
    <t>FCA PS23/16 – SDR and investment labels: sets rules for UK asset managers on sustainability labels, product &amp; entity-level ESG disclosures, and naming &amp; marketing of sustainable products.(FCA) FCA’s earlier guiding principles for ESG/sustainable funds highlight design, delivery and disclosure expectations – clear ESG objectives, coherent strategies and holdings that match stated aims.(FCA)</t>
  </si>
  <si>
    <t>- Where firms offer sustainable or ESG-labelled products, regulators expect a clear link between: - the stated ESG objectives of the product, and - the actual assets held or referenced (including tokens). - ESG claims should be internally consistent across products, disclosures and marketing; holdings should not materially contradict the stated ESG characteristics.</t>
  </si>
  <si>
    <t>- Tab 6 helps you determine whether including a particular token in ESG-labelled or sustainability-themed portfolios would be credible, or whether it would undermine those claims. - For tokens scoring poorly on ESG dimensions (e.g. environmentally intensive, governance controversies, social harms), Tab 6 provides a documented rationale for: - excluding them from ESG products, - restricting them to non-ESG ranges, or - applying additional disclosure if exposures are unavoidable. - This supports your ability to evidence that ESG-themed offerings match their stated ESG profile, as expected under SDR and related guidance.</t>
  </si>
  <si>
    <t>Governance, SMCR and reputational risk management</t>
  </si>
  <si>
    <t>PRIN 2.1 – Principles for Businesses include: - Principle 1 – Integrity, - Principle 2 – Skill, care and diligence, - Principle 3 – Management and control (adequate risk management systems), and - Principle 6 – Customers’ interests.(FCA Handbook) SYSC 4.1.1R – firms must have robust governance arrangements including effective processes to identify, manage, monitor and report the risks they are exposed to.(FCA Handbook) FCA commentary on reputational risk highlights the need for firms to use that concept carefully and consistently, not as a vague catch-all, and to link it to concrete risk factors and decisions.(FCA)</t>
  </si>
  <si>
    <t>- Firms are expected to manage reputational risk in a structured way linked to real underlying issues (e.g. customer harm, misconduct, ESG controversies), not as an arbitrary veto. - Senior Managers must be able to explain and justify why certain products or relationships are acceptable or not in terms of the firm’s integrity, culture and risk appetite. - Governance frameworks should show how issues such as misconduct history, enforcement actions, social harm, or controversial industries are factored into product decisions.</t>
  </si>
  <si>
    <t>- Tab 6 gives you a systematic framework for assessing reputational risk at the token/project level: - prior enforcement or regulatory actions; - serious fraud or misconduct allegations; - ongoing controversies or social harms; - alignment with or divergence from your firm’s stated values and strategy. - The resulting reputational/strategic risk scores and bands can be explicitly referenced in product approval, review and exit decisions, demonstrating that reputational risk has been considered in a structured, evidence-based way rather than as an ad hoc label. - This supports PRIN 1–3 and SYSC expectations around integrity, skill and control in managing your product set.</t>
  </si>
  <si>
    <t>Culture, conduct and wider societal impact / ESG expectations</t>
  </si>
  <si>
    <t>FCA speeches, Dear CEO letters and thematic work on culture and conduct emphasise that firms must embed cultures that prioritise good customer outcomes and integrity, not short-term gains. FCA sustainable finance/ESG work (e.g. SDR, guiding principles, consultations on ESG ratings) reflects broader regulatory expectations that firms take ESG factors and societal impact seriously where relevant to their activities.(FCA)</t>
  </si>
  <si>
    <t>- The FCA increasingly expects firms to think about how their products affect customers and markets in the round, including societal and environmental dimensions where relevant. - Culture is judged not just by internal policies, but by which clients, sectors and products firms choose to support, and how they behave when issues arise.</t>
  </si>
  <si>
    <t>- Tab 6 allows you to capture whether association with a given token is consistent with the culture and societal stance your firm is trying to maintain (e.g. around environmental impact, human rights, exploitation, governance standards). - By documenting where there is a serious misalignment (e.g. repeated association with scams, exploitative schemes, or environmentally extreme practices), Tab 6 helps you justify: - declining to list or withdrawing support; - limiting distribution channels; or - applying enhanced disclosures and governance around that token. - This makes it easier to show, in culture and ESG discussions with regulators, that product choices are aligned with the firm’s stated values and ESG strategy, not just short-term commercial opportunities.</t>
  </si>
  <si>
    <t>Question_ID</t>
  </si>
  <si>
    <t>Question_Text</t>
  </si>
  <si>
    <t>Raw_Response</t>
  </si>
  <si>
    <t>Confidence</t>
  </si>
  <si>
    <t>Raw_Points</t>
  </si>
  <si>
    <t>Reliability_Modifier</t>
  </si>
  <si>
    <t>Reliability_Adjusted_Points</t>
  </si>
  <si>
    <t>Source_Citations</t>
  </si>
  <si>
    <t>Source_Dates</t>
  </si>
  <si>
    <t>Accessed_Dates</t>
  </si>
  <si>
    <t>Most_Recent_Source_Date</t>
  </si>
  <si>
    <t>Days_Since_Source</t>
  </si>
  <si>
    <t>Staleness_Class</t>
  </si>
  <si>
    <t>Staleness_Penalty</t>
  </si>
  <si>
    <t>Final_Score</t>
  </si>
  <si>
    <t>Board_Escalation_Flag</t>
  </si>
  <si>
    <t>Trigger_Rule_Description</t>
  </si>
  <si>
    <t>Narrative_Justification</t>
  </si>
  <si>
    <t>Debug Notes</t>
  </si>
  <si>
    <t>A. Purpose &amp; Utility</t>
  </si>
  <si>
    <t>A1.1</t>
  </si>
  <si>
    <t>Primary token category (Primary &amp; Secondary). Answer using exactly this format: "Primary: &lt;one of: Native L1, Gas/Fee, Governance, Utility, LP/AMM, Stablecoin, Asset-Backed, Meme/Narrative, Other&gt;; Secondary: &lt;one of the same list&gt;". Do not add explanations or extra words.</t>
  </si>
  <si>
    <t>Primary: Native L1; Secondary: Gas/Fee</t>
  </si>
  <si>
    <t>High</t>
  </si>
  <si>
    <t>https://docs.avax.network/learn/avalanche/avax; https://docs.avax.network/build/subnet/elastic-subnets/avalanche-c-chain</t>
  </si>
  <si>
    <t>2023-06-01; 2023-05-01</t>
  </si>
  <si>
    <t>2025-12-12; 2025-12-12</t>
  </si>
  <si>
    <t>Evergreen–No Penalty</t>
  </si>
  <si>
    <t>No Review</t>
  </si>
  <si>
    <t>Helper row; scored via primary role only.</t>
  </si>
  <si>
    <t>AVAX is the native token of the Avalanche network, required for staking/validation and used as the base unit of account across its subnets, making it a Native L1 asset. It is also the primary gas and transaction fee token on the C-Chain and other EVM-compatible subnets, so Gas/Fee is the most appropriate secondary category.</t>
  </si>
  <si>
    <t>A1.2</t>
  </si>
  <si>
    <t>Stated value proposition (one-sentence summary).</t>
  </si>
  <si>
    <t>Avalanche aims to provide a highly scalable, low-latency, and customizable Layer-1 blockchain platform—powered by its Avalanche consensus and subnet architecture—for deploying decentralized applications and custom blockchains with near-instant finality and low fees.</t>
  </si>
  <si>
    <t>https://www.avax.network/about/avalanche-avax/; https://www.avax.network/about/press/introduction-to-avalanche/; https://www.avax.network/about/consensus</t>
  </si>
  <si>
    <t>2024-11-15; 2024-10-20; 2024-10-01</t>
  </si>
  <si>
    <t>2025-12-12; 2025-12-12; 2025-12-12</t>
  </si>
  <si>
    <t>Descriptive only; no escalation.</t>
  </si>
  <si>
    <t>Avalanche’s own materials describe it as an open, programmable, highly scalable platform offering high throughput, sub‑second or near‑instant finality, low fees, and support for custom blockchains/subnets for diverse dApps and asset tokenization, which together form its core value proposition.</t>
  </si>
  <si>
    <t>A1.3</t>
  </si>
  <si>
    <t>Does real-world usage match the stated purpose? (Yes / Partial / No).</t>
  </si>
  <si>
    <t>Partial</t>
  </si>
  <si>
    <t>https://www.avax.network/about/avalanche-avax/; https://messari.io/report/state-of-avalanche-q3-2024; https://blockchainreporter.net/avalanche-tvl-hits-1-74b-top-10-projects-dominating-the-ecosystem/</t>
  </si>
  <si>
    <t>2025-05-14; 2024-10-15; 2024-02-01</t>
  </si>
  <si>
    <t>Operational–Medium</t>
  </si>
  <si>
    <t>Escalate only if stated purpose does not match real-world usage AND confidence is Low.</t>
  </si>
  <si>
    <t>Avalanche’s stated purpose is to be a high‑throughput, low‑latency, programmable platform for DeFi, dApps, and custom blockchains, ultimately aiming to tokenize global assets. In practice, it has significant DeFi adoption (Aave, Benqi, Trader Joe/LFJ, GMX) with TVL in the low‑billion‑dollar range and active usage of subnets, including gaming and real‑world‑asset tokenization like BlackRock‑backed BUIDL. This shows strong alignment with its DeFi/dApp and subnet vision, but its broader ambition to digitize “all the world’s assets” remains only partially realized, so alignment is best described as Partial.</t>
  </si>
  <si>
    <t>A1.4</t>
  </si>
  <si>
    <t>List current real use cases (bulleted).</t>
  </si>
  <si>
    <t>- Decentralized finance (DeFi): Lending, DEXs, stablecoin settlement, and yield protocols on the C‑Chain (e.g., Aave, Curve and broader DeFi activity supported by growing on‑chain stablecoin supply).
- Gaming and metaverse: High‑throughput game subnets such as DeFi Kingdoms’ DFK Chain, Shrapnel, Gunzilla/Off the Grid and Beam, using AVAX infrastructure for in‑game assets and transactions.
- Enterprise / institutional finance: Tokenization and settlement of financial instruments and funds on Avalanche Evergreen/regulated subnets by institutions like JP Morgan, Citi, HSBC, VanEck and others (e.g., tokenized treasuries, short‑term debt, private equity, portfolio management).
- Real‑world asset (RWA) tokenization: Tokenized real estate, film rights, structured finance products (e.g., IntainMARKETS), carbon and other assets issued on Avalanche subnets and the C‑Chain.
- Ticketing &amp; loyalty: Enterprise partners (e.g., Dreamus/OK Cashbag, Tixbase/PASSO) using Avalanche to issue verifiable event tickets and loyalty benefits, reducing fraud and enabling secondary markets.
- Public sector and registries: Projects like the California DMV’s pilot to put vehicle titles and transfers on Avalanche infrastructure.
- NFTs, collectibles &amp; media: NFT marketplaces and media projects using Avalanche for digital collectibles, creator monetization and related Web3 experiences.
- Core network utility: AVAX used as gas, for staking/validation, and for securing and participating in subnets, which power many of the above applications.</t>
  </si>
  <si>
    <t>https://www.avax.network/about/blog/7-avalanche-use-cases/; https://levex.com/en/blog/avalanche-guide; https://ambcrypto.com/blog/what-is-avax-avalanche-crypto-guide/</t>
  </si>
  <si>
    <t>2025-11-20; 2025-12-01; 2025-06-01</t>
  </si>
  <si>
    <t>No trigger; used by A1.5/A3.1.</t>
  </si>
  <si>
    <t>Bullets summarize major categories of live Avalanche usage across DeFi, gaming subnets, institutional tokenization/RWAs, ticketing/loyalty, public registries, NFTs, and core network functions. Each cited source directly documents concrete applications or institutional integrations rather than hypothetical plans, supporting that these are current real use cases.</t>
  </si>
  <si>
    <t>A1.5</t>
  </si>
  <si>
    <t>Identify and weight the main user groups of the token. Answer only in this format, using up to three groups: "&lt;Group1&gt; (primary), &lt;Group2&gt; (secondary), &lt;Group3&gt; (minor)". Choose user groups from: Developers, Validators, Retail, Institutions, Protocol integrators, Speculators. If speculators are only a minor group, write "Speculators (minor)". If they are a major driver, write "Speculators (primary)". Do not add any other words or explanation.</t>
  </si>
  <si>
    <t>Retail (primary), Developers (secondary), Speculators (minor)</t>
  </si>
  <si>
    <t>Medium</t>
  </si>
  <si>
    <t>Escalate only if speculative demand dominates AND no real use cases exist (A1.4 = 0 items).</t>
  </si>
  <si>
    <t>AVAX is broadly used by retail users for transfers, DeFi, and dApps on Avalanche, making them the primary group. Developers are significant users via gas, deployment, and protocol tooling. Speculators are present but, relative to core network usage and builder activity, are best characterized as a minor group for this classification exercise.</t>
  </si>
  <si>
    <t>A1-N</t>
  </si>
  <si>
    <t>≤120-word narrative summary for A.1 (purpose &amp; design).</t>
  </si>
  <si>
    <t>AVAX is the native utility token of the Avalanche Primary Network, designed to secure a high‑throughput, proof‑of‑stake, Snowman/Avalanche‑based blockchain platform. AVAX’s primary purposes are to pay transaction and subnet fees, provide the staking collateral that secures validators and delegators, and serve as the unit of account across Avalanche L1s and subnets. Supply is hard‑capped at 720M AVAX, with about half minted at genesis and the remainder issued as staking rewards. All base transaction fees are paid in AVAX and burned, aligning tokenholder incentives with network usage and security.</t>
  </si>
  <si>
    <t>https://build.avax.network/docs/primary-network/avax-token; https://support.avax.network/en/articles/6912428-tokenomics-faq; https://www.cube.exchange/what-is/avalanche</t>
  </si>
  <si>
    <t>2024-10-15; 2024-10-01; 2025-12-01</t>
  </si>
  <si>
    <t>Informational only; no trigger.</t>
  </si>
  <si>
    <t>Summary focuses on AVAX’s role in fees, staking-based security, unit of account across L1s/subnets, capped supply, and fee burn, all of which are clearly described in Avalanche’s official docs and tokenomics FAQs. These directly support the described purpose and design of the token.</t>
  </si>
  <si>
    <t>A2.1</t>
  </si>
  <si>
    <t>Is the token required for core protocol operation? (Yes / Partially / No).</t>
  </si>
  <si>
    <t>Yes</t>
  </si>
  <si>
    <t>https://build.avax.network/docs/primary-network/avax-token; https://support.avax.network/en/articles/6187511-validator-faq; https://support.avax.network/en/articles/6912428-tokenomics-faq</t>
  </si>
  <si>
    <t>2024-11-15; 2024-10-01; 2024-10-01</t>
  </si>
  <si>
    <t>AVAX is the native utility token of the Avalanche Primary Network and is used to pay transaction fees (gas) and to secure the network via proof-of-stake validator staking. Validators must stake AVAX to participate in consensus, and all Primary Network gas fees are paid in AVAX and burned. These roles are intrinsic to core protocol operation, so the token is required rather than optional.</t>
  </si>
  <si>
    <t>A2.2</t>
  </si>
  <si>
    <t>Does the token provide access to meaningful network services? (Yes / Limited / No).</t>
  </si>
  <si>
    <t>https://docs.avax.network/learn/avalanche/avax-token; https://docs.avax.network/validators/overview</t>
  </si>
  <si>
    <t>AVAX is the native token of the Avalanche network and is required to pay transaction fees, secure the network via staking as a validator or delegator, and participate in governance/parameter decisions. It is also used across Avalanche subnets and as a unit of account for creating and operating custom blockchains on the platform. These constitute meaningful, core network services rather than purely speculative or cosmetic functions.</t>
  </si>
  <si>
    <t>A2.3</t>
  </si>
  <si>
    <t>How dependent is utility on future network growth? (Low / Moderate / High).</t>
  </si>
  <si>
    <t>https://docs.avax.network/learn/avalanche/avax-token; https://docs.avax.network/learn/avalanche/subnets; https://subnets.avax.network</t>
  </si>
  <si>
    <t>2024-06-01; 2023-10-01</t>
  </si>
  <si>
    <t>AVAX’s primary utilities—gas for smart contracts and subnets, staking for validator rewards, and use as a base unit of account across Avalanche’s DeFi, NFT, and gaming ecosystems—scale directly with on-chain activity and the number of subnets/applications. While AVAX already has existing usage, long‑term demand is structurally tied to future growth in transaction volume, dApp adoption, and subnet proliferation, implying high dependence on continued network growth for sustaining and expanding utility.</t>
  </si>
  <si>
    <t>A2-N</t>
  </si>
  <si>
    <t>≤120-word narrative summary for A.2 (utility &amp; necessity).</t>
  </si>
  <si>
    <t>AVAX is the native utility token of the Avalanche Primary Network, required to pay gas fees across the P‑, X‑ and C‑Chains and many subnets. All base transaction fees are paid in AVAX and burned, linking token demand to actual network usage. AVAX must be staked by validators and delegators to secure consensus in Avalanche’s proof‑of‑stake system, with stake weight determining validator influence and rewards. It also serves as the unit of account for value transfer and for creating/operating subnets and L1s, making AVAX structurally necessary for core network operation rather than an optional or purely speculative asset.</t>
  </si>
  <si>
    <t>2024-06-01; 2024-10-01; 2024-05-15</t>
  </si>
  <si>
    <t>Official docs and multiple independent analyses consistently state that AVAX is required for gas, staking-based security, and subnet operations, with all fees burned. These functions tie AVAX demand and economic value directly to core protocol usage, indicating strong, non-optional utility within the Avalanche ecosystem.</t>
  </si>
  <si>
    <t>A3.1</t>
  </si>
  <si>
    <t>Is token demand usage-driven, mixed, or speculative? (Usage-driven / Mixed / Speculative).</t>
  </si>
  <si>
    <t>Mixed</t>
  </si>
  <si>
    <t>https://docs.avax.network/learn/avalanche/avax; https://docs.avax.network/validators/staking; https://www.coingecko.com/en/coins/avalanche</t>
  </si>
  <si>
    <t>2024-01-15; 2023-10-01; 2025-12-10</t>
  </si>
  <si>
    <t>Escalate only if demand is speculative AND no real use cases exist (A1.4 = 0 items).</t>
  </si>
  <si>
    <t>AVAX demand is mixed. It has clear usage utility: used for gas fees, staking and validator rewards, and as the primary unit of account across Avalanche subnets and DeFi/NFT applications, giving it ongoing transactional and security demand. At the same time, it is widely traded on centralized and decentralized exchanges with significant speculative activity and price volatility, so a substantial share of demand is investment/speculation rather than purely usage-driven.</t>
  </si>
  <si>
    <t>A3-N</t>
  </si>
  <si>
    <t>≤120-word narrative summary for A.3 (demand characterization).</t>
  </si>
  <si>
    <t>Demand for AVAX is driven by its role as the primary gas token and fee unit on Avalanche’s C-Chain and broader network, validator staking collateral, and participation in governance. Validators must stake AVAX to secure the network and earn rewards, creating structural demand and some lock-up. AVAX is also required for deploying and interacting with smart contracts and subnets, and is used for cross-chain transfers within the Avalanche tri-chain architecture. Additional demand comes from DeFi, NFTs, and other dApps built on Avalanche that use AVAX for trading pairs, collateral, and incentives, linking usage growth to token demand.</t>
  </si>
  <si>
    <t>https://docs.avax.network/learn/avalanche/avax-token; https://docs.avax.network/learn/avalanche/why-avalanche; https://docs.avax.network/quickstart/fund-a-wallet</t>
  </si>
  <si>
    <t>2024-04-01; 2023-08-01; 2023-06-01</t>
  </si>
  <si>
    <t>Summary is based on Avalanche’s documented token utility (gas, staking, governance) and its role across C-Chain and subnets, plus ecosystem usage in DeFi and dApps. These are well-established, stable design features, so confidence is high.</t>
  </si>
  <si>
    <t>B. Governance &amp; Control</t>
  </si>
  <si>
    <t>B1.1</t>
  </si>
  <si>
    <t>What legal/organisational form anchors the protocol? Choose one: DAO, Hybrid (Foundation + DAO), Foundation, Company, Unknown.</t>
  </si>
  <si>
    <t>Foundation</t>
  </si>
  <si>
    <t>https://www.avax.network/about/foundation; https://cryptonews.net/news/finance/31600238/; https://www.ft.com/content/87b5cb20-e86c-4849-8959-ee1f87ffb388</t>
  </si>
  <si>
    <t>2025-12-09; 2025-09-11; 2025-09-11</t>
  </si>
  <si>
    <t>The Avalanche protocol is primarily anchored by the Avalanche Foundation, a non-profit organization that supports the long-term growth and decentralization of the Avalanche network. Multiple sources describe Avalanche Foundation as the non-profit group overseeing or backing the Avalanche blockchain and managing AVAX reserves, indicating a foundation-centric governance anchor rather than a pure DAO or single company structure.</t>
  </si>
  <si>
    <t>B1.2</t>
  </si>
  <si>
    <t>Is the governing entity’s jurisdiction and registration publicly disclosed? Answer Yes / No / Partial.</t>
  </si>
  <si>
    <t>https://lei.bloomberg.com/leis/view/254900FM9C1FUTT81V36; https://www.lei-lookup.com/record/254900FM9C1FUTT81V36/; https://opendatalei.com/lei/254900FM9C1FUTT81V36</t>
  </si>
  <si>
    <t>2025-11-19; 2025-11-19; 2025-10-01</t>
  </si>
  <si>
    <t>Avalanche is developed and governed by Ava Labs, Inc. Ava Labs’ legal name, jurisdiction, and registration are publicly disclosed: it is a Delaware corporation registered with the Delaware Division of Corporations, with LEI records listing its legal jurisdiction as United States – Delaware and providing its Delaware registration authority ID and entity ID. This satisfies public disclosure of governing entity jurisdiction and registration.</t>
  </si>
  <si>
    <t>B1.3</t>
  </si>
  <si>
    <t>Are project leaders (core team / council) publicly identified? Answer Yes / No / Unknown.</t>
  </si>
  <si>
    <t>https://www.avalabs.org/team; https://en.wikipedia.org/wiki/Avalanche_(blockchain_platform); https://news.cornell.edu/stories/2020/08/blockchain-startup-raises-quick-42m-first-sale</t>
  </si>
  <si>
    <t>2025-12-10; 2024-10-15; 2020-08-06</t>
  </si>
  <si>
    <t>Yes. Avalanche is developed by Ava Labs, whose leadership and key contributors are publicly named, including founder and CEO Emin Gün Sirer and other executives. This makes the core project leaders clearly and publicly identified rather than anonymous or pseudonymous.</t>
  </si>
  <si>
    <t>B1.4</t>
  </si>
  <si>
    <t>Are governance documents (constitution, voting rules, charters) published? Answer Yes / No / Unknown.</t>
  </si>
  <si>
    <t>No</t>
  </si>
  <si>
    <t>https://build.avax.network/docs/primary-network/avax-token; https://bestdapps.com/blogs/news/a-deepdive-into-avax-2026</t>
  </si>
  <si>
    <t>2025-11-30; 2025-10-15</t>
  </si>
  <si>
    <t>Avalanche publishes technical docs, whitepapers, and staking/validator rules, but there is no clear, formalized on‑chain governance framework or DAO-style constitution/voting charter for the AVAX main network. Upgrades are largely driven off‑chain by core developers and client releases, and third‑party analyses explicitly note the absence of on‑chain governance for protocol upgrades. Therefore, dedicated governance documents (constitution, voting rules, charters) are not considered published.</t>
  </si>
  <si>
    <t>B1.5</t>
  </si>
  <si>
    <t>Are governance decisions and change logs publicly recorded? Answer Yes / No / Partial.</t>
  </si>
  <si>
    <t>https://www.avax.network/about/blog/etna-enhancing-the-sovereignty-of-avalanche-l1-networks/; https://github.com/ava-labs/avalanchego/releases</t>
  </si>
  <si>
    <t>2024-12-02; 2025-11-05</t>
  </si>
  <si>
    <t>Avalanche governance decisions for protocol upgrades and parameter changes are documented through Avalanche Community Proposals (ACPs) referenced in official upgrade announcements and release notes, and node software releases specify which ACPs are activated and when. These upgrade posts and avalanchego GitHub release logs are publicly accessible, serving as both decision records and change logs.</t>
  </si>
  <si>
    <t>B2.1</t>
  </si>
  <si>
    <t>Who controls upgrade/admin authority over core contracts? Choose: No upgrades (immutable), DAO vote, Large multisig (≥4), Small multisig (≤3), Single dev, or Unknown if public sources do not clearly indicate this.</t>
  </si>
  <si>
    <t>No upgrades (immutable)</t>
  </si>
  <si>
    <t>https://docs.chainstack.com/docs/avalanche-tooling; https://cryptoslate.com/coins/avalanche/; https://github.com/ava-labs/avalanchego</t>
  </si>
  <si>
    <t>2024-01-15; 2025-12-08; 2024-11-01</t>
  </si>
  <si>
    <t>Critical–Fast</t>
  </si>
  <si>
    <t>Escalate only if upgrade/admin control is held by a single developer/key.</t>
  </si>
  <si>
    <t>AVAX is the native asset of the Avalanche primary network (X‑Chain/P‑Chain/C‑Chain), defined at the protocol level via the AVAX assetID rather than an upgradable smart contract. Public technical docs and explorer references treat AVAX as a built‑in asset of the chains, with no disclosed proxy/admin or upgradeable token contract; protocol changes occur through node/client upgrades, not via an admin key on a token contract.</t>
  </si>
  <si>
    <t>B2.2</t>
  </si>
  <si>
    <t>Is the upgrade process documented and transparent (e.g., repo, docs, forums)? Answer Yes / No / Partial.</t>
  </si>
  <si>
    <t>https://github.com/ava-labs/avalanchego/releases; https://build.avax.network/docs/nodes/maintain/upgrade; https://build.avax.network/docs/acps</t>
  </si>
  <si>
    <t>2025-11-05; 2024-11-20; 2025-11-01</t>
  </si>
  <si>
    <t>Yes. Avalanche’s upgrade process is documented and publicly visible: the AvalancheGo client has a transparent release history with detailed notes about scheduled network activations and required node actions, and the Builder Hub includes explicit documentation on how to upgrade nodes and manage mandatory vs optional upgrades. In addition, protocol-level changes are tracked via Avalanche Community Proposals (ACPs), an open, documented framework for proposing and activating upgrades.</t>
  </si>
  <si>
    <t>B2.3</t>
  </si>
  <si>
    <t>Is there a time-lock or DAO safeguard (e.g., delay, veto) on upgrades? Answer Yes / No / Unknown.</t>
  </si>
  <si>
    <t>https://build.avax.network/docs/acps; https://www.avax.network/about/blog/durango-avalanche-warp-messaging-comes-to-the-evm</t>
  </si>
  <si>
    <t>2024-01-01; 2024-02-13</t>
  </si>
  <si>
    <t>Escalate only if there is no safeguard AND control is Single dev or Small multisig (≤3).</t>
  </si>
  <si>
    <t>Avalanche network upgrades are proposed via Avalanche Community Proposals (ACPs) and activated when an overwhelming majority of the community and validators signal support by running compatible Avalanche Network Clients. Validators opt in by upgrading their node software; there is no mention of an on-chain timelock, formal DAO vote, or veto mechanism that must elapse before mainnet activation. Upgrades are executed at predefined activation times once the client release is available and installed by validators.</t>
  </si>
  <si>
    <t>B2.4</t>
  </si>
  <si>
    <t>Are emergency pause/kill-switch functions present? Answer Yes / No / Unknown.</t>
  </si>
  <si>
    <t>https://support.avax.network/en/articles/5232004-what-is-the-avalanche-avax-contract-address; https://support.avax.network/en/articles/4064680-what-is-the-avalanche-consensus-protocol</t>
  </si>
  <si>
    <t>2024-10-15; 2024-10-01</t>
  </si>
  <si>
    <t>AVAX is the native coin of the Avalanche network and is governed directly by the protocol rather than by an upgradable smart contract with admin-controlled methods. Avalanche support explicitly notes that AVAX is not governed by any smart contract (i.e., no ERC‑20 style contract with pausable/kill functions). Public technical and consensus documentation describe a decentralized, validator-driven protocol and do not indicate any centralized emergency pause or kill-switch for the native token.</t>
  </si>
  <si>
    <t>B2.5</t>
  </si>
  <si>
    <t>Is the multisig / admin address publicly verifiable (e.g., Safe, Etherscan labels)? Answer Yes / No / Unknown.</t>
  </si>
  <si>
    <t>https://support.avax.network/en/articles/5232004-what-is-the-avalanche-avax-contract-address</t>
  </si>
  <si>
    <t>2024-11-01</t>
  </si>
  <si>
    <t>2025-12-12</t>
  </si>
  <si>
    <t>AVAX is the native asset of the Avalanche network and is not implemented as a smart contract token; Avalanche’s own documentation notes that AVAX is governed by the base protocol and has no token contract address. With no token contract, there is no associated admin or multisig address to verify on explorers such as Etherscan/SnowTrace, so a verifiable multisig/admin does not apply here.</t>
  </si>
  <si>
    <t>B2.6</t>
  </si>
  <si>
    <t>Is DAO voting binding (on-chain execution) or advisory-only? Choose: Binding, Advisory, No DAO, or Unknown if public sources do not clearly indicate this.</t>
  </si>
  <si>
    <t>Binding</t>
  </si>
  <si>
    <t>https://docs.avax.network/learn/avalanche/avax-token; https://www.avalabs.org/whitepapers</t>
  </si>
  <si>
    <t>2023-06-01; 2020-03-01</t>
  </si>
  <si>
    <t>Background–Slow</t>
  </si>
  <si>
    <t>Avalanche governance is designed so that AVAX token holders can vote on-chain to change network parameters and upgrades, with successful votes executed via protocol mechanisms rather than being purely advisory. The Avalanche docs describe AVAX as used for securing the network and for on-chain governance of parameters and decisions, implying binding outcomes rather than off-chain advisory polling. However, public documentation does not always spell out every governance process end‑to‑end, so confidence is medium.</t>
  </si>
  <si>
    <t>B2.7</t>
  </si>
  <si>
    <t>Have there been prior governance disputes, forks, or emergency upgrades? Answer Yes / No / Unknown (explain in Narrative if Yes).</t>
  </si>
  <si>
    <t>https://www.coindesk.com/tech/2021/02/14/avalanche-crippled-by-bug-triggered-by-unusually-high-volume-engineer-says/; https://www.reddit.com/r/Avax/comments/li5q0d; https://www.coindesk.com/business/2024/02/23/avalanche-suffers-outage-fails-to-produce-block-for-almost-two-hours</t>
  </si>
  <si>
    <t>2021-02-14; 2021-02-12; 2024-02-23</t>
  </si>
  <si>
    <t>Yes. Avalanche has experienced several emergency-type client upgrades in response to critical bugs and outages, though not contentious governance-driven forks. In Feb 2021, heavy load around Pangolin’s launch triggered a cross-chain finality bug that effectively halted transactions until developers deployed a non–backwards-compatible AvalancheGo patch and validators upgraded. In March 2023 and Feb 2024, further software bugs caused block production/finalization stalls that were resolved via rapid node software updates.</t>
  </si>
  <si>
    <t>B3.1</t>
  </si>
  <si>
    <t>How many distinct parties (independent entities or individuals) effectively control the treasury keys for the main treasury and ecosystem funds? Choose one: DAO, ≥4, ≤3, Single.</t>
  </si>
  <si>
    <t>Single</t>
  </si>
  <si>
    <t>https://www.coindesk.com/business/2025/09/11/avalanche-foundation-eyes-usd1b-raise-to-fund-two-crypto-treasury-companies-ft/; https://www.cointribune.com/en/avalanche-foundation-plans-1b-for-avax-treasury-firms/; https://messari.io/organization/avalanche-foundation</t>
  </si>
  <si>
    <t>2025-09-11; 2025-09-12</t>
  </si>
  <si>
    <t>Triggers Board review if treasury control is highly concentrated (Single or ≤3 distinct parties) and at least one of the following is true: treasury rules are not published, disbursements are not transparently tracked, there is no clear separation of duties, no periodic treasury reporting, or there has been a material treasury controversy.</t>
  </si>
  <si>
    <t>Available evidence indicates that AVAX’s main treasury and ecosystem reserves are controlled centrally by the Avalanche Foundation, a single non‑profit entity that oversees the blockchain and sells AVAX from its own reserves into new treasury vehicles. There is no indication of a community DAO controlling these funds; governance over reserves appears to be foundation‑driven, even if internal multisig procedures exist, so effective control is best classified as Single rather than DAO or widely distributed.</t>
  </si>
  <si>
    <t>B3.2</t>
  </si>
  <si>
    <t>Are treasury disbursement rules published (policy/charter)? Answer Yes / No / Unknown.</t>
  </si>
  <si>
    <t>Unknown</t>
  </si>
  <si>
    <t>https://forum.avax.network/t/eligibility-criteria/1948; https://build.avax.network/grants</t>
  </si>
  <si>
    <t>2023-05-01</t>
  </si>
  <si>
    <t>Avalanche publishes some program-specific funding criteria (e.g., Community Grants eligibility and Builder Hub grant descriptions), but I could not locate a comprehensive, overarching treasury disbursement policy or charter that clearly governs all treasury spending. Because existing materials appear fragmented and program-focused rather than a unified treasury rulebook, the status of a formal, published treasury disbursement policy is best recorded as Unknown.</t>
  </si>
  <si>
    <t>B3.3</t>
  </si>
  <si>
    <t>Are grants/dev fund disbursements tracked transparently (public reports or dashboards)? Answer Yes / No / Partial.</t>
  </si>
  <si>
    <t>https://www.avax.network/blog/dexalot-subnet-earns-avalanche-multiverse-incentives-of-up-to-3-million; https://www.avax.network/about/blog/avalanche-foundation-launches-community-grants-program-with-gitcoin/</t>
  </si>
  <si>
    <t>2023-08-16; 2024-03-25</t>
  </si>
  <si>
    <t>Avalanche’s Foundation publishes some information on specific grant and incentive programs (e.g., Multiverse subnet incentives, Dexalot award) and has launched a Community Grants Program via Gitcoin, whose rounds and matching distributions are transparently viewable on Gitcoin’s own infrastructure. However, there is no evidence of a single comprehensive, continuously updated public dashboard or report covering all Foundation/treasury dev-fund disbursements, so transparency appears program‑specific rather than holistic.</t>
  </si>
  <si>
    <t>B3.4</t>
  </si>
  <si>
    <t>Is there separation of duties between leadership (foundation execs) and treasury controllers? Answer Yes / No / Unknown.</t>
  </si>
  <si>
    <t>Low</t>
  </si>
  <si>
    <t>Public materials describe Avalanche’s governance, token distribution, and the role of the Avalanche Foundation, but do not clearly specify whether treasury assets are controlled by individuals distinct from foundation executives or whether formal separation-of-duties controls exist. In the absence of explicit disclosures about treasury controller roles and internal controls, the presence or absence of such separation cannot be confirmed.</t>
  </si>
  <si>
    <t>B3.5</t>
  </si>
  <si>
    <t>Does the project publish periodic financial/treasury reports? Answer Yes / No / Unknown.</t>
  </si>
  <si>
    <t>https://www.chaincatcher.com/en/article/2171499; https://www.avax.network/about/foundation</t>
  </si>
  <si>
    <t>2025-03-08</t>
  </si>
  <si>
    <t>Evidence indicates the Avalanche Foundation has begun publishing formal annual reports, which qualify as periodic financial/treasury-style disclosures. A former board member noted that during an 18‑month tenure the Foundation released its first annual report, suggesting a move toward recurring, structured reporting rather than purely ad‑hoc announcements.</t>
  </si>
  <si>
    <t>B3.6</t>
  </si>
  <si>
    <t>Has the treasury been subject to material controversy (misuse, loss, litigation)? Answer Yes / No / Unknown (explain in Narrative if Yes).</t>
  </si>
  <si>
    <t>https://cointelegraph.com/news/avalanche-buyback-1-97-million-avax-tokens-terra; https://forklog.com/en/avalanche-foundation-to-repurchase-avax-tokens-sold-to-terra/; https://www.coindesk.com/business/2025/09/11/avalanche-foundation-eyes-usd1b-raise-to-fund-two-crypto-treasury-companies-ft/</t>
  </si>
  <si>
    <t>2024-11-07; 2024-10-14; 2025-09-11</t>
  </si>
  <si>
    <t>Public reporting on Avalanche’s finances focuses on the Avalanche Foundation’s token sales, buybacks and plans to raise capital via AVAX treasury vehicles, as well as its negotiated settlement to repurchase AVAX from Terra-related entities. These involve commercial decisions and counterparties’ bankruptcy proceedings, not allegations that Avalanche’s own treasury assets were hacked, lost, or misused, nor litigation accusing the Foundation of treasury mismanagement.</t>
  </si>
  <si>
    <t>B-N1</t>
  </si>
  <si>
    <t>In ≤120 words, summarise the governance model and how decisions are proposed/approved/enforced.</t>
  </si>
  <si>
    <t>Avalanche governance is focused on protocol and economic parameters rather than full on-chain policymaking. AVAX holders who stake to become validators (or delegate to them) participate in consensus, and governance voting power is effectively stake‑weighted. Any network node can submit governance proposals on specific parameters (for example, staking amounts and durations, minting/issuance rate, and transaction fee levels). These proposals are voted on-chain; if approved by the validator set, the updated parameters are automatically applied by the protocol, enforcing decisions at the network level without separate off-chain execution.</t>
  </si>
  <si>
    <t>https://cointelegraph.com/learn/avalanche-avax-ecosystem; https://www.platinumcryptoacademy.com/cryptocurrency-investment/navigating-the-avalanche-avax-ecosystem-a-comprehensive-overview/</t>
  </si>
  <si>
    <t>2023-06-01; 2024-01-15</t>
  </si>
  <si>
    <t>Informational only; no board trigger.</t>
  </si>
  <si>
    <t>Sources describe AVAX as enabling token holders/validators to vote on key network parameters (staking, issuance, fees) via on‑chain governance, which then adjusts protocol settings directly. Some details (e.g., exact proposal mechanics) are less clearly specified, so I use Medium confidence.</t>
  </si>
  <si>
    <t>B-N2</t>
  </si>
  <si>
    <t>Is governance evolving toward more decentralisation (e.g., expanding multisig, increasing DAO scope)? Answer Yes / No / Unclear.</t>
  </si>
  <si>
    <t>Unclear</t>
  </si>
  <si>
    <t>https://build.avax.network/blog/etna-enhancing-sovereignty-avalanche-l1-networks; https://support.avax.network/en/articles/6235660-staking-faq</t>
  </si>
  <si>
    <t>2024-12-02; 2025-10-01</t>
  </si>
  <si>
    <t>Avalanche network changes are proposed via Avalanche Community Proposals (ACPs) like those bundled in the 2024 Etna upgrade, suggesting some community-driven evolution. However, key protocol parameters (e.g., minimum delegation amount) are still hard‑coded, with Avalanche support stating that the long‑term plan is to make such parameters decided by consensus but that this code “hasn’t been written yet.” Public information does not clearly show a concrete, implemented shift of AVAX governance toward broader on‑chain or DAO-style decentralisation.</t>
  </si>
  <si>
    <t>C. Token Holder Rights (Regulatory Characteristics)</t>
  </si>
  <si>
    <t>C1</t>
  </si>
  <si>
    <t>Does the token provide any governance or voting rights? Answer one: Yes / No / Limited / Unclear.</t>
  </si>
  <si>
    <t>2023-08-01; 2023-06-01</t>
  </si>
  <si>
    <t>Avalanche is a PoS-based network where AVAX is the native token. Staking AVAX is required to run a validator or delegate, and validators participate in network governance, including parameter and upgrade decisions. Multiple sources describe AVAX as a governance token used for voting and protocol decision-making, so the token clearly provides governance/voting rights, at least for stakers/validators.</t>
  </si>
  <si>
    <t>C2</t>
  </si>
  <si>
    <t>Do token holders receive any share of fees, revenue, interest, or yields generated by the project? Answer one: Yes / No / Indirect / Unclear.</t>
  </si>
  <si>
    <t>https://support.avax.network/en/articles/6912428-tokenomics-faq; https://build.avax.network/docs/primary-network/validate/how-to-stake</t>
  </si>
  <si>
    <t>2024-10-01; 2024-10-01</t>
  </si>
  <si>
    <t>Escalate only if token confers direct revenue/fee/interest share (Answer = Yes).</t>
  </si>
  <si>
    <t>AVAX token holders who stake as validators or delegators receive staking rewards in AVAX for helping secure the network, i.e., they earn protocol yields on their stake. Avalanche docs describe validator and delegator staking rewards paid in AVAX. At the same time, network transaction fees are burned rather than distributed, so rewards come from token minting/inflation rather than fee revenue sharing.</t>
  </si>
  <si>
    <t>C3</t>
  </si>
  <si>
    <t>Are token holders entitled to residual claims on treasury assets or protocol revenue? Answer one: Yes / No / Unclear.</t>
  </si>
  <si>
    <t>https://docs.avax.network/learn/token; https://www.avalabs.org/whitepapers</t>
  </si>
  <si>
    <t>2023-08-01; 2020-03-01</t>
  </si>
  <si>
    <t>Escalate only if token confers residual asset claims (Answer = Yes).</t>
  </si>
  <si>
    <t>Avalanche/AVAX is primarily a utility and staking token used for network security, fees, and governance. Publicly available documentation and third‑party research describe AVAX holders as earning staking rewards for validating or delegating, but do not indicate any formal, enforceable equity‑like residual claim on the protocol’s treasury assets or broader network revenues. In absence of explicit rights language, token holders should not be assumed to have such residual claims.</t>
  </si>
  <si>
    <t>C4</t>
  </si>
  <si>
    <t>Is the token's value dependent on the managerial or entrepreneurial efforts of a core team or foundation? Answer one: High / Moderate / Low.</t>
  </si>
  <si>
    <t>https://docs.avax.network/overview/getting-started/avalanche-overview; https://docs.avax.network/validators</t>
  </si>
  <si>
    <t>AVAX’s value is materially linked to the Avalanche core team and Ava Labs: they design and upgrade the consensus, manage the subnet framework, and drive key ecosystem, DeFi, and institutional partnerships. Governance, staking economics, and major roadmap execution remain closely associated with this core group, so market perception and token value are still highly dependent on their managerial and entrepreneurial efforts.</t>
  </si>
  <si>
    <t>C5</t>
  </si>
  <si>
    <t>Are token holders relying on future network growth for token appreciation? Answer one: Yes / No / Partial.</t>
  </si>
  <si>
    <t>https://docs.avax.network/learn/avalanche/avax-token; https://docs.avax.network/learn/platform-overview/fees</t>
  </si>
  <si>
    <t>2023-06-01; 2023-06-01</t>
  </si>
  <si>
    <t>AVAX is used for staking, paying fees, and securing the Avalanche network. Its supply is capped and all fees are burned, so valuation arguments commonly hinge on future transaction volume, protocol adoption, and demand for staking. This means token holders are materially reliant on expectations of future network growth for potential token appreciation, even though AVAX also has current utility.</t>
  </si>
  <si>
    <t>C6</t>
  </si>
  <si>
    <t>Are token holders financially or contractually disadvantaged versus insiders or early backers (e.g., preferences, seniority, redemption rights)? Answer one: Yes / No / Unclear.</t>
  </si>
  <si>
    <t>https://support.avax.network/en/articles/4065301-avax-token-distribution; https://messari.io/asset/avalanche/profile</t>
  </si>
  <si>
    <t>2020-07-01; 2024-05-01</t>
  </si>
  <si>
    <t>Public materials for AVAX focus on token supply, allocations, and staking; they describe vesting schedules and allocations for private sale/seed investors and the Avalanche Foundation, but do not clearly set out any explicit seniority, liquidation preference, or special redemption rights that would contractually disadvantage public token holders. Because detailed investor-side agreements and side letters are not public, it is not possible to rule out preferential financial or contractual terms for insiders or early backers with high confidence.</t>
  </si>
  <si>
    <t>C7</t>
  </si>
  <si>
    <t>Provide a ≤120-word justification explaining why this token is or is not securities-like under UK perimeter, citing rights, revenue share, reliance on managerial efforts, and expectations. (Narrative only).</t>
  </si>
  <si>
    <t>AVAX primarily functions as a native utility/token for gas, staking and network security, with fees burned rather than distributed as protocol revenue, and no formal claim on platform profits or equity-like rights.citeturn0search0turn0search3 Staking rewards are minted protocol‑level inflation, contingent on validator performance, rather than revenue share from a common enterprise.citeturn0search2turn0search3 Governance influence is tied to stake but does not currently grant enforceable rights to management or cash flows.citeturn0search9 Economically, some holders may nevertheless expect price appreciation based on Avalanche/Ava Labs’ ongoing development, so AVAX can exhibit securities‑like features in certain promotional or staking contexts, but its core design is more utility‑/payments‑oriented than profit‑right‑bearing under the UK perimeter.</t>
  </si>
  <si>
    <t>https://www.avax.network/about/tokens; https://build.avax.network/docs/primary-network/validate/how-to-stake; https://support.avax.network/en/articles/6912428-tokenomics-faq</t>
  </si>
  <si>
    <t>2024-01-01; 2024-06-01; 2025-10-01</t>
  </si>
  <si>
    <t>Answer draws on primary docs describing AVAX’s role, fee burn, and staking rewards, showing no direct profit/share rights but some profit-expectation features via staking and development. UK characterisation is fact-specific, so assessment is medium confidence.</t>
  </si>
  <si>
    <t>D. Whitepaper &amp; Disclosure Quality (Accuracy, Transparency, Fairness)</t>
  </si>
  <si>
    <t>D1</t>
  </si>
  <si>
    <t>Does the project have a current whitepaper or technical documentation available from an official source? (Yes / No / Outdated / Unclear)</t>
  </si>
  <si>
    <t>https://build.avax.network/docs; https://www.custonomy.io/supported-tokens/avalanche/avax-on-avalanche-c-chain; https://build.avax.network/docs/primary-network/avalanche-consensus</t>
  </si>
  <si>
    <t>2024-11-20; 2024-11-15; 2024-11-25</t>
  </si>
  <si>
    <t>Escalate only if no official whitepaper/technical documentation exists (Answer = "No").</t>
  </si>
  <si>
    <t>Avalanche maintains official technical documentation via the Avalanche Builder Hub and related docs site, which provide protocol, consensus, and developer documentation. In addition, Ava Labs hosts a dedicated whitepapers page for Avalanche, linked by multiple reputable sources, indicating current, officially maintained technical papers are available.</t>
  </si>
  <si>
    <t>D2</t>
  </si>
  <si>
    <t>Does the whitepaper clearly state the purpose and function of the token? (Yes / No / Partially)</t>
  </si>
  <si>
    <t>https://www.avalabs.org/whitepapers; https://news92039.tistory.com/96; https://build.avax.network/docs/primary-network/avax-token</t>
  </si>
  <si>
    <t>2023-08-20; 2023-03-01; 2024-06-01</t>
  </si>
  <si>
    <t>Avalanche has a dedicated token whitepaper, “Avalanche Native Token Dynamics,” which explicitly covers the principles, governance, and token economy of AVAX, i.e., its purpose and functions within the platform. This is in addition to platform documentation describing AVAX’s concrete roles (fees, staking/security, unit of account, and governance). Together, these materials clearly articulate the token’s purpose and functionality.</t>
  </si>
  <si>
    <t>D3</t>
  </si>
  <si>
    <t>Does the whitepaper clearly describe the governance model? (Yes / No / Partially)</t>
  </si>
  <si>
    <t>https://www.avalabs.org/whitepapers; https://levex.com/en/blog/avalanche-guide; https://www.cryptofal.com/info-hub/what-is-avax-avalanche</t>
  </si>
  <si>
    <t>2020-09-23; 2024-09-01; 2024-07-01</t>
  </si>
  <si>
    <t>Avalanche’s governance model is clearly laid out in its Native Token Dynamics / platform whitepaper, which explains that AVAX holders can vote on key financial and protocol parameters (e.g., staking minimums, minting/issuance rate) and that only a fixed, pre-defined set of parameters is governable, with bounds to keep changes predictable. This indicates a well‑specified on‑chain governance scheme rather than a vague mention of voting rights.</t>
  </si>
  <si>
    <t>D4</t>
  </si>
  <si>
    <t>Does the whitepaper disclose tokenomics, including supply schedule, issuance model, and allocations? (Yes / No / Partial / Unclear)</t>
  </si>
  <si>
    <t>https://support.avax.network/en/articles/6912428-tokenomics-faq; https://build.avax.network/docs/primary-network/avax-token; https://www.reddit.com/r/Avax/comments/15wa6qo</t>
  </si>
  <si>
    <t>2023-11-01; 2024-06-01; 2023-08-20</t>
  </si>
  <si>
    <t>Escalate only if tokenomics (supply, issuance, allocations) are undisclosed (Answer = "No").</t>
  </si>
  <si>
    <t>Avalanche has a dedicated whitepaper titled “Avalanche Native Token ($AVAX) Dynamics” that focuses specifically on AVAX tokenomics. Official support documentation points users to this whitepaper for more detailed information on tokenomics, implying it covers supply cap/schedule, issuance via staking rewards, and allocation mechanics. Other official docs outline these same elements, consistent with comprehensive disclosure in the token-dynamics paper.</t>
  </si>
  <si>
    <t>D5</t>
  </si>
  <si>
    <t>Are risk factors disclosed (e.g., regulatory, governance, market, technical risks)? (Yes / Minimal / Missing / No)</t>
  </si>
  <si>
    <t>https://www.bitget.com/az-AZ/price/avalanche/whitepaper; https://www.thestandard.io/blog/due-diligence-on-avalanche-avax-evaluating-its-position-in-the-blockchain-landscape-2025-outlook-4; https://forvest.io/fortuna-abilities/news-review/avax-2025-review-analysis/</t>
  </si>
  <si>
    <t>2024-10-01; 2025-11-01; 2025-08-01</t>
  </si>
  <si>
    <t>Avalanche has explicit risk disclosures across technical, governance, economic/market, and regulatory dimensions. The whitepaper-style materials and multiple third‑party analyses describe smart contract and protocol risks, validator centralization, governance challenges, inflationary pressures, market volatility, and evolving regulatory/compliance risk. These constitute clear, multi-faceted disclosure of key risk factors rather than only minimal mentions.</t>
  </si>
  <si>
    <t>D6</t>
  </si>
  <si>
    <t>Does the project provide transparent and verifiable team / foundation identities? (Yes / No / Limited / Unclear)</t>
  </si>
  <si>
    <t>https://en.wikipedia.org/wiki/Avalanche_%28blockchain_platform%29; https://www.avalabs.org; https://businessabc.net/wiki/ava-labs</t>
  </si>
  <si>
    <t>2024-10-01; 2025-02-25</t>
  </si>
  <si>
    <t>Avalanche is developed by Ava Labs, whose core team and leadership are fully doxxed. Public sources clearly state named founders (Emin Gün Sirer, Kevin Sekniqi, Maofan “Ted” Yin) and that Ava Labs is the primary developer, with additional executives and roles listed on corporate and profile sites. These identities are verifiable via multiple independent references, including Wikipedia and company profiles, indicating high transparency.</t>
  </si>
  <si>
    <t>D7</t>
  </si>
  <si>
    <t>Are forward-looking statements clearly separated from factual claims? (Yes / No / Unclear)</t>
  </si>
  <si>
    <t>https://www.midasdigitaltimes.com/%EC%95%84%EB%B0%9C%EB%9E%80%EC%B2%B4-%ED%94%8C%EB%9E%AB%ED%8F%BC-%EB%B0%B1%EC%84%9C-avalanche-platform-whitepaper/; https://www.reddit.com/r/Avax/comments/15wa6qo/avalanche_whitepapers/</t>
  </si>
  <si>
    <t>2023-01-01; 2023-08-20</t>
  </si>
  <si>
    <t>Avalanche’s core technical documentation explicitly flags and defines “forward‑looking statements” separately from the main architectural and factual description. The Avalanche Platform Whitepaper includes an upfront disclosure that the paper may contain forward‑looking statements and a footnote explaining that these relate to projected performance, future development, and strategy, noting they are not guarantees and may differ from actual outcomes. This shows a clear separation between factual claims and forward‑looking content.</t>
  </si>
  <si>
    <t>D8</t>
  </si>
  <si>
    <t>Provide a ≤120-word summary evaluating whether the whitepaper meets FCA expectations for fair, clear, non-misleading disclosure. (Narrative only).</t>
  </si>
  <si>
    <t>The Avalanche whitepapers collectively provide relatively clear, detailed explanations of the protocol architecture, consensus and AVAX token dynamics, with transparent supply caps, issuance formulas and validator incentives. However, they are written primarily as technical and economic research documents, not as retail-facing disclosures. They give limited, fragmented treatment of risks (e.g., governance, concentration, operational and regulatory risks) and do not frame token-holder exposures, conflicts of interest or assumptions in a way a typical UK consumer could easily understand. On that basis, they only partially meet FCA expectations for information that is fair, clear and not misleading.</t>
  </si>
  <si>
    <t>https://www.avalabs.org/whitepapers; https://build.avax.network/docs/primary-network/avax-token</t>
  </si>
  <si>
    <t>2022-09-01; 2024-10-01</t>
  </si>
  <si>
    <t>Informational narrative only; no board trigger.</t>
  </si>
  <si>
    <t>Assessment based on Avalanche’s platform, consensus and token-economics whitepapers, which are technically transparent but not structured as consumer-focused, risk-balanced disclosures, so alignment with FCA fair/clear/non-misleading expectations is only partial.</t>
  </si>
  <si>
    <t xml:space="preserve">E. Economic Model &amp; Distribution </t>
  </si>
  <si>
    <t>E1.1</t>
  </si>
  <si>
    <t>Token category for scoring context (choose one): L1, L2, Utility, Governance, LP/AMM, Stablecoin, Meme/Narrative, Other.</t>
  </si>
  <si>
    <t>L1</t>
  </si>
  <si>
    <t>https://en.wikipedia.org/wiki/Avalanche_(blockchain_platform); https://www.avax.network/about/avalanche-avax</t>
  </si>
  <si>
    <t>2024-11-01; 2024-11-20</t>
  </si>
  <si>
    <t>Helper row (no scoring, no trigger).</t>
  </si>
  <si>
    <t>Avalanche (AVAX) is described in technical and third‑party documentation as a decentralized, open‑source Layer‑1 blockchain platform, with AVAX as its native token securing the primary network and paying fees. It is not primarily framed as an application utility, governance, or LP token, but as the base L1 protocol itself.</t>
  </si>
  <si>
    <t>E1.2</t>
  </si>
  <si>
    <t>What is the token’s total supply model? (Fixed / Capped / Inflationary / Unknown)</t>
  </si>
  <si>
    <t>Capped</t>
  </si>
  <si>
    <t>https://docs.avax.network/learn/avalanche/avax-token; https://www.coingecko.com/en/coins/avalanche</t>
  </si>
  <si>
    <t>2023-06-01; 2025-11-15</t>
  </si>
  <si>
    <t>Avalanche’s native token AVAX has a capped maximum supply (720 million AVAX). New tokens are minted as staking rewards and offset by fee-burning, but issuance cannot exceed this fixed cap, so the supply model is best categorized as capped rather than open-ended inflationary.</t>
  </si>
  <si>
    <t>E1.3</t>
  </si>
  <si>
    <t>Is the issuance schedule transparent and documented? (Yes / Partial / No)</t>
  </si>
  <si>
    <t>https://www.avax.network/about/tokens; https://messari.io/report/state-of-avalanche-q1-2025; https://www.mexc.fm/en-TR/price/AVAX/tokenomics</t>
  </si>
  <si>
    <t>2024-06-01; 2025-05-01; 2025-11-15</t>
  </si>
  <si>
    <t>AVAX has a clearly documented, hard-capped maximum supply of 720M tokens, with 360M minted at genesis and the remaining 360M emitted via staking rewards and incentives. Official and third‑party documentation detail the capped supply, vesting timelines, and that emission parameters are governance‑tunable, but still described and tracked in public tokenomics/vesting resources. This meets a reasonable standard for a transparent, documented issuance schedule.</t>
  </si>
  <si>
    <t>E1.4</t>
  </si>
  <si>
    <t>Do supply adjustments depend on managerial discretion? (Yes / No / Unclear)</t>
  </si>
  <si>
    <t>https://support.avax.network/en/articles/6912428-tokenomics-faq; https://www.cube.exchange/what-is/avalanche; https://www.thetie.io/insights/avalanche-ecosystem/</t>
  </si>
  <si>
    <t>2025-10-01; 2024-08-01; 2022-03-01</t>
  </si>
  <si>
    <t>AVAX has a hard‑capped maximum supply of 720M tokens. 360M were minted at genesis and the remainder are minted over time as staking rewards under a predefined emissions function. While parameters such as issuance/reward rates are tunable via on‑chain governance by AVAX holders, the cap itself cannot be altered unilaterally by a managerial entity. Thus, supply adjustments do not depend on discretionary decisions of a centralized manager.</t>
  </si>
  <si>
    <t>E1-N</t>
  </si>
  <si>
    <t>≤120-word narrative on supply credibility &amp; transparency. (Narrative only)</t>
  </si>
  <si>
    <t>AVAX supply is relatively credible and well-documented. The token is hard‑capped at 720M, with 360M minted at genesis and the remainder emitted via staking rewards under a defined formula. Official docs and support materials clearly describe the cap, issuance mechanics, and fee‑burning model, and provide ongoing updates. However, governance can tune emission parameters over time, and some allocations follow vesting schedules, so future circulating supply dynamics depend on those policy choices. Overall transparency is strong for a large L1, but investors must monitor governance changes and unlock schedules.</t>
  </si>
  <si>
    <t>https://build.avax.network/docs/primary-network/avax-token; https://support.avax.network/en/articles/6912428-tokenomics-faq; https://www.mexc.fm/en-TR/price/AVAX/tokenomics</t>
  </si>
  <si>
    <t>2024-11-01; 2025-10-01; 2025-11-01</t>
  </si>
  <si>
    <t>Avalanche publishes detailed, consistent information on AVAX’s hard cap, genesis mint, emissions formula, and fee burning across its docs and tokenomics FAQ, supporting high confidence in supply transparency. Emissions parameters and vesting can change via governance, so future dynamics warrant monitoring.</t>
  </si>
  <si>
    <t>E2.1</t>
  </si>
  <si>
    <t>Team allocation percentage (% of max/FDV supply). Enter numeric or 'Unknown'.</t>
  </si>
  <si>
    <t>10</t>
  </si>
  <si>
    <t>https://www.mexc.fm/en-TR/price/AVAX/tokenomics; https://www.chaincatcher.com/en/article/2070411; https://cryptototem.com/avalanche-avax/</t>
  </si>
  <si>
    <t>2025-11-20; 2024-11-15; 2024-10-01</t>
  </si>
  <si>
    <t>Multiple independent tokenomics sources state that 10% of AVAX’s max supply (720M tokens, i.e., 72M AVAX) is allocated to the project team/founding and non-founding members of Ava Labs, with a multi‑year vesting schedule. This is consistently presented as the team allocation portion of the total/max supply.</t>
  </si>
  <si>
    <t>E2.2</t>
  </si>
  <si>
    <t>Investor/VC allocation percentage (% of max/FDV supply). Enter numeric or 'Unknown'.</t>
  </si>
  <si>
    <t>11</t>
  </si>
  <si>
    <t>https://medium.com/coinmonks/avax-even-the-largest-avalanche-is-triggered-by-small-things-3ea5a94b7525; https://coinexplorers.com/insights/what-should-we-make-of-avalanche-s-avax-initial-token-distribution-t7jksp</t>
  </si>
  <si>
    <t>2021-02-01; 2023-08-01</t>
  </si>
  <si>
    <t>Avalanche’s published tokenomics allocate 2.5% of max supply to the Seed Sale, 3.5% to the Private Sale, and 5% to Strategic Partners, all of which are investor-style allocations, totaling ~11% of the 720m max supply. Public sale (10%) is treated as broad retail, not VC, so it is excluded from this Investor/VC figure. Exact VC share inside the Strategic Partners bucket is not fully disclosed, so 11% is an informed estimate rather than a precise upper bound.</t>
  </si>
  <si>
    <t>E2.3</t>
  </si>
  <si>
    <t>Treasury/foundation allocation percentage (% of max/FDV supply). Enter numeric or 'Unknown'.</t>
  </si>
  <si>
    <t>9.26</t>
  </si>
  <si>
    <t>https://www.mexc.fm/price/AVAX/tokenomics; https://www.mexc.fm/en-TR/price/AVAX/tokenomics</t>
  </si>
  <si>
    <t>2024-09-01; 2024-09-01</t>
  </si>
  <si>
    <t>Public tokenomics for AVAX show that the Avalanche Foundation was allocated approximately 9.26% of the initial total token supply (~66.67M AVAX out of 720M max supply), with a 10‑year vesting schedule. Because the initial total supply equals the capped maximum supply (720M), this corresponds to about 9.26% of max/FDV supply allocated to the foundation/treasury.</t>
  </si>
  <si>
    <t>E2.4</t>
  </si>
  <si>
    <t>Are unlock schedules publicly disclosed? (Yes / Partial / No)</t>
  </si>
  <si>
    <t>https://www.21shares.com/en-eu/research/avalanche-research-primer; https://www.galaxy.com/insights/research/protocol-overview-avalanche-2024/; https://www.mexc.com/price/AVAX/tokenomics</t>
  </si>
  <si>
    <t>2021-12-01; 2024-09-09; 2024-11-15</t>
  </si>
  <si>
    <t>Comprehensive AVAX vesting and unlock schedules have been publicly disclosed. The 21Shares research primer details vesting terms for all major allocations (team, sales, foundation, airdrop, community, etc.) and describes when they start unlocking. Independent analyses from Galaxy Digital and major exchanges further publish forward-looking unlock calendars with specific dates and amounts, indicating that unlock schedules are clearly and publicly available.</t>
  </si>
  <si>
    <t>E2.5</t>
  </si>
  <si>
    <t>What % of total supply unlocks in the next 6 months? Enter numeric or 'Unknown'.</t>
  </si>
  <si>
    <t>0.46</t>
  </si>
  <si>
    <t>https://www.mexc.com/price/AVAX/tokenomics; https://www.coingecko.com/en/coins/avalanche</t>
  </si>
  <si>
    <t>2025-12-11; 2025-11-30</t>
  </si>
  <si>
    <t>Escalate if insider share (Team%+VC%) &gt; 45% AND unlocks in next 6m &gt; 15%. Auto 'No Review' if Token_Symbol = BTC.</t>
  </si>
  <si>
    <t>Public calendars show AVAX unlocks of ~1,666,800 tokens each on 2026-02-11 and 2026-05-12, both within the next 6 months. Each event is ~0.39% of circulating supply and equals 1,666,800 AVAX. With a max supply of 720,000,000 AVAX, each unlock is ~0.23% of total supply, so two unlocks sum to ~0.46% of total supply. Data may change as schedules are updated, so confidence is medium.</t>
  </si>
  <si>
    <t>E2-N</t>
  </si>
  <si>
    <t>≤120-word narrative on fairness &amp; foreseeable harm (insider vs public). (Narrative only)</t>
  </si>
  <si>
    <t>AVAX’s token distribution allocates meaningful stakes to the team, foundation, strategic partners, and private/seed investors, with multi‑year vesting intended to reduce immediate insider dumping and align incentives with network growth. Public sale tranches and airdrops sought to broaden holder base, but insiders and affiliated entities still control a large aggregate share, and recent discounted institutional deals further underscore an access gap versus ordinary retail. These structural asymmetries create foreseeable harms around information and liquidity advantages, potential sell‑pressure overhang, and governance influence that may disadvantage public holders, especially during market stress or major unlock and treasury operations.</t>
  </si>
  <si>
    <t>https://coincodecap.com/avalanche-avax; https://www.mexc.com/en-TH/price/AVAX/tokenomics; https://www.coindesk.com/business/2025/10/02/avalanche-treasury-co-going-public-in-usd675m-spac-deal-backed-by-avax-ecosystem</t>
  </si>
  <si>
    <t>2024-06-01; 2024-11-15; 2025-10-02</t>
  </si>
  <si>
    <t>Used primary tokenomics sources showing large, vested allocations to team/foundation/partners and public vs private sale structure, plus recent evidence of discounted institutional AVAX deals. From this, it is reasonable to highlight foreseeable harms: insider overhang, preferential access, and governance influence versus public holders.</t>
  </si>
  <si>
    <t>E3.1</t>
  </si>
  <si>
    <t>Annual inflation/emission rate (% per year). Enter numeric or 'Unknown'. (Category-aware thresholds apply.)</t>
  </si>
  <si>
    <t>5.2</t>
  </si>
  <si>
    <t>https://messari.io/report/state-of-avalanche-q2-2024; https://messari.io/report/state-of-avalanche-q1-2024</t>
  </si>
  <si>
    <t>2024-07-01; 2024-04-01</t>
  </si>
  <si>
    <t>Escalate if annual emission &gt;8% (L1/L2) or &gt;6% (others). Auto 'No Review' if Token_Symbol = BTC.</t>
  </si>
  <si>
    <t>Messari’s Q2 2024 “State of Avalanche” report states that AVAX’s annualized inflation rate for the quarter was 5.2%. This reflects protocol-level issuance from staking rewards under current conditions; actual realized net supply growth may differ over time due to fee burns and changing staking participation. Using 5.2% provides a data-backed recent estimate but is not a guaranteed long-term rate.</t>
  </si>
  <si>
    <t>E3.2</t>
  </si>
  <si>
    <t>Unlock pacing style (Gradual / Mixed / Cliff / Unknown).</t>
  </si>
  <si>
    <t>Gradual</t>
  </si>
  <si>
    <t>https://support.avax.network/en/articles/4138859-avax-token-distribution; https://messari.io/asset/avalanche</t>
  </si>
  <si>
    <t>2020-07-01; 2021-12-01</t>
  </si>
  <si>
    <t>AVAX’s initial and ongoing token unlocks follow a long-term vesting schedule where various allocations (team, foundation, strategic partners, airdrops, etc.) release over several years in tranches, not in a single large cliff. Charts and schedules from Avalanche documentation and major data providers show a multi‑year, stepwise emission curve characteristic of a gradual unlock pattern rather than a dominant cliff or highly irregular mix.</t>
  </si>
  <si>
    <t>E3.3</t>
  </si>
  <si>
    <t>Are unlocks tied to real adoption milestones? (Yes / Unclear / No)</t>
  </si>
  <si>
    <t>https://www.mexc.fm/price/AVAX/tokenomics; https://99bitcoins.com/cryptocurrency/avalanche-review/; https://coindar.org/en/coin/avalanche/calendar</t>
  </si>
  <si>
    <t>2024-11-20; 2024-11-15</t>
  </si>
  <si>
    <t>Available sources describe AVAX unlocks as pre-set, time-based vesting for team, foundation, partners, and other allocations, with regular quarterly or scheduled dates and fixed amounts. There is no indication that release of these tranches is contingent on usage, revenue, or other concrete adoption milestones; they proceed according to a predetermined calendar instead.</t>
  </si>
  <si>
    <t>E3-N</t>
  </si>
  <si>
    <t>≤120-word narrative on dilution path and mitigants. (Narrative only)</t>
  </si>
  <si>
    <t>AVAX has a hard-capped maximum supply of 720M tokens, with 360M minted at genesis and the remaining 360M emitted over at least a decade as staking rewards and incentives. Most non-staking allocations (team, investors, community, partners) followed multi‑year vesting schedules, and all major cliffs other than the Foundation’s long tail are reportedly completed, reducing large unlock overhang. Ongoing dilution now largely comes from staking issuance and the Foundation’s ~1.7M AVAX quarterly unlocks through 2030. Dilution is structurally mitigated by hard-cap governance, declining emission parameters as supply approaches the cap, and full burning of network transaction fees, which partially offsets net issuance.</t>
  </si>
  <si>
    <t>https://support.avax.network/en/articles/6912428-tokenomics-faq; https://www.avax.network/about/tokens; https://www.galaxy.com/insights/research/protocol-overview-avalanche-2024/</t>
  </si>
  <si>
    <t>2024-10-01; 2023-06-01; 2024-09-09</t>
  </si>
  <si>
    <t>Avalanche docs and third-party tokenomics analyses show a 720M hard cap, 360M genesis mint, 50% supply reserved for long-term staking rewards, and multi‑year vesting for team, investors, and the Foundation. Galaxy notes that all major vesting cliffs except the Foundation’s unlocks are finished, and that fees are fully burned while staking rewards are minted, implying net dilution mainly from rewards and residual vesting, with mitigants from the burn and the fixed cap.</t>
  </si>
  <si>
    <t>E4.1</t>
  </si>
  <si>
    <t>Primary yield source (Fee / Mix / Emissions / Unknown).</t>
  </si>
  <si>
    <t>Mix</t>
  </si>
  <si>
    <t>https://support.avax.network/en/articles/4064723-what-is-the-tokenomics-of-avax; https://docs.avax.network/learn/avalanche/avalanche-avax-token/staking</t>
  </si>
  <si>
    <t>2023-01-15; 2023-06-01</t>
  </si>
  <si>
    <t>Trigger #3 checks emission-funded high APR.</t>
  </si>
  <si>
    <t>Staking rewards for AVAX validators and delegators are primarily funded by protocol-level token emissions, but the Avalanche protocol also burns transaction fees, indirectly enhancing yield via reduced supply. Because both ongoing emissions and fee-based burn dynamics contribute to overall staking returns, the most accurate classification for the primary yield source is a mix rather than purely emissions or fees.</t>
  </si>
  <si>
    <t>E4.2</t>
  </si>
  <si>
    <t>Typical headline yield/APR (%). Enter numeric or 'Unknown'.</t>
  </si>
  <si>
    <t>6</t>
  </si>
  <si>
    <t>https://www.cfbenchmarks.com/data/indices/AVAX_SRR; https://www.bitgetapp.com/price/avalanche/staking</t>
  </si>
  <si>
    <t>2025-11-15; 2025-11-25</t>
  </si>
  <si>
    <t>Escalate if primary yield = Emissions AND APR &gt; 20%.</t>
  </si>
  <si>
    <t>Recent data suggests AVAX native staking yields are mid-single digits. CF Benchmarks’ AVAX Staking Reward Rate index shows an annualized staking reward of about 5.5% as of November 2025, and centralized/retail offerings commonly advertise ranges around 4–6% APR. Using 6% captures a typical headline APR level across providers without overfitting to any single platform.</t>
  </si>
  <si>
    <t>E4.3</t>
  </si>
  <si>
    <t>Does the economic design discourage pure speculation? (Yes / Unclear / No)</t>
  </si>
  <si>
    <t>https://docs.avax.network/learn/avalanche/avax-token; https://support.avax.network/en/articles/4626956-what-is-the-avax-token</t>
  </si>
  <si>
    <t>2023-08-01; 2023-05-01</t>
  </si>
  <si>
    <t>AVAX has standard speculative characteristics: fixed capped supply, prominent exchange listings, and liquid markets. While staking yields and fee-burning create some utility alignment, there are no strong protocol-level mechanisms specifically designed to dampen speculative trading (e.g., lockups tied to usage, anti-gambling constraints). As a result, the economic design does not meaningfully discourage pure speculation.</t>
  </si>
  <si>
    <t>E4-N</t>
  </si>
  <si>
    <t>≤120-word narrative on incentive sustainability &amp; suitability. (Narrative only)</t>
  </si>
  <si>
    <t>Avalanche uses staking rewards, transaction fees, and validator incentives to secure the network and coordinate consensus. AVAX staking yields are dynamic and expected to decline over time as issuance decreases, which supports long‑term sustainability if network usage and fee volume grow. Lock‑up requirements for validators and delegators help align incentives and reduce short‑term speculation but create opportunity cost. Governance and parameter flexibility (e.g., adjusting fees and reward rates) can help preserve economic security under changing conditions, though it also introduces policy risk if misused or captured by large stakeholders.</t>
  </si>
  <si>
    <t>https://docs.avax.network/validators/overview; https://docs.avax.network/overview/getting-started/avalanche-token</t>
  </si>
  <si>
    <t>2024-05-01; 2023-08-01</t>
  </si>
  <si>
    <t>Summary based on public descriptions of AVAX staking, issuance and validator requirements; specific long-term sustainability depends on future usage and governance decisions, which are uncertain.</t>
  </si>
  <si>
    <t>Staleness Class Lookup Table</t>
  </si>
  <si>
    <t>Max_Age_Low_Risk</t>
  </si>
  <si>
    <t>Max_Age_Med_Risk</t>
  </si>
  <si>
    <t>Penalty_Med</t>
  </si>
  <si>
    <t>Penalty_High</t>
  </si>
  <si>
    <t>TAB SUMMARY (auto-calculated)</t>
  </si>
  <si>
    <t>Section A Avg Final_Score</t>
  </si>
  <si>
    <t>Section B Avg Final_Score</t>
  </si>
  <si>
    <t>Section C Avg Final_Score</t>
  </si>
  <si>
    <t>Section D Avg Final_Score</t>
  </si>
  <si>
    <t>Section E Avg Final_Score</t>
  </si>
  <si>
    <t>Overall Avg Final_Score</t>
  </si>
  <si>
    <t>Overall_Risk_Band</t>
  </si>
  <si>
    <t>Weakest_Link_Subsection</t>
  </si>
  <si>
    <t>A. Financial Promotions &amp; Claims</t>
  </si>
  <si>
    <t>Does the project’s public messaging describe the token in functional terms rather than speculative return language? (Functional / Mixed / Speculative / Unknown)</t>
  </si>
  <si>
    <t>Functional</t>
  </si>
  <si>
    <t>https://build.avax.network/docs/primary-network/avax-token; https://www.avax.network/about/tokens; https://www.avax.network/about/avalanche-avax/</t>
  </si>
  <si>
    <t>2024-11-01; 2024-11-01; 2024-10-28</t>
  </si>
  <si>
    <t>Avalanche’s own documentation consistently describes AVAX as a “native utility token” used to pay transaction fees, secure the platform through staking, and act as a basic unit of account across Avalanche L1s. Messaging focuses on network operations, governance weight, and protocol mechanics, with no emphasis on AVAX as an investment or on price appreciation, beyond neutral tokenomics explanations. This aligns with a primarily functional description.</t>
  </si>
  <si>
    <t>Are material risks (e.g., volatility, governance, centralization, roadmap uncertainty) clearly disclosed in official documentation? (Good / Partial / Poor / Unknown)</t>
  </si>
  <si>
    <t>https://www.bitget.com/az-AZ/price/avalanche/whitepaper; https://support.avax.network/en/articles/6159030-legal-disclosure; https://support.avax.network/en/articles/6350544-ofac-disclaimer</t>
  </si>
  <si>
    <t>2024-11-01; 2024-10-01; 2024-10-01</t>
  </si>
  <si>
    <t>Avalanche’s own materials include some explicit risk language (e.g., discussion of technical/security and economic risks such as smart‑contract vulnerabilities, validator centralization risk, market volatility, competition, and inflationary pressures in whitepaper-style documentation, plus generic legal disclaimers on official support pages). However, there is no single, comprehensive, investor-style risk section that systematically covers governance, centralization, roadmap, and regulatory risks in detail. Overall disclosure is present but incomplete, so best categorized as Partial.</t>
  </si>
  <si>
    <t>Do official materials avoid implying guaranteed returns or profit expectations? (Yes / No / Ambiguous / Unknown)</t>
  </si>
  <si>
    <t>https://www.avax.network/build/validators; https://support.avax.network/en/articles/6235660-staking-faq; https://www.avax.network/about/staking</t>
  </si>
  <si>
    <t>2025-11-20; 2025-10-10; 2025-09-15</t>
  </si>
  <si>
    <t>COBS 4.5A.3R — Promotions must not imply guaranteed returns or expectations of profit (requires board sign‑off if detected).</t>
  </si>
  <si>
    <t>Official Avalanche materials actively market staking returns, including prominently displaying an APY, a staking rewards calculator showing daily/monthly/yearly returns, and statements like “Stake your AVAX and receive rewards” and “Earn up to 7.65% APY on staked AVAX.” This goes beyond neutral technical description and clearly creates profit expectations, so they do not avoid such implications.</t>
  </si>
  <si>
    <t>Is the token’s described purpose aligned with observed real-world usage on-chain or in live applications? (Aligned / Partially / Misaligned / Unknown)</t>
  </si>
  <si>
    <t>Aligned</t>
  </si>
  <si>
    <t>https://www.avax.network/about/tokens; https://support.avax.network/en/articles/5521050-what-are-the-transaction-fees-on-avalanche; https://build.avax.network/academy/l1-tokenomics/04-staking/01-staking-tokens</t>
  </si>
  <si>
    <t>2023-09-01; 2024-10-01; 2024-06-01</t>
  </si>
  <si>
    <t>Avalanche describes AVAX as the native utility token used to pay transaction fees, secure the network through staking, and serve as a unit of account across Avalanche L1s. On-chain and ecosystem usage reflects this: C‑Chain and bridge documentation specify that all transaction/gas fees are paid in AVAX, and Avalanche staking materials describe AVAX (and L1 staking tokens) being used to run validators and secure networks. This indicates strong alignment between stated purpose and real-world use.</t>
  </si>
  <si>
    <t>Is the overall tone of messaging suitable for retail audiences (simple, factual, risk-aware)? (Yes / Mixed / No / Unknown)</t>
  </si>
  <si>
    <t>https://support.avax.network/en/articles/6159030-legal-disclosure; https://support.avax.network/en/articles/4135427-avalanche-platform-overview; https://build.avax.network/docs</t>
  </si>
  <si>
    <t>2024-10-01; 2024-10-01; 2024-09-01</t>
  </si>
  <si>
    <t>Avalanche’s core public-facing materials (docs and support articles) are largely technical and promotional, emphasizing speed, scalability, and security in relatively complex language, which is not fully optimized for unsophisticated retail users. While the support site carries clear legal and risk-style disclaimers that it is not investment or legal advice and urges users to do their own research, risk factors and downsides are not prominent in top-level messaging. Overall, tone is partly factual and risk-aware but not consistently simple or retail-focused.</t>
  </si>
  <si>
    <t>B. Token Holder Rights &amp; Legal Characterization</t>
  </si>
  <si>
    <t>Does the token confer economic rights such as dividends, revenue share, buybacks yielding returns, interest, or similar? (Yes / Partial / No / Unknown)</t>
  </si>
  <si>
    <t>https://docs.avax.network/learn/avalanche/avax-token/; https://messari.io/asset/avalanche/profile</t>
  </si>
  <si>
    <t>2024-01-15; 2024-05-01</t>
  </si>
  <si>
    <t>FSMA perimeter risk — securities-like **economic rights** (dividends/revenue share/interest). Legal assessment required.</t>
  </si>
  <si>
    <t>Avalanche’s AVAX token is primarily used for staking, securing the network, and paying transaction fees. Stakers earn protocol rewards funded via token emissions and fees, but there is no explicit on-chain right to dividends, revenue sharing from a legal entity, guaranteed interest, or formal buyback program that would constitute equity-like economic rights. Any returns are from staking incentives, not contractual economic rights akin to dividends or revenue share.</t>
  </si>
  <si>
    <t>How material are governance rights over protocol economics (e.g., issuance/fees/treasury)? (High / Moderate / Low / None / Unknown)</t>
  </si>
  <si>
    <t>https://build.avax.network/docs/primary-network/avax-token; https://www.avax.network/about/tokens; https://www.cube.exchange/what-is/avalanche</t>
  </si>
  <si>
    <t>2024-11-15; 2024-11-10; 2025-11-15</t>
  </si>
  <si>
    <t>No board trigger for this question.</t>
  </si>
  <si>
    <t>AVAX supply is hard-capped at 720M, but core economic levers such as the issuance schedule (staking reward parameters) and thus effective inflation are explicitly tunable via protocol parameters (e.g., γ and λ) that are subject to change and where validator stake determines weight in network decisions. This gives governance participants material influence over protocol economics even though the absolute supply cap and fee-burning rule are fixed, so overall economic-governance materiality is High.</t>
  </si>
  <si>
    <t>Is there any claim on issuer/treasury assets or redemption at par or promise-like value? (Yes / Conditional / No / Unknown)</t>
  </si>
  <si>
    <t>https://docs.avax.network/learn/avalanche/avax-token; https://research.binance.com/en/projects/avalanche</t>
  </si>
  <si>
    <t>2023-06-01; 2021-08-11</t>
  </si>
  <si>
    <t>FSMA perimeter risk — **redemption/claim on issuer assets** may indicate e‑money or security.</t>
  </si>
  <si>
    <t>AVAX is the native token of the Avalanche public blockchain used for staking, gas, and governance. It functions as a cryptoasset without any stated right to redeem at par or for issuer/treasury assets, and there is no promise of a fixed or “promise-like” value from the protocol or any issuer. Documentation and major references describe AVAX strictly in utility/consensus and fee terms, not as a redeemable claim.</t>
  </si>
  <si>
    <t>Do terms impose jurisdictional restrictions affecting **retail** availability (e.g., UK/US retail excluded)? (None / Some / Extensive / Unknown)</t>
  </si>
  <si>
    <t>Some</t>
  </si>
  <si>
    <t>https://www.avax.network/legal/terms-of-use/; https://www.avalabs.org/api-and-data-terms-of-service</t>
  </si>
  <si>
    <t>2020-09-22; 2025-02-19</t>
  </si>
  <si>
    <t>Avalanche’s wallet and API/Data Terms require users not to be in sanctioned countries or on sanctions lists and not to access services where doing so would be illegal, and they block “Restricted Persons” and “Restricted Territories.” These are jurisdictional and sanctions-based restrictions but do not amount to a blanket exclusion of all US/UK retail users. Therefore, restrictions are present but not extensive.</t>
  </si>
  <si>
    <t>Has any regulator officially flagged or acted on this token (e.g., SEC complaint, FCA warning, ESMA statement)? (No / Soft-Guidance / Enforcement / Unknown)</t>
  </si>
  <si>
    <t>https://www.sec.gov/Archives/edgar/data/2086017/000121390025115003/ea0267008-s1a1_bitwise.htm; https://charltonsquantum.com/quantum-updates-48-us-sec-proceedings-on-vaneck-bitcoin-and-ethereum-trusts-proposal/</t>
  </si>
  <si>
    <t>2025-12-10; 2025-05-28</t>
  </si>
  <si>
    <t>Regulatory action detected — prioritise legal review and board visibility.</t>
  </si>
  <si>
    <t>I find no record of AVAX/Avalanche being named in an SEC or other major regulator enforcement complaint or warning list (unlike some other tokens). Instead, U.S. filings treat Avalanche as the reference asset for proposed commodity-style ETFs and trusts, with prospectuses only warning of hypothetical risk if a court or regulator were to later deem AVAX a security, implying no such determination to date.</t>
  </si>
  <si>
    <t>B1.6</t>
  </si>
  <si>
    <t>Do materials present the token primarily as an **investment opportunity** rather than functional utility? (Yes / Implied / No / Unknown)</t>
  </si>
  <si>
    <t>https://www.avax.network/about/tokens; https://www.digitalfamilyoffice.io/avax-explained-understanding-its-importance/</t>
  </si>
  <si>
    <t>2025-11-10; 2025-04-01</t>
  </si>
  <si>
    <t>Official Avalanche materials describe AVAX primarily as a native utility token used to pay fees, secure the network via staking, and act as a unit of account across Avalanche L1s. They focus on tokenomics (supply cap, burning, staking rewards) and technical roles in consensus and subnet operations, rather than marketing AVAX as an investment promising returns. While third parties discuss AVAX price and institutional exposure, this is not the dominant framing in core project documentation.</t>
  </si>
  <si>
    <t>B1.7</t>
  </si>
  <si>
    <t>Were token sales/distributions conducted with investor protections (KYC, vesting, disclosures)? (Strong / Partial / Weak / Unknown)</t>
  </si>
  <si>
    <t>Strong</t>
  </si>
  <si>
    <t>https://www.sec.gov/Archives/edgar/data/2035053/000119312525228678/avax_s-1_amendment_1.htm; https://www.reddit.com/r/Avax/comments/hfnpmj; https://99bitcoins.com/cryptocurrency/avalanche-review/</t>
  </si>
  <si>
    <t>2025-11-08; 2020-06-25; 2024-08-01</t>
  </si>
  <si>
    <t>Evidence indicates AVAX token offerings used investor protections: (1) private and public sales were conducted under U.S. securities exemptions requiring accredited investors or non‑U.S. persons and suitability standards, with an explicit KYC process; (2) multiple sale tranches (seed, private, public options) had defined vesting schedules, with only one public option fully unlocked; and (3) detailed distribution and vesting terms were publicly disclosed in offering/technical materials and later in an SEC registration statement.</t>
  </si>
  <si>
    <t>B1-N</t>
  </si>
  <si>
    <t>≤120-word narrative on legal characterisation &amp; rights (with evidence).</t>
  </si>
  <si>
    <t>AVAX is the native utility token of the Avalanche Primary Network, used to pay network fees, secure the platform via proof‑of‑stake staking, and act as a unit of account across Avalanche L1s, with a capped supply of 720 million tokens.【turn1search6】 Holders who stake can operate or delegate to validators and gain influence over protocol parameters and network decisions, giving AVAX a governance and incentive function rather than a formal profit, debt, or redemption claim against any issuer or foundation.【turn1search6】【turn1search8】 AVAX therefore functions primarily as a consumptive/utility and governance token, with ultimate legal characterisation dependent on jurisdiction‑specific securities and commodities law analysis.</t>
  </si>
  <si>
    <t>https://www.avax.network/about/tokens; https://www.hedgethink.com/avalanche-protocol-token-technology-and-community/</t>
  </si>
  <si>
    <t>2024-11-15; 2024-05-06</t>
  </si>
  <si>
    <t>Description is based on Avalanche’s own AVAX token documentation plus independent analyses of its staking, fee and governance utilities, all of which indicate functional rights (fees, staking, governance) but no explicit legal claims on an issuer. Exact regulatory characterisation remains jurisdiction‑specific, so I avoid labelling it definitively as a security or commodity.</t>
  </si>
  <si>
    <t>C. Governance, Control &amp; Decision-Making</t>
  </si>
  <si>
    <t>C1.1</t>
  </si>
  <si>
    <t>Who can change core protocol parameters or upgrade contracts? (DAO w/ quorum &amp; timelock / Multisig (≥M-of-N) w/ timelock / Multisig without timelock / Single key / Unknown)</t>
  </si>
  <si>
    <t>https://www.avax.network/about/press/etna-enhancing-the-sovereignty-of-avalanche-l1-networks/; https://build.avax.network/blog/granite-upgrade; https://www.galaxy.com/insights/research/protocol-overview-avalanche-2024/</t>
  </si>
  <si>
    <t>2024-12-02; 2025-10-29; 2024-06-01</t>
  </si>
  <si>
    <t>SYSC 4.1.1R — Unilateral control over protocol upgrades poses material governance risk.</t>
  </si>
  <si>
    <t>Avalanche’s core protocol (including AVAX’s monetary rules and base consensus) is implemented in node software (AvalancheGo). Network upgrades such as Etna and Granite are introduced via Avalanche Community Proposals and new client releases, which node operators choose to adopt; there is no disclosed on‑chain admin contract, DAO, or upgrade multisig that can unilaterally flip protocol parameters. Because governance is primarily off‑chain and driven by client upgrades, it cannot be cleanly mapped to any of the listed on‑chain control categories, so it is classified here as Unknown.</t>
  </si>
  <si>
    <t>C1.2</t>
  </si>
  <si>
    <t>Are upgrade/admin privileges protected by timelocks giving users time to react? (Yes / Partial / No / Unknown)</t>
  </si>
  <si>
    <t>https://www.avax.network/about/blog/etna-enhancing-the-sovereignty-of-avalanche-l1-networks; https://build.avax.network/blog/granite-upgrade</t>
  </si>
  <si>
    <t>2024-12-02; 2025-10-21</t>
  </si>
  <si>
    <t>AVAX is the native token of the Avalanche base chain, not an upgradeable ERC‑20 with an on‑chain admin contract. Core protocol changes (e.g., Etna, Granite) are coordinated via client releases and scheduled activation times announced in advance, but these are not enforced by an on‑chain timelock contract protecting an upgrade/admin key. Users rely on social/process notice rather than a formal timelock mechanism.</t>
  </si>
  <si>
    <t>C1.3</t>
  </si>
  <si>
    <t>Is treasury control distributed (e.g., ≥M-of-N multisig with independent signers)? (Strong / Partial / Weak / Unknown)</t>
  </si>
  <si>
    <t>https://uk.finance.yahoo.com/news/avalanche-foundation-eyes-1b-raise-084604785.html; https://holder.io/news/avalanche-foundation-1b-crypto-treasury/</t>
  </si>
  <si>
    <t>2025-09-11; 2025-09-11</t>
  </si>
  <si>
    <t>Publicly available materials on Avalanche and the Avalanche Foundation discuss large AVAX treasury holdings and plans for treasury companies, but do not clearly disclose how on-chain treasury wallets are governed (e.g., specific multisig structures, number and independence of signers). In the absence of explicit, verifiable details on ≥M-of-N multisig or comparable distributed controls, the level of treasury control distribution must be treated as Unknown.</t>
  </si>
  <si>
    <t>C1.4</t>
  </si>
  <si>
    <t>Are governance processes transparent (on-chain proposals, published minutes, voter addresses, audits)? (Good / Partial / Poor / Unknown)</t>
  </si>
  <si>
    <t>https://build.avax.network/docs/acps; https://www.avax.network/about/blog/etna-enhancing-the-sovereignty-of-avalanche-l1-networks</t>
  </si>
  <si>
    <t>2024-10-01; 2024-12-02</t>
  </si>
  <si>
    <t>Avalanche has a formal Avalanche Community Proposal (ACP) framework, with improvement proposals and technical specifications published openly for community review, and network upgrades (e.g., Etna) explicitly tied to specific ACPs. However, there is no widely implemented, token-based on-chain governance system that records proposal votes and voter addresses on-chain, nor are there formal published minutes or systematic audits of governance decisions. Overall governance signaling is somewhat transparent via public ACPs, but lacks full on-chain voting transparency.</t>
  </si>
  <si>
    <t>C1.5</t>
  </si>
  <si>
    <t>Does a single organisation or person have unilateral ability to pause/disable the protocol? (No / Limited / Yes / Unknown)</t>
  </si>
  <si>
    <t>https://support.avax.network/en/articles/4136533-is-avalanche-permissionless-or-permissioned; https://support.avax.network/en/articles/6662251-how-do-i-become-a-validator; https://build.avax.network/academy/permissionless-l1s/02-proof-of-stake/01-introduction</t>
  </si>
  <si>
    <t>2024-09-01; 2024-11-30; 2024-10-01</t>
  </si>
  <si>
    <t>PRIN 12 — Foreseeable harm: unilateral pause/disable control requires board visibility.</t>
  </si>
  <si>
    <t>Avalanche’s primary network (X, P and C chains) is described by the project as permissionless, with anyone able to become a validator by staking AVAX and meeting hardware requirements; there is no public documentation of a central admin key or single operator able to pause the entire protocol. Consensus and liveness depend on a distributed validator set rather than unilateral control, so no single organization or person can on their own halt the network, though collusion of many validators could disrupt it.</t>
  </si>
  <si>
    <t>C1.6</t>
  </si>
  <si>
    <t>Is there evidence of active, non-captive participation (≥X distinct voters, ≥Y% turnout) in recent governance? (Strong / Mixed / Weak / Unknown)</t>
  </si>
  <si>
    <t>Weak</t>
  </si>
  <si>
    <t>https://bestdapps.com/blogs/news/a-deepdive-into-avax-2026; https://cointelegraph.com/learn/avalanche-avax-ecosystem; https://www.thestandard.io/blog/due-diligence-on-avalanche-avax-evaluating-its-position-in-the-blockchain-landscape-2025-outlook-5</t>
  </si>
  <si>
    <t>2025-11-01; 2025-11-20; 2025-12-10</t>
  </si>
  <si>
    <t>Avalanche’s main network governance is validator‑driven and minimizes formal on‑chain tokenholder voting. Sources describe validators adjusting key parameters and note only partial, limited on‑chain governance for things like staking and fees, rather than broad, regular DAO‑style votes with transparent turnout metrics. Recent analysis also flags risks of voter apathy and concentrated validator power. There is no clear evidence of large, high‑turnout tokenholder votes, so recent active non‑captive participation appears weak.</t>
  </si>
  <si>
    <t>C1.7</t>
  </si>
  <si>
    <t>Are conflicts of interest disclosed for key decision-makers (founders, multisig signers, major delegates)? (Yes / Partial / No / Unknown)</t>
  </si>
  <si>
    <t>https://www.avax.network/blog/the-avalanche-foundation-discloses-community-coin-holdings; https://www.ft.com/content/87b5cb20-e86c-4849-8959-ee1f87ffb388</t>
  </si>
  <si>
    <t>2024-03-14; 2025-09-11</t>
  </si>
  <si>
    <t>There is some transparency around institutional financial interests (e.g., the Avalanche Foundation publicly discloses certain token holdings like community coins and has media-reported plans for AVAX treasury vehicles), but I find no formal, systematic conflict-of-interest policy or personal holdings disclosure for founders, multisig signers, or major delegates. Hence, disclosures are partial rather than comprehensive.</t>
  </si>
  <si>
    <t>C1-N</t>
  </si>
  <si>
    <t>≤120‑word narrative on managerial reliance and governance risk (with citations).</t>
  </si>
  <si>
    <t>Avalanche’s consensus and block production are handled by permissionless validators that must stake at least 2,000 AVAX, with influence proportional to stake and support for delegation, which reduces direct reliance on a single operator but embeds economic concentration risk among large validators and pools. citeturn0search1turn0search3 Governance of protocol parameters and ecosystem strategy is heavily influenced by the Avalanche Foundation and affiliated developers, who control substantial token treasuries and lead key initiatives, creating ongoing key‑person and organizational‑dependence risk despite a decentralized validator set. citeturn0news14</t>
  </si>
  <si>
    <t>https://build.avax.network/docs/primary-network/validate/how-to-stake; https://build.avax.network/academy/permissionless-l1s/02-proof-of-stake/01-introduction; https://www.ft.com/content/87b5cb20-e86c-4849-8959-ee1f87ffb388</t>
  </si>
  <si>
    <t>2024-10-01; 2024-10-01; 2025-09-11</t>
  </si>
  <si>
    <t>Used primary Avalanche documentation to confirm permissionless PoS validator model and stake‑weighted influence, and reputable reporting to evidence the Avalanche Foundation’s significant role and token holdings. This supports a balanced view: operational control is distributed among validators, but governance and strategic direction remain dependent on a central foundation and core team, implying non‑trivial managerial reliance and concentration risk. No direct regulatory enforcement actions located in this step, but governance centralization is still material for securities/oversight analysis.</t>
  </si>
  <si>
    <t>D. Disclosures &amp; Transparency</t>
  </si>
  <si>
    <t>https://build.avax.network/; https://www.avalabs.org/whitepapers</t>
  </si>
  <si>
    <t>Avalanche maintains current technical documentation via its official Builder Hub, which hosts canonical docs on consensus, networks, RPCs, and development. In addition, Ava Labs publishes multiple Avalanche whitepapers (platform, consensus, token dynamics) on its official whitepapers page. These are active, maintained resources from official project entities.</t>
  </si>
  <si>
    <t>https://assets.website-files.com/5d80307810123f5ffbb34d6e/6008d7bc56430d6b8792b8d1_Avalanche%20Native%20Token%20Dynamics.pdf; https://www.avalabs.org/whitepapers; https://build.avax.network/docs/primary-network/avax-token</t>
  </si>
  <si>
    <t>2020-06-25; 2023-08-20; 2024-11-15</t>
  </si>
  <si>
    <t>The dedicated “Avalanche Native Token ($AVAX) Dynamics” whitepaper explains AVAX’s role in governance, staking, token minting and fee mechanics, including that AVAX has a capped supply, is staked to participate in consensus, and that transaction fees in AVAX are burned, increasing scarcity. This, together with official docs describing AVAX as the native utility token used for fees, staking, and unit of account, means the purpose and functions are clearly stated.</t>
  </si>
  <si>
    <t>https://www.midasdigitaltimes.com/%EC%95%84%EB%B0%9C%EB%9E%80%EC%B2%B4-%ED%94%8C%EB%9E%AB%ED%8F%BC-%EB%B0%B1%EC%84%9C-avalanche-platform-whitepaper/; https://www.avalabs.org/whitepapers</t>
  </si>
  <si>
    <t>2023-11-01</t>
  </si>
  <si>
    <t>The Avalanche Platform Whitepaper contains a dedicated section titled “Governance and the $AVAX Token,” including subsection 4.2 Governance, which explains that AVAX provides on-chain governance over critical network parameters (e.g., minimum staking amount, minting rate, and other economic parameters) and describes how participants vote on changes and upgrade decisions. This constitutes a clear description of the governance model.</t>
  </si>
  <si>
    <t>https://www.avalabs.org/whitepapers; https://www.thetie.io/insights/avalanche-ecosystem/; https://bacool.medium.com/on-the-economics-and-governance-of-avalanche-avax-b6beecff5d61</t>
  </si>
  <si>
    <t>2020-09-23; 2021-01-15; 2021-11-15</t>
  </si>
  <si>
    <t>Avalanche has a dedicated "Avalanche Native Token Dynamics"/token economics paper listed among its official whitepapers, which describes AVAX’s capped 720M supply, the emission curve for minting the remaining 360M tokens, and governance over the issuance rate. Third-party summaries quoting the "Token Economics" section of the whitepaper show both the supply schedule and detailed allocation breakdown (staking rewards, sales, team, foundation, etc.), indicating full tokenomics disclosure in the whitepaper suite.</t>
  </si>
  <si>
    <t>https://www.bitget.com/az-AZ/price/avalanche/whitepaper; https://www.thestandard.io/blog/due-diligence-on-avalanche-avax-evaluating-its-position-in-the-blockchain-landscape-2025-outlook-6; https://www.21shares.com/en-eu/research/avalanche-research-primer</t>
  </si>
  <si>
    <t>2024-11-01; 2025-11-01; 2025-12-01</t>
  </si>
  <si>
    <t>Avalanche-related materials explicitly discuss a range of risks. The AVAX whitepaper-style documentation lists technical and security risks (smart contract vulnerabilities, validator centralization, protocol upgrade risk) and economic risks such as volatility, competition, and staking/inflation dynamics. Independent research reports add governance centralization, regulatory uncertainty, and market risks. Together these indicate risk factors are clearly disclosed across multiple dimensions.</t>
  </si>
  <si>
    <t>https://www.avalabs.org/team; https://en.wikipedia.org/wiki/Avalanche_%28blockchain_platform%29; https://en.wikipedia.org/wiki/Emin_G%C3%BCn_Sirer</t>
  </si>
  <si>
    <t>2025-12-10; 2025-11-15; 2025-11-10</t>
  </si>
  <si>
    <t>Ava Labs, the core developer of Avalanche, publicly discloses a detailed leadership page listing named executives (e.g., CEO Emin Gün Sirer, President John Wu, other C‑suite roles) with roles and photos, allowing independent verification of identities. External profiles and coverage also clearly identify Sirer and Ava Labs as the founders and developers of Avalanche, indicating a well‑known, doxxed team rather than an anonymous one.</t>
  </si>
  <si>
    <t>https://www.midasdigitaltimes.com/%EC%95%84%EB%B0%9C%EB%9E%80%EC%B2%B4-%ED%94%8C%EB%9E%AB%ED%8F%BC-%EB%B0%B1%EC%84%9C-avalanche-platform-whitepaper/; https://www.avax.network/about/avalanche-avax/</t>
  </si>
  <si>
    <t>2020-06-30</t>
  </si>
  <si>
    <t>Core Avalanche materials include an explicit caution that the platform paper is preliminary and may contain forward‑looking statements, followed by a definition describing such statements as relating to future events, performance, and execution of vision and strategy. This dedicated disclaimer section distinguishes forward‑looking content from the technical and factual descriptions elsewhere, indicating that forward‑looking statements are clearly separated from factual claims in primary documentation.</t>
  </si>
  <si>
    <t>The Avalanche whitepapers provide technically detailed, generally accurate explanations of the protocol, architecture, and token dynamics, which supports the FCA standard for information being clear to a sophisticated technical audience. However, they are not written for retail consumers and largely emphasize design goals and performance rather than balanced disclosure of material risks, limitations, and regulatory uncertainties. Assumptions and trade‑offs (e.g., governance, economic/game‑theory risks, implementation complexity) are not highlighted in a prominent, non‑technical way. As a result, while the documents are not obviously misleading, they would not on their own satisfy FCA expectations for fair, clear, and non‑misleading disclosure to a typical UK retail user.</t>
  </si>
  <si>
    <t>https://www.avalabs.org/whitepapers; https://crypto.bi/avalanche-platform/</t>
  </si>
  <si>
    <t>2024-12-01; 2024-11-20</t>
  </si>
  <si>
    <t>Assessment based on Avalanche’s technical whitepapers and neutral summaries: documents are clear and technically accurate but not risk‑balanced or retail‑oriented in the way the FCA typically expects. Hence only partial alignment with “fair, clear, non‑misleading” for UK retail audiences.</t>
  </si>
  <si>
    <t>E. Product Governance &amp; Review Process Fit</t>
  </si>
  <si>
    <t>https://en.wikipedia.org/wiki/Avalanche_%28blockchain_platform%29; https://www.coingecko.com/learn/what-is-avalanche-crypto-avax; https://www.alchemy.com/dapps/avalanche</t>
  </si>
  <si>
    <t>2024-11-15; 2024-09-12; 2025-11-20</t>
  </si>
  <si>
    <t>Avalanche (AVAX) is consistently described in technical documentation and third‑party research as a base Layer 1 blockchain protocol with its own consensus and primary network, competing with other L1s like Ethereum and Solana. AVAX is the native token securing this L1 network, so the correct scoring category is L1 rather than a higher‑layer utility or governance token.</t>
  </si>
  <si>
    <t>https://www.avax.network/about/tokens; https://support.avax.network/en/articles/6912428-tokenomics-faq; https://www.cube.exchange/what-is/avalanche</t>
  </si>
  <si>
    <t>2024-05-01; 2025-09-01; 2025-10-01</t>
  </si>
  <si>
    <t>Avalanche’s native token AVAX has a hard-capped maximum supply of 720 million tokens. Protocol docs and tokenomics pages state that 360M AVAX were minted at genesis, with the remaining 360M emitted over time as staking rewards, but total supply can never exceed 720M. This structure is best categorized as a capped supply model.</t>
  </si>
  <si>
    <t>https://build.avax.network/docs/primary-network/avax-token; https://messari.io/report/state-of-avalanche-q1-2025; https://www.mexc.fm/price/AVAX/tokenomics</t>
  </si>
  <si>
    <t>2024-11-01; 2025-04-15; 2025-11-20</t>
  </si>
  <si>
    <t>AVAX has a hard-capped maximum supply of 720M and clear documentation that ~360M was minted at genesis with the remaining 360M allocated to staking rewards and subject to on-chain governance parameters. Public materials outline vesting and unlock schedules (e.g., Foundation’s quarterly unlocks through 2030 and multi‑year team/partner vesting). These provide a transparent, well-documented issuance and unlock schedule, despite some tunable parameters.</t>
  </si>
  <si>
    <t>https://docs.avax.network/learn/avalanche/avax-token; https://messari.io/asset/avalanche/profile</t>
  </si>
  <si>
    <t>2023-05-01; 2024-01-15</t>
  </si>
  <si>
    <t>AVAX has a fixed capped supply of 720 million tokens set at genesis, with no mechanism for discretionary inflation beyond this cap. New AVAX are minted as staking rewards according to protocol-defined parameters, while a portion of fees are burned; these mechanisms are algorithmic and governed on-chain rather than being at the unilateral discretion of a centralized manager. This indicates that supply adjustments do not depend on managerial discretion, though governance can tune parameters within protocol limits.</t>
  </si>
  <si>
    <t>AVAX’s supply framework is relatively credible and well‑documented. The maximum supply is capped at 720 million tokens, with 50% reserved for long‑term staking rewards and the rest allocated across investors, team, foundation, and community programs under defined vesting schedules. Independent tokenomics breakdowns detail these allocations and cliffs, improving transparency around unlock risk. Major C‑/P‑/X‑Chain explorers allow real‑time monitoring of circulating supply, staking, and burns, supporting on‑chain verification. However, parameters such as reward emission can be altered via governance, so future effective supply trajectory depends on stakeholder decisions.</t>
  </si>
  <si>
    <t>https://coincodecap.com/avalanche-avax; https://www.mexc.fm/en-TR/price/AVAX/tokenomics; https://99bitcoins.com/cryptocurrency/avalanche-review/</t>
  </si>
  <si>
    <t>2025-01-15; 2024-06-01; 2024-11-01</t>
  </si>
  <si>
    <t>Public documentation and third‑party analyses consistently describe a capped 720M AVAX supply, split between initial allocations and long‑term staking rewards, with clear vesting. Explorers give strong on‑chain visibility, though governance mutability adds some residual uncertainty.</t>
  </si>
  <si>
    <t>https://www.mexc.fm/price/AVAX/tokenomics; https://99bitcoins.com/cryptocurrency/avalanche-review/; https://blog.tothemoon.com/articles/what-is-avalanche-avax</t>
  </si>
  <si>
    <t>2024-11-20; 2024-11-15; 2024-11-10</t>
  </si>
  <si>
    <t>Multiple independent tokenomics references state that 10% of the total AVAX supply is allocated to the project team/founding and non-founding members of Ava Labs, with a four‑year vesting schedule. This percentage is defined relative to the fixed 720M max supply, so 10% of FDV/max supply is team allocation.</t>
  </si>
  <si>
    <t>Available public materials on Avalanche’s token distribution discuss allocations for team, foundation, public sale, and private sale, but do not clearly isolate a single “investor/VC allocation percentage” as a share of max/FDV supply in a manner consistent with this specific field. Because of differing categorizations and no definitive, up-to-date breakdown tied to FDV, I cannot reliably provide a numeric value.</t>
  </si>
  <si>
    <t>https://www.mexc.fm/price/AVAX/tokenomics; https://www.thetie.io/insights/avalanche-ecosystem/; https://www.chaincatcher.com/en/article/2070411</t>
  </si>
  <si>
    <t>2024-10-01; 2023-04-01; 2023-06-01</t>
  </si>
  <si>
    <t>Multiple independent tokenomics sources state that roughly 9.26% of the AVAX maximum supply was allocated to the Avalanche Foundation, which functions as the protocol’s treasury for ecosystem development, marketing, and incentives. This is the clearest, consistently reported treasury/foundation bucket, so we record 9.26%.</t>
  </si>
  <si>
    <t>https://www.galaxy.com/insights/research/protocol-overview-avalanche-2024/; https://www.mexc.fm/price/AVAX/tokenomics; https://www.tokentrack.co/tokens/avalanche</t>
  </si>
  <si>
    <t>2024-09-09; 2024-11-15; 2024-11-15</t>
  </si>
  <si>
    <t>AVAX unlock and vesting schedules are publicly disclosed. Third-party analytics and exchange pages show detailed multi‑year vesting terms for team, foundation, partners, sales, and other allocations, along with tabulated future unlock dates and amounts. Research reports also publish forward-looking unlock schedules (e.g., 1.7M AVAX every three months for the Foundation through 2030).</t>
  </si>
  <si>
    <t>Chat fallback error 400: {
  "error": {
    "message": "Unsupported parameter: 'max_tokens' is not supported with this model. Use 'max_completion_tokens' instead.",
    "type": "invalid_request_error",
    "param": "max_token</t>
  </si>
  <si>
    <t>Could not parse structured output. Preview: {"id": "resp_01c214ee9580618200693c13746294819cb135799a6ab96aa9", "object": "response", "created_at": 1765544820, "status": "incomplete", "background": false, "billing": {"payer": "developer"}, "error": null, "incomplete_details": {"reason"</t>
  </si>
  <si>
    <t>Avalanche’s native token AVAX was distributed via private sales and public token sales, creating asymmetries in entry price and lock‑up terms that may advantage early investors and the foundation/team over later retail buyers. Vesting schedules and treasury-controlled allocations can exert concentrated selling pressure or governance influence if not transparently disclosed and monitored. Retail participants may not fully understand Avalanche’s complex subnet/validation economics, leading to information disparities versus sophisticated insiders and validators. These factors create foreseeable risks of economic harm to public holders through dilution, price impact from large unlocks, or protocol policy changes driven by concentrated stakeholders, especially if disclosures or ongoing communications are incomplete or overly promotional.</t>
  </si>
  <si>
    <t>Answer relies on general knowledge of Avalanche tokenomics and standard fairness concerns (private vs public allocations, vesting, governance). No specific enforcement actions identified, but foreseeable harm arises from structural information and bargaining asymmetries rather than known misconduct. Medium confidence as details of each sale round and vesting tranche are not fully enumerated here.</t>
  </si>
  <si>
    <t>https://build.avax.network/docs/primary-network/avax-token; https://support.avax.network/en/articles/6912428-tokenomics-faq; https://lvnacapital.com/post/avalanche</t>
  </si>
  <si>
    <t>2024-11-01; 2025-10-01; 2021-06-01</t>
  </si>
  <si>
    <t>AVAX emissions are not set as a fixed annual percentage. The supply is hard‑capped at 720M, with 360M minted at genesis and the remaining 360M distributed over time as staking rewards under a governance‑tunable formula. Early documentation cites an initial target minting rate of 7–12% for the first year, but parameters (and thus effective inflation) can be changed by governance and adjust as supply approaches the cap. Given this dynamic schedule, a single stable % figure cannot be reliably stated.</t>
  </si>
  <si>
    <t>Public documentation for AVAX focuses on initial and ongoing token allocations (team, foundation, staking rewards, etc.), but detailed vesting schedules and unlock pacing across all tranches are fragmented across announcements and third-party trackers. I could not find a single authoritative, comprehensive source specifying an overall unlock pacing style, so I must classify it as Unknown for due diligence purposes.</t>
  </si>
  <si>
    <t>https://messari.io/asset/avalanche/profile; https://support.avax.network/en/articles/6115779-avax-token-info</t>
  </si>
  <si>
    <t>2024-03-01; 2022-03-01</t>
  </si>
  <si>
    <t>Public AVAX tokenomics and vesting schedules show time-based and category-based unlocks (e.g., team, foundation, strategic partners, staking rewards), not clearly contingent on on-chain usage, revenue, or other measurable adoption milestones. Unlocks occur according to predefined vesting timetables rather than performance-based triggers, so they are not tied to real adoption milestones.</t>
  </si>
  <si>
    <t>AVAX has a capped max supply of 720m, with 360m pre-minted and 50% of supply reserved for staking rewards distributed over at least 10 years, creating ongoing issuance-driven dilution. Foundation tokens (≈9.26%) continue to unlock on a fixed schedule of ~1.67m AVAX every three months until 2030, while other investor/team cliffs largely completed by 2024, reducing concentrated unlock risk. Remaining dilution risk stems from governance-adjustable staking reward rates and the long tail of foundation unlocks. Key mitigants include a hard cap, long vesting/linear distribution for major allocations, and full burning of transaction fees, which can offset issuance and create neutral or deflationary net supply under high network usage.</t>
  </si>
  <si>
    <t>https://www.mexc.fm/price/AVAX/tokenomics; https://www.galaxy.com/insights/research/protocol-overview-avalanche-2024/; https://blog.cex.io/spotlight/cex-io-spotlight-avalanche-avax-31538</t>
  </si>
  <si>
    <t>2025-12-01; 2024-09-09; 2022-09-01</t>
  </si>
  <si>
    <t>Answer synthesizes recent tokenomics data on supply cap, vesting and unlock schedule, and fee burn vs. staking issuance to describe dilution drivers and structural mitigants, all from multiple consistent sources.</t>
  </si>
  <si>
    <t>https://docs.avax.network/overview/getting-started/avalanche-consensus#validators-and-rewards; https://support.avax.network/en/articles/4626956-what-is-the-total-supply-of-avax</t>
  </si>
  <si>
    <t>2023-06-01; 2022-05-01</t>
  </si>
  <si>
    <t>AVAX staking rewards are funded from a combination of (1) protocol inflation/emissions and (2) a portion of network fees. Avalanche docs describe validator rewards as coming from both newly minted AVAX and transaction fees, with a capped token supply and adjustable reward rates. This indicates yield is not purely fee-based or purely emissions-based but a mix of both sources.</t>
  </si>
  <si>
    <t>There is no single stable or widely accepted “typical” yield for AVAX. Returns vary significantly across on-chain staking (validator/delegator rewards on the Avalanche P-Chain) and numerous third‑party DeFi platforms, and they change over time with network conditions and market incentives. Because of this variability and lack of a consistent benchmark rate, a single representative headline APR cannot be reliably stated.</t>
  </si>
  <si>
    <t>https://support.avax.network/en/articles/6912428-tokenomics-faq; https://exponential.fi/assets/avalanche/9e4cc337-101c-42ea-b445-6f79061ae736; https://www.cube.exchange/what-is/avalanche</t>
  </si>
  <si>
    <t>2025-10-01; 2024-05-01; 2024-03-01</t>
  </si>
  <si>
    <t>AVAX has a hard-capped supply (720M), large allocation to long-term staking rewards, and full fee burning, which can create scarcity and support price appreciation as usage grows.
These features incentivize holding and yield-seeking via staking, but they do not add explicit mechanisms to dampen volatility or disincentivize speculative trading. The design aligns token value with network activity yet remains highly compatible with pure speculation.</t>
  </si>
  <si>
    <t>Avalanche’s incentive model centers on staking rewards and fee-based validator compensation. AVAX staking yields are dynamically adjusted through governance, which can support medium‑term sustainability if parameters remain conservative and responsive to market conditions. However, rewards are still partly funded by token emissions, exposing long‑run sustainability to dilution and price risk as issuance declines. Permissionless validator entry and relatively low hardware requirements support decentralization, but concentrated holdings and governance power among early stakeholders may affect fairness and suitability. Overall, incentives appear reasonably aligned for network security and performance, but depend on prudent monetary governance and continued organic fee growth to remain sustainable.</t>
  </si>
  <si>
    <t>Answer synthesizes general knowledge of Avalanche’s proof‑of‑stake and AVAX tokenomics without relying on a single canonical schedule or current emission figures, which may change via governance. No precise quantitative claims are made, so citation needs are limited; remaining uncertainty about future governance and market dynamics justifies a Medium confidence band.</t>
  </si>
  <si>
    <t>A. Asset Anonymity &amp; Traceability</t>
  </si>
  <si>
    <t>What best describes the asset’s on-chain anonymity profile? Choose: Transparent, Optional privacy, Native privacy coin, Unknown.</t>
  </si>
  <si>
    <t>Transparent</t>
  </si>
  <si>
    <t>https://snowtrace.io; https://docs.avax.network</t>
  </si>
  <si>
    <t>Escalate if the asset functions as a native privacy coin (default-anonymous design).</t>
  </si>
  <si>
    <t>Avalanche (AVAX) operates as a standard public smart-contract platform where transactions and balances are visible on public explorers (e.g., SnowTrace). It does not provide built-in privacy features such as confidential transactions, stealth addresses, or shielded pools. Any privacy must be achieved, if at all, through external tools, so its native on-chain profile is best classified as Transparent.</t>
  </si>
  <si>
    <t>Does the core protocol implement built-in mixing or obfuscation features (e.g., shielded pools, stealth addresses, native mixers)? Choose: None, Limited, Structural, Unknown.</t>
  </si>
  <si>
    <t>None</t>
  </si>
  <si>
    <t>https://docs.avax.network/overview; https://snowtrace.io</t>
  </si>
  <si>
    <t>2023-06-01</t>
  </si>
  <si>
    <t>Escalate if mixing/obfuscation is a structural feature of the protocol (default or core design).</t>
  </si>
  <si>
    <t>Avalanche (AVAX) is a public smart-contract and consensus platform with transparent UTXO/account-style transactions. There are no native shielded pools, stealth addresses, or built-in mixing primitives at the base protocol level comparable to Zcash, Monero, or Tornado Cash. Any obfuscation would come only from third-party applications, not from the core protocol design.</t>
  </si>
  <si>
    <t>How well can major blockchain analytics providers trace typical transactions for this asset? Choose: Full coverage, Partial coverage, Low coverage, Unknown.</t>
  </si>
  <si>
    <t>Full coverage</t>
  </si>
  <si>
    <t>https://www.chainalysis.com; https://www.trmlabs.com; https://www.elliptic.co</t>
  </si>
  <si>
    <t>AVAX is a top‑tier L1 asset supported by major blockchain analytics vendors (e.g., Chainalysis, TRM Labs, Elliptic) which provide transaction tracing, entity clustering, and risk scoring on the Avalanche C‑Chain and key ecosystem activity. These vendors market explicit support for Avalanche among their covered chains, indicating mature and comprehensive tracing rather than experimental or partial coverage.</t>
  </si>
  <si>
    <t>≤120-word narrative summary for A.1 (asset anonymity &amp; traceability design).</t>
  </si>
  <si>
    <t>Avalanche (AVAX) is a public, UTXO-based and EVM-compatible smart‑contract platform where transactions and addresses are generally traceable on transparent blockchains (X‑Chain, C‑Chain, P‑Chain). Transfers, DeFi activity, and contract interactions are visible to standard blockchain analytics, supporting transaction monitoring and clustering. Avalanche does not provide built‑in privacy pools, mandatory mixers, or default obfuscation comparable to privacy coins (e.g., Monero or Zcash). However, users can interact with external mixers, cross‑chain bridges, and DeFi protocols that may reduce traceability. Overall, Avalanche is a transparent, account/UTXO‑based Layer 1 with standard pseudonymous address privacy and no protocol‑level anonymity enhancements.</t>
  </si>
  <si>
    <t>https://docs.avax.network/learn/avalanche/avax-overview; https://docs.avax.network/build/avalanchego-apis/c-chain</t>
  </si>
  <si>
    <t>2024-05-01; 2023-11-01</t>
  </si>
  <si>
    <t>Summary based on general architectural knowledge of Avalanche’s transparent X/C/P chains and lack of native privacy features. No direct protocol evidence of built‑in privacy tech comparable to dedicated privacy coins; users could still use third‑party obfuscation tools. Medium confidence as design is well known but evolves.</t>
  </si>
  <si>
    <t>Where does most economic activity in the token occur? Choose: On-chain dominant, Mixed, Off-chain/opaque dominant, Unknown.</t>
  </si>
  <si>
    <t>https://www.avax.network; https://defillama.com/chain/Avalanche; https://www.coingecko.com/en/coins/avalanche</t>
  </si>
  <si>
    <t>No board trigger; used to calibrate opacity of economic footprint.</t>
  </si>
  <si>
    <t>AVAX is a major smart contract platform token with substantial on-chain usage in DeFi, NFTs, and gas fees on the Avalanche C-Chain, but it is also heavily traded on centralized exchanges (Binance, Coinbase, etc.). Liquidity and volumes are significant both on-chain (DEXs, DeFi protocols) and off-chain (CEX spot/derivatives), so overall economic activity is best characterized as Mixed rather than purely on-chain dominant.</t>
  </si>
  <si>
    <t>How frequently is the asset wrapped or bridged into privacy-focused layers or sidechains? Choose: Rare, Occasional, Frequent/structural, Unknown.</t>
  </si>
  <si>
    <t>Rare</t>
  </si>
  <si>
    <t>https://cross-chain-bridge.com/; https://www.monad-bridge.com/; https://anoncult.com/anobridge</t>
  </si>
  <si>
    <t>2025-08-01</t>
  </si>
  <si>
    <t>No direct board trigger; incorporated into anonymity score.</t>
  </si>
  <si>
    <t>There is evidence that AVAX can be moved through privacy-focused cross-chain bridges (e.g., privacy-first services that list Avalanche C‑Chain among many supported assets, and anonymous Monero-based swap bridges supporting 1,200+ tokens). However, these are niche third‑party tools and there is no indication that such routing is a major or structural use case for AVAX compared with its primary DeFi and bridging via the official Avalanche Bridge. On balance this suggests rare, opportunistic use rather than frequent or structural flows.</t>
  </si>
  <si>
    <t>Is the asset materially present in anonymising mixer or privacy-pool transaction flows (per major on-chain analytics reports)? Choose: No material usage, Some usage, Heavy/structural usage, Unknown.</t>
  </si>
  <si>
    <t>No material usage</t>
  </si>
  <si>
    <t>Escalate if token appears as a heavy or structural component of mixer/privacy pool flows.</t>
  </si>
  <si>
    <t>Public on-chain and analytics commentary on Avalanche/AVAX focuses on its role as a general-purpose L1 and DeFi/NFT ecosystem; there is no clear evidence in major chain analytics or supervisory discussions that AVAX is materially embedded in mixer or privacy-pool transaction flows. While specific instances of AVAX moving through cross-chain bridges or mixers may occur, these appear incidental rather than structural, so current evidence supports classifying it as having no material mixer/privacy-pool usage.</t>
  </si>
  <si>
    <t>≤120-word narrative summary for A.2 (transaction footprint &amp; opacity).</t>
  </si>
  <si>
    <t>Avalanche (AVAX) is a high-activity smart‑contract L1 with substantial, globally distributed transactional volume across its C‑Chain (EVM), X‑Chain, and P‑Chain. Base-layer transfers and DeFi activity are natively transparent and traceable on public explorers, supporting blockchain analytics and clustering. However, AML risk is elevated by permissionless DeFi (DEXs, lending, derivatives), cross-chain bridges, and rapid creation of application‑specific subnets and tokens, which can fragment liquidity and complicate holistic exposure analysis. Avalanche does not provide built‑in privacy features like default obfuscation or shielded pools, but some dApps could add higher-privacy functionality at the application layer. Overall on-chain data is open and analyzable, but the breadth of DeFi and bridging increases complexity of tracing and source-of-funds assessments.</t>
  </si>
  <si>
    <t>https://docs.avax.network/learn/avalanche/avalanche-platform; https://snowtrace.io; https://docs.avax.network/build/subnets</t>
  </si>
  <si>
    <t>2024-05-01; 2024-05-01</t>
  </si>
  <si>
    <t>Summary reflects public documentation of Avalanche’s architecture (C‑, X‑, P‑Chains), its role as a high‑throughput smart‑contract L1, and visibility of transactions on common explorers. No native privacy layer is indicated, but permissionless DeFi/bridges create tracing complexity. Medium confidence as precise volumes, share of illicit flows, and current dApp mix require live analytics beyond scope.</t>
  </si>
  <si>
    <t>B. Sanctions Exposure &amp; High-Risk Geography</t>
  </si>
  <si>
    <t>Have any smart contracts, official wallets, or entities directly associated with the token been named on OFAC, UN, EU, or UK sanctions lists? Choose: No, Indirect association only, Direct listing / designation, Unknown.</t>
  </si>
  <si>
    <t>Indirect association only</t>
  </si>
  <si>
    <t>https://www.sec.gov/Archives/edgar/data/2060717/000206071725000003/vaneckavalanchetrusts-1.htm; https://support.avax.network/en/articles/6350544-ofac-disclaimer</t>
  </si>
  <si>
    <t>2025-02-14; 2025-09-01</t>
  </si>
  <si>
    <t>Escalate if any token-linked entity, wallet, or contract is directly listed on OFAC, UN, EU, or UK sanctions lists.</t>
  </si>
  <si>
    <t>There is no evidence that Ava Labs, the Avalanche Foundation, AVAX smart contracts, or official Avalanche wallets are themselves listed by OFAC, UN, EU, or UK. However, a recent SEC filing for a VanEck Avalanche Trust notes that OFAC has designated certain digital currency addresses on the Avalanche blockchain as SDNs, creating "tainted" AVAX risk, and Avalanche itself warns users not to use its bridge if they are on OFAC lists. This indicates sanctions exposure via user addresses on the chain, not via official project entities or contracts.</t>
  </si>
  <si>
    <t>Have regulators or enforcement agencies taken public action referencing this token or project in relation to sanctions breaches or evasion? Choose: None disclosed, Under investigation / warning, Fined / enforcement for sanctions issues, Unknown.</t>
  </si>
  <si>
    <t>None disclosed</t>
  </si>
  <si>
    <t>https://support.avax.network/en/articles/6350544-ofac-disclaimer; https://en.wikipedia.org/wiki/Avalanche_%28blockchain_platform%29</t>
  </si>
  <si>
    <t>2025-10-01; 2025-11-01</t>
  </si>
  <si>
    <t>Escalate if the project has been fined or subject to formal enforcement for sanctions-related breaches.</t>
  </si>
  <si>
    <t>Searches of OFAC/Treasury sanctions actions and other recent enforcement releases do not show Avalanche, AVAX, Ava Labs, or the Avalanche Bridge being named as subjects of sanctions-evasion enforcement. Avalanche instead publishes an OFAC disclaimer warning sanctioned persons not to use its bridge, suggesting proactive sanctions compliance rather than being a target of action. On this basis, there is no public record of sanctions-related enforcement against this project.</t>
  </si>
  <si>
    <t>To what extent do on-chain analytics or public reports show this asset involved in sanctions-evasion typologies (e.g., DPRK, Russia-related evasion)? Choose: No material link, Some flagged flows, Heavy / structural involvement, Unknown.</t>
  </si>
  <si>
    <t>Some flagged flows</t>
  </si>
  <si>
    <t>https://www.sec.gov/Archives/edgar/data/2060717/000206071725000003/vaneckavalanchetrusts-1.htm; https://www.sec.gov/Archives/edgar/data/2060717/000162828025044164/vaneckavalanchetrusts-1a1o.htm; https://cryptoleaks.info/case-no-6</t>
  </si>
  <si>
    <t>2025-01-17; 2025-10-24; 2022-08-26</t>
  </si>
  <si>
    <t>Escalate if the token appears as a heavy or structural component of sanctions-evasion flows in credible analytics reports.</t>
  </si>
  <si>
    <t>Public sources do not show Avalanche or AVAX as itself sanctioned or structurally central to DPRK or Russia sanctions-evasion networks. However, SEC filings for an AVAX trust note that OFAC has added certain Avalanche blockchain addresses to the SDN list, including addresses associated with Tornado Cash-style obfuscation, and warn that “tainted” AVAX may result from such designations. Independent reporting (e.g., CryptoLeaks) has also alleged that the Avalanche Bridge received significant flows from OFAC‑sanctioned or otherwise illicit sources. This supports a “some flagged flows” classification, not heavy/structural involvement.</t>
  </si>
  <si>
    <t>≤120-word narrative summary for B.1 (direct sanctions linkage and enforcement).</t>
  </si>
  <si>
    <t>No direct sanctions links or enforcement actions identified. Avalanche (AVAX) is not itself named on major U.S./EU sanctions lists, and there is no public evidence of chain-wide designations or enforcement targeting the base protocol. Avalanche Labs has, however, published OFAC-focused restrictions on its official bridge, explicitly prohibiting use by SDNs and users in sanctioned jurisdictions, which indicates awareness of sanctions compliance obligations. While AVAX, like other large L1s, can be used by sanctioned actors at the wallet level, any known enforcement has focused on specific intermediaries or services rather than on the AVAX token or the Avalanche network as a whole.</t>
  </si>
  <si>
    <t>https://support.avax.network/en/articles/6350544-ofac-disclaimer; https://sanctionssearch.ofac.treas.gov/</t>
  </si>
  <si>
    <t>2024-10-01</t>
  </si>
  <si>
    <t>Informational narrative only; no separate board trigger.</t>
  </si>
  <si>
    <t>Avalanche/AVAX is not listed on OFAC or EU sanctions lists, and no protocol-level designations were found. Avalanche’s own OFAC notice for the Avalanche Bridge forbids use by SDNs or sanctioned jurisdictions, indicating proactive compliance rather than sanctions targeting. Overall, current evidence suggests no direct sanctions linkage or enforcement against AVAX itself, only generic risk of misuse by sanctioned actors via individual wallets/services.</t>
  </si>
  <si>
    <t>What best describes the estimated share of total trading volume originating from high-risk or sanctioned jurisdictions (as per FATF and major sanctions regimes)? Choose: Low (&lt;5%), Moderate (5–20%), High (&gt;20%), Unknown.</t>
  </si>
  <si>
    <t>Low (&lt;5%)</t>
  </si>
  <si>
    <t>https://www.coingecko.com/en/coins/avalanche; https://www.coinbase.com/legal/digital-asset-listing-standards</t>
  </si>
  <si>
    <t>2025-01-15; 2022-10-01</t>
  </si>
  <si>
    <t>Escalate if a high (&gt;20%) share of volume originates from high-risk or sanctioned jurisdictions.</t>
  </si>
  <si>
    <t>AVAX is a large-cap, widely traded asset listed on major centralized exchanges with global user bases and KYC/AML programs (e.g., Coinbase, Binance), which typically restrict sanctioned jurisdictions. Available exchange and volume analyses do not flag AVAX as disproportionately concentrated in Russia, Iran, or other sanctioned/high‑risk markets, suggesting the share of such volume is likely well below 20% and more consistent with a &lt;5% band, though precise jurisdictional breakdowns are not publicly disclosed.</t>
  </si>
  <si>
    <t>Are core team members, foundation entities, or key validators/miners significantly located in sanctioned or FATF high-risk jurisdictions? Choose: No material presence, Some presence, Primary base / heavy presence, Unknown.</t>
  </si>
  <si>
    <t>No material presence</t>
  </si>
  <si>
    <t>https://www.cbinsights.com/company/ava-labs; https://www.rblt.com/company/ava-labs; https://medium.com/@avascan/analyzing-the-distribution-and-growth-of-avax-stake-in-the-avalanche-ecosystem-873a93a28b29</t>
  </si>
  <si>
    <t>2025-12-01; 2025-11-20; 2025-12-10</t>
  </si>
  <si>
    <t>Escalate if the project’s primary base or validator set is heavily concentrated in sanctioned or FATF high-risk jurisdictions.</t>
  </si>
  <si>
    <t>Ava Labs, which develops Avalanche, is incorporated in Delaware and headquartered in New York/Brooklyn, USA, with no indication of core leadership or the Avalanche Foundation being based in sanctioned or FATF high‑risk jurisdictions.【turn0search3†turn0search6】【turn0search10】 Independent analyses of validator geography show Avalanche stake and nodes concentrated mainly in the US, Germany, Japan and broader North America/Europe, not in comprehensively sanctioned countries.【turn0search7】【turn0search8】 Accordingly, there is no evidence of a material presence in such high‑risk locations.</t>
  </si>
  <si>
    <t>Is there structural dependence on exchanges, OTC desks, or cross-chain bridges with known sanctions deficiencies or high-risk profiles? Choose: Limited / none, Moderate exposure, High / structural exposure, Unknown.</t>
  </si>
  <si>
    <t>Limited / none</t>
  </si>
  <si>
    <t>No direct board trigger; this informs the overall sanctions and geography risk profile.</t>
  </si>
  <si>
    <t>Avalanche is a general-purpose L1; AVAX is widely listed on major centralized exchanges and used via third‑party cross‑chain bridges, but the protocol itself does not rely structurally on any single high‑risk or sanctions‑deficient venue. Users can move AVAX natively on Avalanche without interacting with specific bridges or OTC desks. Known sanctioned bridges (e.g., OFAC‑designated Tornado Cash is an Ethereum mixer, not core AVAX infra) are not foundational to AVAX’s operation, so structural dependence appears limited.</t>
  </si>
  <si>
    <t>B2-N</t>
  </si>
  <si>
    <t>≤120-word narrative summary for B.2 (high-risk jurisdictions and sanctions-sensitive footprint).</t>
  </si>
  <si>
    <t>Avalanche (AVAX) is a public smart‑contract platform with global, permissionless access, so exposure to users from high‑risk and sanctioned jurisdictions (e.g., Russia, Iran, DPRK) cannot be ruled out. The U.S. Treasury’s OFAC has added certain digital currency addresses on the Avalanche blockchain to the SDN list, which may create “tainted” AVAX and fungibility concerns but does not designate the Avalanche network or AVAX token itself. Avalanche support materials explicitly warn SDNs and users from sanctioned jurisdictions not to use the Avalanche Bridge, indicating some sanctions‑compliance awareness and controls at the ecosystem level. Overall, Avalanche should still be treated as having a sanctions‑sensitive footprint typical of major public Layer‑1 chains.</t>
  </si>
  <si>
    <t>2025-01-31; 2025-10-01</t>
  </si>
  <si>
    <t>OFAC has listed specific Avalanche addresses on the SDN list, creating sanctions‑sensitive “tainted” AVAX risk, while not blacklisting the chain or token. VanEck’s SEC filing and Avalanche’s own OFAC disclaimer both acknowledge these sanctions exposures and attempt to manage them, supporting a view that Avalanche’s footprint is sanctions‑sensitive but broadly comparable to other large public L1s rather than uniquely extreme.</t>
  </si>
  <si>
    <t>C. Illicit Activity Typologies &amp; Law Enforcement References</t>
  </si>
  <si>
    <t>How is the asset characterised in major blockchain crime/intelligence reports (e.g., Chainalysis, TRM, Elliptic)? Choose: Not mentioned, Minor / incidental mentions, Frequently highlighted as an illicit-usage asset, Unknown.</t>
  </si>
  <si>
    <t>Minor / incidental mentions</t>
  </si>
  <si>
    <t>https://www.trmlabs.com/resources/reports/2025-crypto-crime-report; https://www.trmlabs.com/reports-and-whitepapers/the-illicit-crypto-economy-2023; https://www.chainalysis.com/blog/2025-crypto-crime-report-introduction/</t>
  </si>
  <si>
    <t>2025-02-01; 2023-12-15; 2025-02-27</t>
  </si>
  <si>
    <t>Escalate if major crime/intelligence reports frequently highlight the asset as associated with illicit usage.</t>
  </si>
  <si>
    <t>Public summaries of major blockchain intelligence reports (Chainalysis, TRM) focus on Bitcoin, Ethereum, TRON, BNB Smart Chain, Polygon and especially stablecoins as primary rails for illicit activity. Avalanche/AVAX is not highlighted as a leading chain for sanctions evasion, darknet markets, or other core typologies, and often is not even in the core set of analyzed chains. Where it appears, it is typically as part of general DeFi/L1 ecosystems affected by exploits, i.e., incidental rather than a major illicit-usage asset.</t>
  </si>
  <si>
    <t>To what extent is the asset associated with fraud, scams, or rug-pull typologies in public reports or case studies? Choose: Limited / unexceptional, Some notable schemes, Frequently used in fraud / rug-pull typologies, Unknown.</t>
  </si>
  <si>
    <t>Some notable schemes</t>
  </si>
  <si>
    <t>https://en.wikipedia.org/wiki/Avalanche_%28blockchain_platform%29; https://www.coindesk.com/business/2022/12/30/defrost-finance-denies-rug-pull-allegations-amid-12m-exploit; https://www.aicoin.com/en/article/465752</t>
  </si>
  <si>
    <t>2024-11-15; 2022-12-30; 2025-10-15</t>
  </si>
  <si>
    <t>Escalate where the asset is frequently used in fraud or rug-pull typologies, indicating elevated consumer and AML risk.</t>
  </si>
  <si>
    <t>Avalanche/AVAX is a major general‑purpose L1 used for DeFi and NFTs, and like other open smart‑contract platforms it has hosted several scams and suspected rug pulls, e.g., Defrost Finance’s disputed $12M “rug pull” incident and multiple Avalanche‑based rug‑pull token clusters documented in on‑chain analyses. However, these are ecosystem‑level abuses rather than AVAX being a primary or uniquely prevalent fraud coin, so overall association is best characterized as “some notable schemes,” not “frequently used.”</t>
  </si>
  <si>
    <t>Is the asset significantly associated with ransomware, darknet markets, or terrorist-financing typologies in public data or intelligence reports? Choose: No specific association, Some reported use, Significant / recurring association, Unknown.</t>
  </si>
  <si>
    <t>No specific association</t>
  </si>
  <si>
    <t>https://en.wikipedia.org/wiki/Avalanche_(blockchain_platform); https://www.chainalysis.com/blog/2025-crypto-crime-report-introduction/; https://www.theblock.co/post/311530/illicit-crypto-activity-on-chain-down-nearly-20-since-january-chainalysis</t>
  </si>
  <si>
    <t>2024-11-15; 2025-01-15; 2024-08-16</t>
  </si>
  <si>
    <t>Escalate if there is a significant or recurring association with ransomware, darknet markets, or terrorist-financing typologies.</t>
  </si>
  <si>
    <t>Open-source and blockchain-analytics reporting on ransomware, darknet markets, and terrorist financing focus primarily on Bitcoin and, more recently, stablecoins and some privacy coins. Recent Chainalysis crime reports discussing asset-level patterns do not identify Avalanche/AVAX as a notable vehicle for these typologies, and no major public enforcement or intelligence reports single out AVAX in this context. This supports a view of no specific, recurring association, while still recognizing that any large L1 may see isolated illicit use.</t>
  </si>
  <si>
    <t>≤120-word narrative summary for C.1 (overall illicit activity typologies, including fraud, ransomware, darknet and TF).</t>
  </si>
  <si>
    <t>Avalanche (AVAX) is a high‑throughput smart‑contract platform used in DeFi, NFTs and bridging, so its main illicit typologies mirror broader crypto markets rather than being chain‑unique. On‑chain risks include investment and rug‑pull scams, phishing around Avalanche wallets/bridges, and DeFi exploits or protocol hacks where proceeds may be swapped into or routed via AVAX assets. Current public reporting on major darknet market, ransomware, or terrorist‑financing schemes specifically centered on Avalanche is limited; most volumes remain on BTC and increasingly stablecoins. Nonetheless, Avalanche Bridge access controls and OFAC‑focused warnings indicate awareness that sanctioned persons and other bad actors may attempt to misuse its infrastructure, requiring ongoing monitoring and analytics.</t>
  </si>
  <si>
    <t>https://support.avax.network/en/articles/6350544-ofac-disclaimer; https://www.coindesk.com/business/2025/02/27/illicit-crypto-volume-in-2024-hit-usd40b-a-record-year-for-stablecoin-crime-chainalysis; https://cryptonews.com/news/crypto-hacks-and-ransomware-increase-illicit-transactions-decline-chainalysis/</t>
  </si>
  <si>
    <t>2024-10-01; 2025-02-27; 2024-08-15</t>
  </si>
  <si>
    <t>Informational narrative only; no independent board trigger.</t>
  </si>
  <si>
    <t>No major law‑enforcement or analytics reporting currently highlights Avalanche as a primary chain for darknet, TF, or ransomware flows; risks are mainly generic DeFi/scam/hack typologies. Chainalysis and others show most illicit volume and TF moving via BTC and especially stablecoins. Avalanche itself issues OFAC warnings around its bridge, showing awareness but not evidence of elevated chain‑specific abuse. Lack of granular chain‑level crime data keeps confidence at Medium.</t>
  </si>
  <si>
    <t>C2.1</t>
  </si>
  <si>
    <t>To what extent have law-enforcement agencies explicitly named this asset in public criminal cases, advisories, or typology guidance (beyond generic “cryptocurrency” references)? Choose: Not explicitly named, Named in isolated / incidental cases, Repeatedly named as relevant to typologies or cases, Unknown.</t>
  </si>
  <si>
    <t>Named in isolated / incidental cases</t>
  </si>
  <si>
    <t>https://decrypt.co/291382/doj-seeks-seizure-of-16-million-in-ftx-linked-crypto-following-year-long-probe; https://www.benzinga.com/markets/cryptocurrency/24/11/41943177/department-of-justice-seeks-to-seize-16-million-in-crypto-assets-tied-to-ftx-bribery-case; https://www.fincen.gov/resources/advisories/fincen-advisory-fin-2019-a003</t>
  </si>
  <si>
    <t>2024-11-13; 2024-11-13; 2019-05-09</t>
  </si>
  <si>
    <t>Escalate if law-enforcement repeatedly names the asset in criminal cases or typology guidance.</t>
  </si>
  <si>
    <t>Avalanche (AVAX) has been specifically referenced in at least one U.S. Department of Justice civil forfeiture action, where AVAX was among several tokens held in a Binance account allegedly linked to bribes in the FTX-related investigation. However, it is not prominently or repeatedly cited in FinCEN, FATF, or other major typology guidance, and current references appear incidental to broader multi-asset cases rather than AVAX-focused typologies.</t>
  </si>
  <si>
    <t>C2.2</t>
  </si>
  <si>
    <t>What best describes public law-enforcement seizures or forfeitures of this asset? Choose: No significant seizures, Some notable seizures, Large / high-profile multi-case seizures, Unknown.</t>
  </si>
  <si>
    <t>Some notable seizures</t>
  </si>
  <si>
    <t>https://www.myfloridalegal.com/newsrelease/attorney-general-james-uthmeier-announces-seizure-15-million-cryptocurrency-chinese; https://decrypt.co/291382/doj-seeks-seizure-of-16-million-in-ftx-linked-crypto-following-year-long-probe; https://www.thecoinrepublic.com/2025/03/15/us-government-moving-avalanche-avax-price-takes-a-turn/</t>
  </si>
  <si>
    <t>2025-12-11; 2024-11-13; 2025-03-15</t>
  </si>
  <si>
    <t>No direct board trigger; seizures are a contextual indicator of usage and enforcement, not automatically a structural red flag.</t>
  </si>
  <si>
    <t>AVAX has been included in multiple public law-enforcement actions, but not as the primary asset on the scale of BTC or ETH. A Florida AG case seized a $1.5M crypto wallet containing AVAX among other tokens. The U.S. DOJ has also sought civil forfeiture of a Binance account holding ICP, AVAX, XRP, ADA, and SOL tied to alleged FTX-related bribes. Additionally, a U.S.-government-labeled wallet of confiscated funds has moved seized AVAX on-chain. These indicate some notable, but not large multi-case, seizures.</t>
  </si>
  <si>
    <t>C2.3</t>
  </si>
  <si>
    <t>Have counter-terrorism or sanctions authorities (e.g., OFAC, UN, EU, national CT agencies) specifically referenced the asset in relation to terrorist financing? Choose: No TF-specific reference, Some TF-related references, Significant TF-related designation / repeated references, Unknown.</t>
  </si>
  <si>
    <t>No TF-specific reference</t>
  </si>
  <si>
    <t>https://en.wikipedia.org/wiki/Avalanche_%28blockchain_platform%29; https://support.avax.network/en/articles/6350544-ofac-disclaimer</t>
  </si>
  <si>
    <t>2024-11-15; 2025-10-01</t>
  </si>
  <si>
    <t>Escalate if counter-terrorism or sanctions authorities significantly link or designate the asset in relation to terrorist financing.</t>
  </si>
  <si>
    <t>Searches of key CT/sanctions authorities (e.g., OFAC, UN, EU) and major analytics sources show no press releases, designations, or advisories that specifically reference Avalanche or AVAX in connection with terrorist financing. Avalanche is a general-purpose L1 platform with standard OFAC compliance messaging, not a privacy mixer or TF-focused tool, and is not listed on sanctions lists in a TF context.</t>
  </si>
  <si>
    <t>C2-N</t>
  </si>
  <si>
    <t>≤120-word narrative summary for C.2 (law-enforcement references, seizures, and any terrorist-financing designations).</t>
  </si>
  <si>
    <t>No major law-enforcement actions have targeted AVAX itself to date. A prior multinational operation dismantled a criminal infrastructure called the “Avalanche” malware network in 2016, but this pre‑dated and is distinct from the Avalanche blockchain and AVAX token. U.S. Treasury/OFAC has, however, added certain digital currency addresses on the Avalanche blockchain to the SDN List, which can render associated AVAX “tainted” from a sanctions perspective. Avalanche support materials explicitly instruct sanctioned persons not to use the Avalanche Bridge, indicating active sanctions‑compliance messaging. There are currently no known designations of AVAX as a terrorist‑financing vehicle, nor protocol‑wide seizures, beyond address‑level enforcement typical of major public chains.</t>
  </si>
  <si>
    <t>https://www.justice.gov/opa/pr/avalanche-network-dismantled-international-cyber-operation; https://www.sec.gov/Archives/edgar/data/2060717/000206071725000003/vaneckavalanchetrusts-1.htm; https://support.avax.network/en/articles/6350544-ofac-disclaimer</t>
  </si>
  <si>
    <t>2016-12-05; 2025-12-11</t>
  </si>
  <si>
    <t>No evidence AVAX or its core entities are themselves designated or subject to headline seizures, but address-level OFAC listings on Avalanche exist and could expand; narrative reflects available primary sources but cannot fully rule out smaller, unpublicized actions.</t>
  </si>
  <si>
    <t>D. Protocol Controls for AML/CTF Mitigation</t>
  </si>
  <si>
    <t>D1.1</t>
  </si>
  <si>
    <t>Does the project or its primary ecosystem integrate on-chain compliance tooling (e.g., KYT screening, analytics provider integration, real-time risk scoring)? Choose: No integration, Some integrations via partners, Integrated as a core feature, Unknown.</t>
  </si>
  <si>
    <t>Some integrations via partners</t>
  </si>
  <si>
    <t>https://www.chainalysis.com/blog/hexagate-by-chainalysis-now-live-on-avalanche/; https://www.ainvest.com/news/avalanche-avax-confluence-chain-strength-institutional-adoption-technical-breakout-potential-2508/</t>
  </si>
  <si>
    <t>2025-04-28; 2025-09-25</t>
  </si>
  <si>
    <t>Informational control assessment; lack of KYT integration does not auto-trigger escalation.</t>
  </si>
  <si>
    <t>Avalanche itself does not enforce KYC/AML at the base protocol level, but its ecosystem integrates compliance and monitoring tools via partners. Chainalysis’ Hexagate solution is deployed on Avalanche, offering real-time monitoring and detection of suspicious token flows and governance/financial risks. In addition, institutional RWA tokenization on Avalanche (e.g., SkyBridge using ERC‑3643) embeds KYC/AML controls at the token/issuer layer, evidencing compliance tooling as an ecosystem-level integration rather than a core chain feature.</t>
  </si>
  <si>
    <t>D1.2</t>
  </si>
  <si>
    <t>Does the protocol or ecosystem perform address-level sanctions screening (e.g., OFAC/OFSI blocklists, automated risk-blocking)? Choose: No screening, Partial screening via partners, Native / enforced screening, Unknown.</t>
  </si>
  <si>
    <t>Partial screening via partners</t>
  </si>
  <si>
    <t>https://medium.com/@AvaLabsOfficial/updates-to-the-avalanche-bridge-dc0d33b1b475; https://support.avax.network/en/articles/6350544-ofac-disclaimer</t>
  </si>
  <si>
    <t>2023-08-18; 2024-10-01</t>
  </si>
  <si>
    <t>Sanctions/address screening mitigates risk but absence does not automatically trigger escalation.</t>
  </si>
  <si>
    <t>Avalanche’s base protocol does not natively enforce sanctions screening at the consensus or VM level. However, the Avalanche Bridge operated with Ava Labs and bridge nodes performs address/transaction monitoring and blocks transfers identified as originating from “bad actors,” and explicitly instructs that SDN- or other sanctions-listed persons must not use the bridge. This is ecosystem-level screening limited to specific services, not universal protocol enforcement.</t>
  </si>
  <si>
    <t>D1.3</t>
  </si>
  <si>
    <t>Is any form of automated AML/CTF risk scoring or transaction monitoring implemented at protocol or ecosystem level? Choose: None, Partial / ecosystem-level, Native / real-time monitoring, Unknown.</t>
  </si>
  <si>
    <t>Partial / ecosystem-level</t>
  </si>
  <si>
    <t>https://docs.avax.network; https://www.coingecko.com/en/coins/avalanche</t>
  </si>
  <si>
    <t>No board trigger; this question informs mitigation strength only.</t>
  </si>
  <si>
    <t>Avalanche (AVAX) is a general-purpose L1 and does not include native, protocol-level AML/CTF monitoring or risk scoring in its consensus or core transaction processing. However, some ecosystem infrastructure and integrations (e.g., centralized exchanges, custodians, and compliance-focused tooling built on Avalanche) apply AML screening and transaction analytics on AVAX activity, which qualifies as partial / ecosystem-level rather than native real-time monitoring by the base protocol itself.</t>
  </si>
  <si>
    <t>D1-N</t>
  </si>
  <si>
    <t>≤120-word narrative summary for D.1 (on-chain compliance tooling and sanctions screening).</t>
  </si>
  <si>
    <t>Avalanche’s primary compliance coverage is via third‑party analytics rather than native sanctions controls. The Avalanche C‑Chain is supported by major blockchain intelligence vendors: TRM Labs lists “Avalanche C-Chain” as a covered network for address, entity and transfer risk scoring, enabling KYT-style AML/sanctions screening. Elliptic likewise supports Avalanche (C-Chain) and Avalanche-based USDC/USDT, allowing holistic wallet and token screening. Additional real‑time monitoring and threat‑detection services (e.g., Chainalysis Hexagate, Hashlock on-chain monitoring) can be deployed by protocols but are optional and implementation-specific.</t>
  </si>
  <si>
    <t>https://developers.elliptic.co/docs/supported-crypto-networks; https://help.withpersona.com/articles/5yal3xQnhclQIsXxWYVBR7/; https://www.chainalysis.com/blog/hexagate-by-chainalysis-now-live-on-avalanche/</t>
  </si>
  <si>
    <t>2025-10-15; 2025-11-01; 2025-04-28</t>
  </si>
  <si>
    <t>TRM’s documentation shows explicit support for Avalanche C-Chain for transaction and wallet screening. Elliptic lists Avalanche (C-Chain) as a supported network and includes Avalanche-based USDC/USDT in its token coverage table, implying AML/sanctions screening support. Chainalysis’ Hexagate announcement confirms real-time security monitoring is available on Avalanche, while Hashlock advertises on-chain monitoring for Avalanche as an EVM-compatible network. Together this indicates strong availability of compliance and sanctions-screening tooling for Avalanche, especially on C-Chain, though deployment is left to individual service providers and dApps.</t>
  </si>
  <si>
    <t>D2.1</t>
  </si>
  <si>
    <t>Does the project publish AML/CTF, sanctions, or compliance policies (even if voluntary)? Choose: None published, High-level policy only, Detailed / comprehensive policy, Unknown.</t>
  </si>
  <si>
    <t>High-level policy only</t>
  </si>
  <si>
    <t>https://build.avax.network/academy/encrypted-erc/02-real-privacy/02-compliance; https://build.avax.network/codebase-entrepreneur-academy/foundations-web3-venture/01-legal-foundations/06-ongoing-compliance</t>
  </si>
  <si>
    <t>No board trigger; this evaluates disclosure depth only.</t>
  </si>
  <si>
    <t>Avalanche/Ava Labs does not appear to publish a formal, detailed AML/CTF or sanctions compliance program comparable to a regulated financial institution. However, official Avalanche Builder Hub materials explicitly address compliance expectations, referencing KYC/AML requirements and jurisdictional restrictions due to sanctions, and provide ongoing-compliance guidance for projects. These are high-level educational and policy-aligned statements rather than a comprehensive, prescriptive AML/CTF framework for the project itself.</t>
  </si>
  <si>
    <t>D2.2</t>
  </si>
  <si>
    <t>Do official interfaces, dApps, or the main protocol enforce geo-fencing of sanctioned or FATF high-risk jurisdictions? Choose: No geo-fencing, Partial geo-fencing, Full / enforced geo-fencing, Unknown.</t>
  </si>
  <si>
    <t>No geo-fencing</t>
  </si>
  <si>
    <t>https://support.avax.network/en/articles/6350544-ofac-disclaimer; https://www.avax.network/legal/terms-of-use/</t>
  </si>
  <si>
    <t>2025-10-01; 2020-09-22</t>
  </si>
  <si>
    <t>No automatic escalation; absence of geo-fencing is assessed in context with other controls.</t>
  </si>
  <si>
    <t>Avalanche’s official interfaces (e.g., Avalanche Bridge and wallet) include OFAC-related terms telling sanctioned persons and those in sanctioned jurisdictions not to use the services, but available documentation characterizes this as a legal/eligibility restriction, not a technically enforced IP or jurisdictional block. There is no clear evidence of systematic geo-fencing of sanctioned or FATF high‑risk countries at the protocol or UI level.</t>
  </si>
  <si>
    <t>D2.3</t>
  </si>
  <si>
    <t>Does the project have publicly disclosed compliance or risk-management partnerships (e.g., with KYT vendors, security auditors, AML tool providers)? Choose: None disclosed, Some partnerships, Multiple validated partnerships, Unknown.</t>
  </si>
  <si>
    <t>Multiple validated partnerships</t>
  </si>
  <si>
    <t>https://support.avax.network/en/articles/5462273-has-the-avalanche-code-been-audited-where-are-the-audit-reports; https://build.avax.network/integrations/trailofbits; https://www.chainalysis.com/blog/hexagate-by-chainalysis-now-live-on-avalanche/</t>
  </si>
  <si>
    <t>2023-01-01; 2024-06-01; 2025-04-28</t>
  </si>
  <si>
    <t>No board trigger; partnerships provide positive mitigation context.</t>
  </si>
  <si>
    <t>Avalanche/Ava Labs publicly discloses multiple formal security and risk‑management relationships. Official support docs state that Avalanche Bridge, bridge nodes, and smart contracts have been audited by Halborn, with audit reports published. The Avalanche Builder Hub lists Trail of Bits as a security research firm providing protocol and smart contract audits for projects on Avalanche. Chainalysis has also announced Hexagate’s real‑time smart contract security integration on Avalanche. These indicate multiple disclosed security/risk-management partnerships.</t>
  </si>
  <si>
    <t>D2-N</t>
  </si>
  <si>
    <t>≤120-word narrative summary for D.2 (governance, policy, and operational controls).</t>
  </si>
  <si>
    <t>Avalanche is a public, permissionless proof‑of‑stake network where anyone meeting hardware and minimum stake requirements (2,000 AVAX) can validate and help secure the primary network and subnets. Validators are economically aligned via staking rewards, uptime requirements (~80%+), capped validator weight and fixed staking terms, but there is no native KYC/AML or sanctions screening at protocol level, and participation is pseudonymous. Subnets/L1s can be configured as permissionless or permissioned, allowing creators to restrict validators and users, and potentially layer on KYC/whitelisting and other compliance rules. These features provide flexible governance and operational controls, but AML/sanctions controls depend on how each subnet, dApp or service provider is operated, not on base-layer enforcement.</t>
  </si>
  <si>
    <t>https://support.avax.network/en/articles/6187511-validator-faq; https://support.avax.network/en/articles/4136533-is-avalanche-permissionless-or-permissioned; https://www.datawallet.com/crypto/avalanche-subnets-explained</t>
  </si>
  <si>
    <t>2024-09-01; 2024-09-01; 2023-08-15</t>
  </si>
  <si>
    <t>Summary is based on Avalanche’s own documentation describing permissionless primary-network validation and staking parameters, plus guidance that subnets can be configured as permissionless or permissioned networks with customizable validator and access rules. These sources show strong technical/operational controls for staking, but explicitly no protocol-level identity or sanctions controls; compliance can be implemented only at subnet or application/operator level. Evidence is direct and up to date, so confidence is high.</t>
  </si>
  <si>
    <t>E. Exchange Availability &amp; AML Risk Surface</t>
  </si>
  <si>
    <t>How is the asset’s trading volume distributed across regulated, KYC-compliant exchanges versus unregulated or no-KYC exchanges? Choose: Mostly regulated (&gt;70%), Mixed (30–70%), Mostly unregulated (&gt;70%), Unknown.</t>
  </si>
  <si>
    <t>Mostly regulated (&gt;70%)</t>
  </si>
  <si>
    <t>https://www.coingecko.com/en/coins/avalanche; https://coinmarketcap.com/currencies/avalanche/markets/</t>
  </si>
  <si>
    <t>2024-11-01; 2024-11-01</t>
  </si>
  <si>
    <t>No direct board trigger; this calibrates venue risk.</t>
  </si>
  <si>
    <t>AVAX is a top-cap asset with the majority of its spot and derivatives volume on large centralized exchanges such as Binance, Coinbase, Kraken, OKX and similar venues that implement KYC for most users. While some volume occurs on DEXs and smaller or offshore CEXs, available market data from major aggregators indicates that the bulk of daily trading activity is concentrated on these regulated or KYC-compliant platforms, supporting a “Mostly regulated (&gt;70%)” classification.</t>
  </si>
  <si>
    <t>What proportion of trading occurs via DEXs, especially those linked to anonymity pools (e.g., Tornado-derived pools, privacy DEXs)? Choose: Limited (&lt;20%), Moderate (20–60%), High (&gt;60%) or privacy-DEX dominant, Unknown.</t>
  </si>
  <si>
    <t>Limited (&lt;20%)</t>
  </si>
  <si>
    <t>2025-12-01; 2025-12-01</t>
  </si>
  <si>
    <t>No direct board trigger; captured as part of broader AML venue risk.</t>
  </si>
  <si>
    <t>AVAX is listed and heavily traded on major centralized exchanges (e.g., Binance, Coinbase, Kraken), which account for the majority of its spot volume. While Avalanche supports multiple DEXs (e.g., Trader Joe, Pangolin) and DeFi activity, available volume rankings show CEX pairs dominating overall AVAX liquidity. There is no evidence that privacy-focused DEXs or Tornado-style anonymity pools constitute a large share of AVAX trading, so DEX and privacy-DEX activity is best assessed as Limited (&lt;20%).</t>
  </si>
  <si>
    <t>What is the overall quality of fiat on/off-ramps for the asset (regulated exchanges, bank integrations, licensed VASP partners)? Choose: High quality / regulated ramps, Mixed quality, Mostly unregulated / crypto-only ramps, Unknown.</t>
  </si>
  <si>
    <t>High quality / regulated ramps</t>
  </si>
  <si>
    <t>https://support.binance.us/en/articles/9843456-buy-avalanche-avax-using-debit-card-bank-account-or-wire-transfer; https://www.kraken.com/convert/avax/usd; https://nexo.com/buy-avalanche-avax</t>
  </si>
  <si>
    <t>2024-11-01; 2025-12-09; 2024-10-01</t>
  </si>
  <si>
    <t>No direct board trigger; weaker ramps increase AML surface but are assessed holistically.</t>
  </si>
  <si>
    <t>AVAX has strong fiat on/off-ramps through multiple large, regulated VASPs. Binance.US supports direct AVAX/USD and AVAX/USDT trading via debit card, bank account, and wire transfer for U.S. customers. Kraken offers AVAX/USD spot markets and allows USD deposits and withdrawals via regulated banking rails. Additional licensed platforms like Nexo provide AVAX purchases via bank transfers and cards, further strengthening regulated access.</t>
  </si>
  <si>
    <t>≤120-word narrative summary for E.1 (regulated vs unregulated exchange footprint and anonymity DEX exposure).</t>
  </si>
  <si>
    <t>AVAX is widely listed on large, regulated, KYC-focused centralized exchanges such as Binance, Coinbase, Kraken and others, with deep fiat and stablecoin markets, indicating a substantial regulated trading footprint. At the same time, AVAX is actively traded on numerous decentralized exchanges on Avalanche (e.g., Trader Joe, Pangolin) and on other EVM DEX venues, which facilitate pseudonymous, non-KYC spot and liquidity‑pool activity. These DEXs are standard AMM platforms rather than purpose-built privacy or mixer-style services, and Avalanche is not a native privacy chain. Overall, AVAX exhibits a strong presence on regulated CEXs alongside material, but typical L1-level, exposure to pseudonymous DEX/DeFi flows rather than specialized anonymity infrastructure.</t>
  </si>
  <si>
    <t>https://coincodex.com/crypto/avalanche/exchanges/; https://3commas.io/coin-price-chart/avalanche-2-aud; https://messari.io/report/state-of-avalanche-q1-2025</t>
  </si>
  <si>
    <t>2025-12-10; 2025-09-15; 2025-05-28</t>
  </si>
  <si>
    <t>CEX market pages show AVAX listed on major regulated exchanges like Binance, Coinbase, Kraken, with significant spot and derivatives volume, evidencing a strong regulated footprint. AVAX is also supported across many crypto exchanges (120 exchanges, 232 pairs), indicating broad liquidity. Avalanche’s DeFi ecosystem includes major AMM DEXs such as Trader Joe and Pangolin, which enable pseudonymous on-chain trading but are not privacy mixers. Avalanche is a general-purpose L1, not designed as a privacy coin or anonymity network.</t>
  </si>
  <si>
    <t>Have Tier-1 regulated exchanges (e.g., Coinbase, Kraken, Binance US, Gemini) delisted or restricted the asset specifically citing AML/CTF or sanctions concerns? Choose: No, Rumoured / uncertain, Yes – explicitly AML/CTF-related, Unknown.</t>
  </si>
  <si>
    <t>https://www.coinbase.com/price/avalanche; https://www.gemini.com/blog/gemini-adds-support-for-new-blockchain-network-avalanche-avax; https://support.binance.us/en/articles/9843739-binance-us-will-list-avalanche-avax</t>
  </si>
  <si>
    <t>2025-12-08; 2022-10-11; 2021-11-18</t>
  </si>
  <si>
    <t>Escalate if Tier-1 regulated exchanges delist the token explicitly citing AML/CTF or sanctions reasons.</t>
  </si>
  <si>
    <t>AVAX is actively listed and tradable on multiple Tier-1 regulated exchanges (e.g., Coinbase, Gemini, Binance US) with no public announcements of delistings or trading restrictions citing AML/CTF or sanctions concerns. Recent materials emphasize standard listing, trading, and even staking/derivatives support, with no sanctions-related rationale mentioned for AVAX specifically.</t>
  </si>
  <si>
    <t>Is the asset heavily listed on high-risk, unregulated, or no-KYC exchanges historically linked to illicit flows? Choose: Limited presence, Some presence, Heavy / structural presence, Unknown.</t>
  </si>
  <si>
    <t>Some presence</t>
  </si>
  <si>
    <t>https://support.avax.network/en/articles/6079704-which-exchanges-are-compatible-with-avax-chains; https://cryptorank.io/price/avalanche/exchanges</t>
  </si>
  <si>
    <t>2025-11-15; 2025-12-10</t>
  </si>
  <si>
    <t>No direct board trigger; feeds into overall AML venue risk.</t>
  </si>
  <si>
    <t>AVAX is widely traded on large regulated exchanges such as Binance, Coinbase, Kraken and Crypto.com, which together host substantial AVAX spot liquidity.
It is also listed on some higher‑risk offshore venues (e.g., MEXC, HTX, Gate, KuCoin), but liquidity is not concentrated exclusively on these platforms. Given its broad distribution across both regulated and less‑regulated exchanges, the token shows some, but not heavy/structural, presence on high‑risk or no‑KYC exchanges historically linked to illicit flows.</t>
  </si>
  <si>
    <t>Do the major exchanges listing the asset have strong KYC/AML controls (regulated jurisdictions, KYT partnerships, monitoring infrastructure)? Choose: Strong / regulated, Mixed, Weak, Unknown.</t>
  </si>
  <si>
    <t>Strong / regulated</t>
  </si>
  <si>
    <t>https://www.binance.us/compliance; https://www.kraken.com/en-gb/compliance/aml-cft; https://www.coinbase.com/blog/know-your-customer-kyc-verification</t>
  </si>
  <si>
    <t>2025-12-01; 2024-03-01; 2024-10-01</t>
  </si>
  <si>
    <t>No direct board trigger; this question calibrates the quality of exchange-level controls.</t>
  </si>
  <si>
    <t>AVAX is listed on major centralized exchanges such as Coinbase, Binance.US and Kraken, which operate under formal regulatory regimes with established AML/KYC programs. Coinbase emphasizes AML-based identity verification for all users as part of its compliance program. Binance.US is a FinCEN-registered MSB with BSA/AML controls, including KYC, sanctions screening and transaction monitoring. Kraken details a full AML/CFT framework including CIP, CDD, sanctions screening and ongoing monitoring. This collectively supports a “Strong / regulated” assessment.</t>
  </si>
  <si>
    <t>≤120-word narrative summary for E.2 (exchange delistings, high-risk venue presence, and exchange-level AML controls).</t>
  </si>
  <si>
    <t>AVAX is widely listed on major regulated spot venues such as Binance, Coinbase and Kraken, with deep liquidity also on offshore exchanges like MEXC, HTX, LBank, CoinW and Toobit, some of which present elevated AML risk versus top-tier U.S./EU platforms. No evidence of major regulatory delistings or sanctions-related exchange bans was identified. Kraken offers both spot and OTC AVAX trading subject to full KYC/AML onboarding, indicating stronger institutional controls. Parallel efforts to list AVAX-based ETFs on Nasdaq by VanEck and Grayscale suggest additional regulatory scrutiny at the exchange and securities-regulator level, although these products remain subject to SEC approval timelines as of the latest filings.</t>
  </si>
  <si>
    <t>https://coinranking.com/coin/dvUj0CzDZ%2Bavalanche-avax/markets; https://www.kraken.com/prices/avalanche; https://cointelegraph.com/news/nasdaq-avalanche-etf-listing-application</t>
  </si>
  <si>
    <t>2025-10-01; 2025-12-08; 2025-04-10</t>
  </si>
  <si>
    <t>Summary reflects current exchange coverage data (mix of Tier 1 and higher-risk offshore venues) and presence of AVAX spot/OTC on Kraken with formal AML/KYC onboarding, plus ongoing U.S. ETF listing processes on Nasdaq for VanEck and Grayscale AVAX trusts, implying heightened regulatory scrutiny but no sanctions-driven delistings identified.</t>
  </si>
  <si>
    <t>A. Smart Contract &amp; Code Quality</t>
  </si>
  <si>
    <t>Has the protocol or token been independently audited? Choose: Multiple audits, Single audit, No audit, Unknown.</t>
  </si>
  <si>
    <t>Multiple audits</t>
  </si>
  <si>
    <t>https://support.avax.network/en/articles/5462273-has-the-avalanche-code-been-audited-where-are-the-audit-reports; https://support.avax.network/en/articles/6449794-how-is-the-avalanche-bridge-secured</t>
  </si>
  <si>
    <t>2024-10-15; 2024-09-01</t>
  </si>
  <si>
    <t>Escalate if there is no independent audit with at least medium confidence.</t>
  </si>
  <si>
    <t>Avalanche core components (including Avalanche Bridge, bridge nodes, and smart contracts) have undergone multiple independent security audits. Avalanche’s own support documentation confirms that these have been audited by third-party firm Halborn, with several distinct audit reports published for different codebases. This supports classification as having multiple audits rather than a single assessment.</t>
  </si>
  <si>
    <t>How reputable are the audit firms? Choose: Tier-1, Tier-2, Low-tier or self-audited, Unknown.</t>
  </si>
  <si>
    <t>Tier-1</t>
  </si>
  <si>
    <t>https://support.avax.network/en/articles/5462273-has-the-avalanche-code-been-audited-where-are-the-audit-reports; https://www.halborn.com/blog/post/halborn-earns-soc-2-type-2-compliance-in-blockchain-security; https://www.datawallet.com/crypto/best-smart-contract-auditing-companies</t>
  </si>
  <si>
    <t>2024-11-15; 2024-07-11; 2025-12-01</t>
  </si>
  <si>
    <t>Avalanche core components such as the Avalanche Bridge, bridge nodes, and smart contracts have been audited by Halborn and Warden Security. Halborn is widely recognized as an elite, industry‑leading blockchain security firm with SOC 2 compliance and high‑profile institutional clients, placing it firmly in the top tier of smart contract and protocol auditors. Given these engagements, the audit firms are best categorized as Tier-1.</t>
  </si>
  <si>
    <t>When was the most recent audit performed? Choose: &lt;12 months, 12–24 months, &gt;24 months, Unknown.</t>
  </si>
  <si>
    <t>12–24 months</t>
  </si>
  <si>
    <t>https://leastauthority.com/blog/audit-of-avalanchejs/; https://leastauthority.com/blog/audit-of-ava-labs-core-web/</t>
  </si>
  <si>
    <t>2024-03-26; 2024-06-05</t>
  </si>
  <si>
    <t>Public records show a Least Authority security audit of AvalancheJS dated March 26, 2024 and a separate audit of Avalanche Core Web dated June 5, 2024. With current date December 12, 2025, the latest disclosed audit is about 18 months old, placing the most recent known audit in the 12–24 month range. There may be newer, non-public audits, so confidence is medium.</t>
  </si>
  <si>
    <t>After major protocol upgrades, were new audits commissioned? Choose: All upgrades re-audited, Some re-audited, No re-audit, Unknown.</t>
  </si>
  <si>
    <t>Some re-audited</t>
  </si>
  <si>
    <t>https://support.avax.network/en/articles/5462273-has-the-avalanche-code-been-audited-where-are-the-audit-reports; https://github.com/ava-labs/audits; https://leastauthority.com/blog/audit-of-avalanchejs/</t>
  </si>
  <si>
    <t>2023-01-15; 2024-03-26</t>
  </si>
  <si>
    <t>Escalate if major upgrades occurred with no re-audit, with at least medium confidence.</t>
  </si>
  <si>
    <t>Avalanche and Ava Labs have commissioned multiple security audits over time (e.g., Halborn audits of Avalanche bridge and contracts, and Least Authority’s audits of the Avalanche browser extension wallet and AvalancheJS v2 SDK). However, there is no clear evidence that every major protocol upgrade or component change is consistently followed by a new, comprehensive protocol-wide audit, so the best-supported view is that some upgrades/components have been re-audited, but not all.</t>
  </si>
  <si>
    <t>What was the highest severity identified in the latest audit? Choose: No high-severity, High findings remediated, High findings unremediated, Unknown.</t>
  </si>
  <si>
    <t>https://support.avax.network/en/articles/5462273-has-the-avalanche-code-been-audited-where-are-the-audit-reports; https://github.com/ava-labs/audits</t>
  </si>
  <si>
    <t>Escalate if high-severity findings remain unremediated with at least medium confidence.</t>
  </si>
  <si>
    <t>Avalanche components (e.g., Avalanche Bridge, smart contracts, SDKs) have been audited by firms such as Halborn, with reports published in the ava-labs/audits GitHub repository. However, there are multiple codebases and audit reports, and public documentation does not clearly indicate which is the single most recent audit nor its highest unresolved severity classification. Without a consolidated, up‑to‑date audit summary, the highest severity in the latest audit must be treated as Unknown.</t>
  </si>
  <si>
    <t>≤120-word narrative summary for A.1 (audit coverage, quality, recency and findings).</t>
  </si>
  <si>
    <t>Avalanche’s core protocol and infrastructure have undergone multiple third‑party audits by reputable firms including OpenZeppelin, Least Authority, Halborn, and Louis, covering avalanchego, AvalancheJS, subnet‑evm, bridges/Teleporter, wallet SDK, and Core (browser, mobile, web) from 2021–2024. These reports generally identify issues that are categorized, remediated or mitigated, with no widely reported, unresolved critical vulnerabilities in audited components. Ava Labs also maintains an active Immunefi bug bounty for the Avalanche protocol (up to $100k) with Immunefi Standard Badge status and frequent updates through December 2025, indicating ongoing external security scrutiny and continuous audit/monitoring practices.</t>
  </si>
  <si>
    <t>https://github.com/ava-labs/audits; https://immunefi.com/bug-bounty/avalanche/</t>
  </si>
  <si>
    <t>2025-01-01; 2025-12-08</t>
  </si>
  <si>
    <t>GitHub’s ava-labs/audits repo lists numerous audits from top firms across core Avalanche components, with dates through mid‑2024. Immunefi’s Avalanche protocol bounty page confirms ongoing coverage, recent updates in Dec 2025, and links back to the audits repo and Standard Badge, supporting a conclusion of strong, continuous audit and review coverage and no public evidence of unresolved critical findings.</t>
  </si>
  <si>
    <t>Approximate age of the mainnet codebase? Choose: Mature (&gt;24 months), Mid-stage (6–24 months), Early (&lt;6 months), Unknown.</t>
  </si>
  <si>
    <t>Mature (&gt;24 months)</t>
  </si>
  <si>
    <t>https://support.avax.network/en/articles/8460478-what-is-a-mainnet; https://messari.io/asset/avalanche/profile/launch-and-initial-token-distribution; https://en.wikipedia.org/wiki/Avalanche_(blockchain_platform)</t>
  </si>
  <si>
    <t>2024-10-01; 2024-07-01; 2024-11-01</t>
  </si>
  <si>
    <t>Avalanche’s mainnet launched on September 21, 2020, and the platform’s initial release date is listed as September 2020. As of December 2025, this places the mainnet codebase at over five years old, clearly within the “Mature (&gt;24 months)” category.</t>
  </si>
  <si>
    <t>Is the core protocol code open-source? Choose: Fully open-source, Partially open-source, Closed-source, Unknown.</t>
  </si>
  <si>
    <t>Fully open-source</t>
  </si>
  <si>
    <t>https://github.com/ava-labs/avalanchego; https://github.com/crypto-zone/avalanche</t>
  </si>
  <si>
    <t>Escalate where the core protocol is closed-source with at least medium confidence.</t>
  </si>
  <si>
    <t xml:space="preserve">The core Avalanche node implementation, AvalancheGo, which runs the AVAX network’s consensus and primary protocol logic, is hosted on GitHub as a public repository and is licensed under the BSD-3-Clause open-source license. This indicates that the core protocol code is fully open-source rather than closed or mixed-license.
</t>
  </si>
  <si>
    <t>How complete is the technical documentation? Choose: Comprehensive, Partial, Minimal/outdated, Unknown.</t>
  </si>
  <si>
    <t>Comprehensive</t>
  </si>
  <si>
    <t>https://build.avax.network/docs/primary-network/avalanche-consensus; https://build.avax.network/docs/virtual-machines; https://www.reddit.com/r/Avax/comments/15wa6qo/avalanche_whitepapers/</t>
  </si>
  <si>
    <t>2024-10-01; 2024-10-01; 2023-08-20</t>
  </si>
  <si>
    <t>Avalanche provides extensive, well-structured technical documentation: a dedicated Builder Hub covering consensus, primary network, VMs, and interfaces; detailed pages on Snowman and Avalanche consensus; and multiple official whitepapers on platform architecture, consensus, and token dynamics. This breadth and depth of up-to-date resources supports classifying the technical documentation as Comprehensive.</t>
  </si>
  <si>
    <t>A2.4</t>
  </si>
  <si>
    <t>Is any component of the protocol formally verified? Choose: Yes – core components, Yes – limited components, No, Unknown.</t>
  </si>
  <si>
    <t>https://build.avax.network/docs/primary-network/avalanche-consensus; https://arxiv.org/abs/2404.14250; https://arxiv.org/abs/2501.15904</t>
  </si>
  <si>
    <t>2024-11-01; 2024-04-22; 2025-01-27</t>
  </si>
  <si>
    <t>I could not find credible evidence that Avalanche’s core protocol or Snowman/Snowman++ implementations have been mechanically/formally verified (e.g., via TLA+, Coq, model checking) as deployed. Recent academic work provides mathematical proofs of Snowman’s consistency and liveness (e.g., Frosty and Snowman-for-partial-synchrony papers), but these are theoretical proofs rather than tool-backed formal verification of the production protocol stack. In absence of explicit formal-verification artifacts, the correct status is Unknown.</t>
  </si>
  <si>
    <t>≤120-word narrative summary for A.2 (codebase maturity, open-source status and documentation).</t>
  </si>
  <si>
    <t>Avalanche’s core node implementation, AvalancheGo, is a long-standing, actively maintained Go codebase with thousands of closed PRs and frequent tagged releases, indicating mature development practices and ongoing upgrades. The repository is fully open source under a BSD-3-Clause license on GitHub, with community governance changes tracked via Avalanche Community Proposals (ACPs). Developer documentation is extensive and regularly updated, including detailed architecture docs, consensus explanations, and step‑by‑step guides for building and running nodes from source, plus separate whitepapers covering the platform and consensus design.</t>
  </si>
  <si>
    <t>https://github.com/ava-labs/avalanchego; https://build.avax.network/docs/nodes/architecture; https://www.avalabs.org/whitepapers</t>
  </si>
  <si>
    <t>Answer draws on AvalancheGo’s public GitHub repo (license, activity, releases), official builder documentation for architecture and source builds, and Ava Labs’ whitepaper portal, collectively evidencing a mature, open-source client with robust technical docs and ongoing maintenance.</t>
  </si>
  <si>
    <t>Do developers disclose test coverage metrics? Choose: High coverage (&gt;80%), Some coverage (20–80%), Minimal/no coverage, Unknown.</t>
  </si>
  <si>
    <t>https://github.com/ava-labs/avalanchego; https://github.com/ava-labs</t>
  </si>
  <si>
    <t>Avalanche publishes protocol and developer documentation and some engineering blog posts, but there is no centralized, authoritative disclosure of quantitative unit/integration test coverage metrics (e.g., percentage of code covered) for the AVAX core protocol or contracts. Given the absence of consistent, verifiable coverage reports across repos and versions, the level of test coverage cannot be reliably determined, so it is classified as Unknown.</t>
  </si>
  <si>
    <t>A3.2</t>
  </si>
  <si>
    <t>How stable is the protocol’s testnet according to public sources? Choose: Stable with no major issues, Some issues but resolved, Frequent stability problems, Unknown.</t>
  </si>
  <si>
    <t>Some issues but resolved</t>
  </si>
  <si>
    <t>https://status.avax.network/; https://status.chainstack.com/cm7wl68d90017z5nul2pvq20a; https://statusgator.com/services/avalanche/fuji-testnet-apis</t>
  </si>
  <si>
    <t>2025-12-10; 2025-03-06; 2025-11-18</t>
  </si>
  <si>
    <t>Public status pages show Fuji testnet primary network and APIs with 100% uptime over the last 90 days, indicating a generally stable environment. However, there were notable incidents in 2025, including a major Fuji instability episode and node outages that were resolved after fixes and upgrades. This pattern supports a characterization of a mostly stable testnet with some historical issues that have been addressed.</t>
  </si>
  <si>
    <t>A3.3</t>
  </si>
  <si>
    <t>Is there transparency around build pipelines and CI/CD testing? Choose: Clear CI/CD pipeline documented, Partial visibility, No visible CI/CD process, Unknown.</t>
  </si>
  <si>
    <t>Partial visibility</t>
  </si>
  <si>
    <t>https://github.com/ava-labs/avalanchego; https://pkg.go.dev/github.com/ava-labs/avalanchego</t>
  </si>
  <si>
    <t>2025-12-05; 2024-10-01</t>
  </si>
  <si>
    <t>The core Avalanche node repo (avalanchego) is open source and exposes some CI-related details, including a table of supported platforms tied explicitly to continuous integration requirements (build, unit/integration, e2e and stress tests). However, while tests and support tiers are described, there is no comprehensive public documentation of end‑to‑end CI/CD pipelines, stages, or release automation, so transparency is only partial.</t>
  </si>
  <si>
    <t>A3.4</t>
  </si>
  <si>
    <t>Do audits or reviews flag recurring code-quality issues or anti-patterns? Choose: No notable issues, Some issues flagged, Structural/recurring issues, Unknown.</t>
  </si>
  <si>
    <t>Some issues flagged</t>
  </si>
  <si>
    <t>https://cryptoslate.com/project-reports/avalanche-proof-of-stake-smart-contracts-platform/; https://support.avax.network/en/articles/5462273-has-the-avalanche-code-been-audited-where-are-the-audit-reports</t>
  </si>
  <si>
    <t>2021-09-22; 2022-01-01</t>
  </si>
  <si>
    <t>Escalate where structural or recurring code-quality issues are reported with at least medium confidence.</t>
  </si>
  <si>
    <t>Halborn’s audits of Avalanche components (SDK, bridge, wallets, etc.) report no critical or high‑risk vulnerabilities but do identify several medium‑risk issues (e.g., unfiltered data leading to XSS, host/protocol handling) and informational findings, which were remediated. This indicates discrete code-quality/security issues were found and addressed, but not systemic or recurring anti‑patterns across the codebase.</t>
  </si>
  <si>
    <t>≤120-word narrative summary for A.3 (code quality, test coverage and stability).</t>
  </si>
  <si>
    <t>Avalanche’s core client AvalancheGo is a mature Go codebase with formal support tiers and CI ensuring all supported platforms pass unit, integration, e2e and stress tests, indicating strong engineering discipline. The project maintains backward‑compatible APIs and publishes a clear security policy for responsible disclosures. External specialists enhance robustness: Sigma Prime is building continuous fuzzing frameworks for AvalancheGo to uncover crash and logic bugs, and OpenZeppelin has audited key infrastructure components (e.g., MerkleDB and sync code) with identified issues largely resolved pre‑production. Overall, the protocol appears to have strong code quality, diverse testing (including fuzzing), and an actively maintained, stability‑focused codebase.</t>
  </si>
  <si>
    <t>https://github.com/ava-labs/avalanchego; https://www.avax.network/blog/sigma-prime-to-expand-security-tooling-for-avalanche; https://www.openzeppelin.com/news/merkledb-audit</t>
  </si>
  <si>
    <t>2023-08-08; 2024-02-16</t>
  </si>
  <si>
    <t>AvalancheGo’s repository documents test tiers and CI requirements, OpenZeppelin independently audited core AvalancheGo infrastructure with most issues fixed before production, and Sigma Prime provides dedicated fuzzing tooling. Together this evidences strong code quality, broad test coverage and active stability work, supporting a High confidence rating.</t>
  </si>
  <si>
    <t>A4.1</t>
  </si>
  <si>
    <t>How are external libraries and dependencies characterised? Choose: Up-to-date reputable libraries, Some outdated components, High-risk/deprecated libraries, Unknown.</t>
  </si>
  <si>
    <t>Up-to-date reputable libraries</t>
  </si>
  <si>
    <t>https://github.com/ava-labs/avalanchego; https://github.com/ava-labs/avalanchego/blob/master/go.mod</t>
  </si>
  <si>
    <t>2025-01-15; 2025-01-15</t>
  </si>
  <si>
    <t>Avalanche’s core implementations (e.g., AvalancheGo) are written in Go and rely on standard, actively maintained dependencies such as the Go standard library, common crypto/networking packages, and vetted third‑party libraries. The codebase is under active development on GitHub, with frequent updates and dependency management via Go modules, indicating use of up‑to‑date reputable libraries rather than deprecated or high‑risk components.</t>
  </si>
  <si>
    <t>A4.2</t>
  </si>
  <si>
    <t>How reliable is the oracle infrastructure (if used)? Choose: Robust oracle (e.g., Chainlink), Mixed/custom or multi-oracle, High-risk/unclear oracle design, Unknown.</t>
  </si>
  <si>
    <t>Robust oracle (e.g., Chainlink)</t>
  </si>
  <si>
    <t>https://medium.com/avalancheavax/chainlink-price-feeds-are-live-on-avalanche-testnet-giving-developers-native-access-to-86132b098be9; https://blog.chain.link/protofire-receives-a-grant-for-native-integration-of-chainlink-on-avalanche/; https://chain.link/case-studies/traderjoe</t>
  </si>
  <si>
    <t>2020-12-01; 2021-01-08; 2021-12-01</t>
  </si>
  <si>
    <t>Escalate where oracle design is high-risk or unclear with at least medium confidence.</t>
  </si>
  <si>
    <t>Avalanche smart contracts on the C-Chain have native access to Chainlink Price Feeds and related oracle services following a Chainlink community grant and integration by Protofire. Chainlink is widely used across core Avalanche DeFi protocols (e.g., Trader Joe, Teddy Cash) and is positioned as the go-to oracle solution on Avalanche, indicating a robust and battle-tested oracle infrastructure for AVAX-based applications.</t>
  </si>
  <si>
    <t>A4.3</t>
  </si>
  <si>
    <t>Do core contracts use upgradeable proxies, and with what controls? Choose: No upgradeability (immutable), Limited upgradeability with safeguards, Upgradeable with weak controls, Unknown.</t>
  </si>
  <si>
    <t>Limited upgradeability with safeguards</t>
  </si>
  <si>
    <t>https://docs.avax.network/overview/getting-started/avalanche-platform; https://docs.avax.network/nodes/avalanchego</t>
  </si>
  <si>
    <t>2023-07-01; 2023-08-01</t>
  </si>
  <si>
    <t>Escalate where upgradeable contracts have weak control safeguards with at least medium confidence.</t>
  </si>
  <si>
    <t>Avalanche’s core logic (Primary Network, P-Chain, X-Chain, C-Chain) is implemented in the AvalancheGo client, not in on-chain smart contracts, so it isn’t governed by EVM-style proxy patterns. Protocol upgrades are performed via node software releases and network-wide activation once sufficient validators upgrade, with changes proposed and reviewed through Avalanche governance/AIPs. This constitutes limited, governance- and client-controlled upgradeability rather than immutable contracts or unconstrained proxy admins.</t>
  </si>
  <si>
    <t>A4-N</t>
  </si>
  <si>
    <t>≤120-word narrative summary for A.4 (external dependencies, oracle risk and upgradeability patterns).</t>
  </si>
  <si>
    <t>AVAX is the native asset of the Avalanche network, minted at genesis and via protocol-defined staking rewards; it does not depend on external price or data oracles for core functionality. Transfers and staking on the C‑Chain use standard EVM semantics without centralized admin controls over user balances. Avalanche protocol parameters and economics can change via governance-driven, validator‑enforced network upgrades rather than per‑token proxy contracts. DeFi protocols built on Avalanche may introduce separate oracle and upgradeability risks, but these are application‑level and not intrinsic to AVAX itself.</t>
  </si>
  <si>
    <t>https://docs.avax.network/learn/avalanche/intro-to-avax; https://docs.avax.network/learn/avalanche/platform-overview</t>
  </si>
  <si>
    <t>Avalanche docs and technical references describe AVAX as the protocol’s native asset, issued and governed at consensus level without token-specific admin keys or oracle logic. Oracle and proxy risks mainly arise at the application layer, not from AVAX itself.</t>
  </si>
  <si>
    <t>B. Protocol Architecture &amp; Attack Surface</t>
  </si>
  <si>
    <t>How complex is the protocol architecture based on public documentation and audits? Choose: Simple/minimal, Moderately complex, Highly complex/multi-module, Unknown.</t>
  </si>
  <si>
    <t>Highly complex/multi-module</t>
  </si>
  <si>
    <t>https://docs.avax.network/overview; https://assets.ctfassets.net/tlyqj8ywyqbc/3n7ctS5YxUQkWgQ8qBqQkT/1a1dbb3a880afebf66da68c249c090e0/avalanche-consensus-protocol.pdf</t>
  </si>
  <si>
    <t>2024-01-15; 2018-05-16</t>
  </si>
  <si>
    <t>Avalanche’s architecture is highly complex and multi‑module: it uses a custom Snow family consensus, supports multiple built‑in chains (X‑Chain, C‑Chain, P‑Chain) with different virtual machines and purposes, and allows creation of additional subnets and custom blockchains. Public docs and technical papers describe a layered, modular design with distinct engines, VMs, and subnet orchestration, which is substantially more complex than a simple single‑chain protocol.</t>
  </si>
  <si>
    <t>How widely integrated is the protocol in other crypto/DeFi infrastructure (composability)? Choose: Limited composability, Moderate composability, Highly composable/widely integrated, Unknown.</t>
  </si>
  <si>
    <t>Highly composable/widely integrated</t>
  </si>
  <si>
    <t>https://www.avax.network/about/dapps; https://www.avax.network/about/blog/defis-next-stage-on-avalanche; https://mobymedia.org/avalanche-defi-ecosystem-thrives-with-boost-campaigns-liquidity-incentives</t>
  </si>
  <si>
    <t>2025-12-09; 2025-09-26; 2024-10-01</t>
  </si>
  <si>
    <t>Avalanche is a major smart‑contract L1 with an EVM-compatible C‑Chain and hundreds of dApps, DEXs, money markets, liquid staking protocols, and RWAs deployed on it. Blue‑chip protocols like Aave, Trader Joe/LFJ, Benqi, Yield Yak, Pendle, Ethena and others use AVAX and Avalanche DeFi as core collateral, liquidity, and yield infrastructure, and TVL is in the multi‑billion USD range. This breadth of integrations across trading, lending, staking, RWAs, and payments indicates high composability and wide integration.</t>
  </si>
  <si>
    <t>Do audits or credible reviews identify recurring design-level risk patterns (e.g., fragile liquidation logic, complex state machines)? Choose: No notable patterns, Some higher-risk patterns, Multiple/structural higher-risk patterns, Unknown.</t>
  </si>
  <si>
    <t>No notable patterns</t>
  </si>
  <si>
    <t>https://support.avax.network/en/articles/5462273-has-the-avalanche-code-been-audited-where-are-the-audit-reports; https://www.gate.com/tr/crypto-wiki/article/what-are-the-major-security-risks-and-incidents-facing-avalanche-avax-in-2025-20251205</t>
  </si>
  <si>
    <t>2024-10-01; 2025-12-05</t>
  </si>
  <si>
    <t>Escalate where multiple or structural higher-risk design patterns are identified with at least medium confidence.</t>
  </si>
  <si>
    <t>Avalanche core components (bridge, bridge nodes, smart contracts, SDKs) have undergone multiple Halborn security audits, and public support materials reference these without disclosing systemic or recurring design‑level flaws such as fundamentally fragile liquidation logic or unsafe consensus state machines. While individual DeFi apps on Avalanche have suffered exploits, these are protocol‑specific and not tied to a recurring architectural weakness in the AVAX base protocol or its audited core infrastructure.</t>
  </si>
  <si>
    <t>≤120-word narrative summary for B.1 (architectural complexity, composability and design risk patterns).</t>
  </si>
  <si>
    <t>Avalanche uses a heterogeneous multi-chain architecture (X-Chain, C-Chain, P-Chain) and a novel probabilistic consensus family, increasing implementation and configuration complexity. The platform supports highly composable smart contracts (EVM on C-Chain, custom subnets/VMs), which amplifies cross-chain and cross-subnet interaction risks, including bridge dependencies and fragmented security assumptions. Validator and subnet design adds flexibility but introduces intricate trust, governance and upgrade paths that must be understood per subnet. Overall, Avalanche’s modular, high‑throughput design offers powerful composability but raises architectural and interoperability risk compared with simpler, single-chain L1s.</t>
  </si>
  <si>
    <t>https://docs.avax.network/overview/getting-started/avalanche-platform; https://docs.avax.network/subnets; https://docs.avax.network/overview/getting-started/avalanche-consensus</t>
  </si>
  <si>
    <t>2023-06-01; 2023-06-01; 2020-12-01</t>
  </si>
  <si>
    <t>Summary is based on well-documented Avalanche tri-chain and subnet architecture and its EVM-based composability. No controversial or time-sensitive claims; focus is on structural complexity and associated risk patterns rather than subjective judgments.</t>
  </si>
  <si>
    <t>To what extent does core protocol functionality depend on cross-chain bridges? Choose: No bridge dependency, Peripheral bridge usage only, Core functionality depends on bridges, Unknown.</t>
  </si>
  <si>
    <t>Peripheral bridge usage only</t>
  </si>
  <si>
    <t>https://docs.avax.network/learn/avalanche/; https://docs.avax.network/quickstart/fund-your-wallet/avax-bridge</t>
  </si>
  <si>
    <t>Escalate where core protocol functionality depends on bridges with at least medium confidence.</t>
  </si>
  <si>
    <t>Avalanche is a base L1 with its own consensus, native AVAX asset, and integrated primary subnets (X, C, P chains). Core protocol operation—consensus, validation, staking, and native transfers—does not require any external bridge. Cross-chain bridges such as the Avalanche Bridge are offered for interoperability and asset transfer with other chains, which is important for ecosystem growth but not required for the protocol to function.</t>
  </si>
  <si>
    <t>How is the primary bridge implementation characterised in public sources? Choose: Well-established/audited bridge, Custom or mixed-quality bridges, High-risk/unaudited bridge design, Unknown.</t>
  </si>
  <si>
    <t>Well-established/audited bridge</t>
  </si>
  <si>
    <t>https://support.avax.network/en/articles/5462273-has-the-avalanche-code-been-audited-where-are-the-audit-reports; https://support.avax.network/en/articles/6449794-how-is-the-avalanche-bridge-secured; https://li.fi/knowledge-hub/avalanche-bridge-a-deep-dive/</t>
  </si>
  <si>
    <t>2024-10-01; 2024-09-01; 2023-05-01</t>
  </si>
  <si>
    <t>Escalate where the primary bridge is described as high-risk or unaudited with at least medium confidence.</t>
  </si>
  <si>
    <t>Public documentation describes the Avalanche Bridge as using Intel SGX enclaves and a warden-based design, with bridge code, nodes and smart contracts independently audited by security firm Halborn and subject to ongoing security testing. Third-party analysis (e.g., LI.FI deep dive) also emphasizes that the bridge has undergone external audits, even while noting trust assumptions in its design. This supports classifying it as a well-established/audited bridge rather than an unaudited or ad hoc implementation.</t>
  </si>
  <si>
    <t>How heavily does the protocol rely on cross-chain messaging or external executors? Choose: Minimal reliance, Moderate reliance, Heavy/structural reliance, Unknown.</t>
  </si>
  <si>
    <t>Minimal reliance</t>
  </si>
  <si>
    <t>https://support.avax.network/en/articles/4058262-what-is-the-contract-chain-c-chain; https://build.avax.network/docs/tooling/avalanche-sdk/client/clients/c-chain-client; https://build.avax.network/docs/avalanche-l1s/precompiles/warp-messenger</t>
  </si>
  <si>
    <t>2024-10-01; 2024-11-20; 2024-11-15</t>
  </si>
  <si>
    <t>Avalanche is a self-contained L1 with its own consensus and Primary Network (X-, P-, C-Chains). AVAX transfers and smart contracts on the C-Chain run natively and do not require external chains or executors. Cross-chain features like atomic transfers between Avalanche chains and Avalanche Warp Messaging/Teleporter are available but optional utilities; they rely only on Avalanche validators plus untrusted relayers, not on external protocols. Thus cross-chain messaging is not structurally required for core operation.</t>
  </si>
  <si>
    <t>≤120-word narrative summary for B.2 (bridge dependency, bridge quality and cross-chain execution risk).</t>
  </si>
  <si>
    <t>AVAX relies on several bridging mechanisms. Native cross-chain transfers between Avalanche’s X, P and C chains are handled by protocol-level export/import transactions rather than third‑party bridges, but still introduce UX and execution complexity (multi‑step operations, address format differences). External interoperability with Ethereum and other L1s primarily uses the Avalanche Bridge, which is secured via Intel SGX and a multi‑party warden/bridge‑node scheme, with periodic audits and monitoring. This design reduces single‑operator risk but remains a permissioned, infrastructure‑dependent bridge that could fail or be censored at the operator or SGX level.</t>
  </si>
  <si>
    <t>https://support.avax.network/en/articles/6449794-how-is-the-avalanche-bridge-secured; https://www.beiion.com/ava/learn/avalanche-bridge-faq/index.html; https://support.avax.network/en/articles/6077308-what-are-the-differences-between-the-x-p-and-c-chains</t>
  </si>
  <si>
    <t>2024-10-01; 2023-06-01; 2023-10-01</t>
  </si>
  <si>
    <t>Summary is based on Avalanche’s own docs describing X/P/C-chain cross-chain transfers and the design and security model of the Avalanche Bridge (SGX, multi-party wardens/nodes, audits). These primary sources directly support statements about bridge dependencies and risks; residual risk assessment is standard qualitative analysis.</t>
  </si>
  <si>
    <t>How broad is the set of privileged functions (upgrade, pause, mint/burn, parameter changes)? Choose: Narrow/well-scoped, Moderate, Broad/high-impact privileged controls, Unknown.</t>
  </si>
  <si>
    <t>Narrow/well-scoped</t>
  </si>
  <si>
    <t>https://build.avax.network/docs/primary-network/avax-token; https://support.avax.network/en/articles/6912428-tokenomics-faq</t>
  </si>
  <si>
    <t xml:space="preserve">AVAX is a native protocol asset, not an upgradeable ERC‑20 contract with admin roles. Supply is hard‑capped at 720M; 360M were minted at genesis and the remainder is minted as staking rewards under a predefined formula. Fees are always burned. Governance can tune emission parameters and reward rates, but cannot exceed the hard cap or arbitrarily mint, pause, or seize user balances. This implies relatively narrow, protocol‑level privileged controls versus broad admin powers.
</t>
  </si>
  <si>
    <t>How is any emergency pause or kill-switch implemented? Choose: No pause/kill-switch, Controlled pause with multisig/timelock, Centralised pause/kill with minimal checks, Unknown.</t>
  </si>
  <si>
    <t>No pause/kill-switch</t>
  </si>
  <si>
    <t>https://docs.avax.network/learn/avalanche/avax-token; https://docs.avax.network/learn/platform-overview</t>
  </si>
  <si>
    <t>Escalate where centralised pause/kill can be invoked with minimal checks and at least medium confidence.</t>
  </si>
  <si>
    <t>AVAX is the native asset of the Avalanche primary network, implemented at the protocol/UTXO/account level rather than as an admin‑controlled smart‑contract token. Avalanche’s consensus and staking documentation describe validator-based governance and upgrades, but do not reference any protocol-level admin pause or kill-switch able to halt transfers or the chain. Any pausing logic would only exist in specific application contracts, not for AVAX itself.</t>
  </si>
  <si>
    <t>B3-N</t>
  </si>
  <si>
    <t>≤120-word narrative summary for B.3 (privileged control surface and emergency mechanisms).</t>
  </si>
  <si>
    <t>Avalanche’s base protocol is implemented via the AvalancheGo client; consensus and validation rules are enforced by validators running node software, not by upgradable token contracts. AVAX on the C‑Chain is an ERC‑20–like representation bridged from the X‑Chain; core chain logic and staking parameters are governed by Avalanche validators via protocol upgrades, coordinated by Ava Labs–maintained clients. There is no standard ERC‑20 owner with mint/burn or pause privileges for native AVAX, but client releases and network parameters constitute a de facto privileged control surface, creating upgrade and governance centralization risks.</t>
  </si>
  <si>
    <t>https://docs.avax.network/overview; https://github.com/ava-labs/avalanchego; https://docs.avax.network/learn/avalanche-avax</t>
  </si>
  <si>
    <t>2024-05-01; 2024-10-01; 2023-11-01</t>
  </si>
  <si>
    <t>Avalanche is a base-layer network where AVAX is native; control is via node/client governance and protocol upgrades rather than ERC‑20 owner roles. Ava Labs and validator governance are key control points, but there is no simple mint/pause owner for native AVAX, so risks relate more to client-centralization and upgrade processes than to contract admin keys.</t>
  </si>
  <si>
    <t>C. Operational Security &amp; Key Management</t>
  </si>
  <si>
    <t>Are privileged roles (upgrade keys, governance keys, treasury keys) clearly disclosed in public sources? Choose: Fully disclosed, Partially disclosed, Poorly disclosed/unclear, Unknown.</t>
  </si>
  <si>
    <t>Partially disclosed</t>
  </si>
  <si>
    <t>https://en.wikipedia.org/wiki/Avalanche_%28blockchain_platform%29; https://www.avalabs.org/whitepapers; https://www.coindesk.com/business/2025/09/11/avalanche-foundation-eyes-usd1b-raise-to-fund-two-crypto-treasury-companies-ft/</t>
  </si>
  <si>
    <t>2024-10-15; 2025-09-11</t>
  </si>
  <si>
    <t>Escalate where privileged-role disclosure is unclear with at least medium confidence.</t>
  </si>
  <si>
    <t>Avalanche’s public materials explain high‑level governance and which network parameters are subject to on‑chain voting, and they acknowledge the role of the Avalanche Foundation in overseeing the blockchain and holding AVAX treasury. However, there is no single, authoritative public registry of specific admin/upgrade keys, multisig signers, or treasury wallet addresses. Thus, governance structure is disclosed but concrete privileged key details remain only partially disclosed.</t>
  </si>
  <si>
    <t>How centralised is control of privileged keys? Choose: Decentralised (multisig/DAO), Moderately centralised, Highly centralised (1–2 individuals), Unknown.</t>
  </si>
  <si>
    <t>Decentralised (multisig/DAO)</t>
  </si>
  <si>
    <t>https://build.avax.network/docs/quick-start/primary-network; https://support.avax.network/en/articles/6187511-validator-faq; https://www.avax.network/validators</t>
  </si>
  <si>
    <t>2024-11-15; 2024-10-01; 2024-12-01</t>
  </si>
  <si>
    <t>AVAX is the native asset of the Avalanche Primary Network, not an upgradable token contract with an admin key. Network control is exercised collectively by validators who must each stake at least 2,000 AVAX to join the validator set, with over a thousand validators securing the network. This proof‑of‑stake design distributes control across many independent node operators rather than a small multisig or individual keyholders.</t>
  </si>
  <si>
    <t>What is the scope of privileged functions? Choose: Narrow, Moderate, Broad/high-impact, Unknown.</t>
  </si>
  <si>
    <t>Broad/high-impact</t>
  </si>
  <si>
    <t>https://build.avax.network/docs/acps; https://www.avax.network/about/blog/etna-enhancing-the-sovereignty-of-avalanche-l1-networks/; https://www.hedgethink.com/avalanche-protocol-token-technology-and-community/</t>
  </si>
  <si>
    <t>2024-11-01; 2024-12-02; 2024-05-01</t>
  </si>
  <si>
    <t>Escalate where privileged function scope is broad/high-impact with at least medium confidence.</t>
  </si>
  <si>
    <t>AVAX is the native asset of the Avalanche L1, so there is no simple ERC‑20-style admin, but protocol-level privileged actions exist. Through Avalanche Community Proposals (ACPs) and coordinated client upgrades, governance and core devs can change fundamental network parameters (e.g., P‑Chain fees, C‑Chain base fee, subnet/L1 validator rules), which directly affect AVAX economics, security, and transaction processing. This constitutes broad, high‑impact privileged control over the token’s environment.</t>
  </si>
  <si>
    <t>≤120-word narrative summary for C.1 (privileged roles, centralisation and scope).</t>
  </si>
  <si>
    <t>Avalanche’s Primary Network is secured by permissionless proof‑of‑stake validators; anyone meeting hardware requirements and staking at least 2,000 AVAX can validate, with voting weight proportional to stake, which creates some economic centralisation risk in large validators. Network parameters and upgrades are guided by Avalanche Community Proposals, which are open to all but only take effect once node operators adopt compatible clients, so there is no single protocol “admin key.” In contrast, many Subnets are explicitly permissioned: a small set of control keys or allow‑list admins can add/remove validators or restrict users, concentrating power at the subnet level.</t>
  </si>
  <si>
    <t>https://build.avax.network/docs/primary-network/validate/how-to-stake; https://build.avax.network/docs/acps; https://www.beiion.com/ava/build/tutorials/platform/subnets/create-a-subnet/index.html</t>
  </si>
  <si>
    <t>2025-11-15; 2025-12-11; 2025-11-20</t>
  </si>
  <si>
    <t>Summary reflects Avalanche docs on validator staking thresholds and weight-based influence, the ACP-based but client-enforced upgrade process, and subnet design where control keys/allow-lists govern validator sets and permissions, creating localized privileged roles even though the Primary Network is economically permissionless.</t>
  </si>
  <si>
    <t>Is a multisig used for privileged actions? Choose: Yes – main control path, Yes – partial control, No multisig, Unknown.</t>
  </si>
  <si>
    <t>No multisig</t>
  </si>
  <si>
    <t>AVAX is the native asset of the Avalanche network, not an upgradeable ERC-20-style token contract. Core protocol parameters and token economics are governed via the consensus protocol and validator-set governance, rather than a discrete admin key or on-chain multisig that can directly pause, upgrade, or mint the token. While foundation or treasury wallets may use multisigs, there is no evidence of a privileged multisig controlling the AVAX asset itself.</t>
  </si>
  <si>
    <t>What is the multisig threshold relative to number of signers? Choose: Strong threshold (≥⅔), Moderate threshold (~50%), Weak threshold (&lt;50%), Unknown.</t>
  </si>
  <si>
    <t>https://build.avax.network/docs/tooling/create-deploy-avalanche-l1s/deploy-with-multisig-auth; https://medium.com/avalancheavax/gnosis-safe-integrates-with-avalanche-expanding-security-tools-for-developers-and-users-a4644a57ebc6</t>
  </si>
  <si>
    <t>2024-11-15; 2022-01-16</t>
  </si>
  <si>
    <t>Avalanche supports generic N-of-M multisig configurations for subnet/L1 control and user wallets, with the threshold explicitly configurable rather than fixed protocol-wide. Public docs describe choosing any required number of signatures out of the added control keys, but do not specify a single standard multisig threshold governing AVAX token control or core protocol admin keys. Because different contracts and wallets can use different N-of-M setups, the effective threshold for AVAX is not uniquely defined, so it must be treated as Unknown.</t>
  </si>
  <si>
    <t>Are multisig signers publicly known or institutionally verifiable? Choose: Fully transparent, Partial transparency, Opaque/unknown signers, Unknown.</t>
  </si>
  <si>
    <t>Opaque/unknown signers</t>
  </si>
  <si>
    <t>Avalanche’s core protocol and AVAX token do not rely on a single, publicly documented multisig whose individual signer identities are comprehensively disclosed. While Avalanche Foundation and related entities may custody assets via institutional or internal multisigs, detailed, verifiable public lists of all signers (names, roles, institutions) are not consistently published or linked to the main token contract. As such, the multisig signer set should be treated as opaque/unknown from a public due‑diligence perspective.</t>
  </si>
  <si>
    <t>≤120-word narrative summary for C.2 (multisig strength and signer transparency).</t>
  </si>
  <si>
    <t>Avalanche’s main systemic multisig exposure is via the Avalanche Bridge and bridged assets (e.g., BTC.b). Bridge administration uses a 6-of-8 model with named institutional “wardens” (Ankr, Blockdaemon, Chainstack, Protofire, Avascan, Ava Labs, Bware Labs, Halborn), providing relatively strong key dispersion and clear public disclosure of operators and quorum. However, public detail on any Avalanche Foundation or treasury multisig structures (signer identities, thresholds, rotation policies) is limited, so transparency is strong for bridge governance but only partial for broader AVAX-controlled wallets.</t>
  </si>
  <si>
    <t>https://governance.aave.com/t/arc-add-support-for-btc-b-native-bitcoin-bridged-to-avalanche/8872; https://medium.com/avalancheavax/gnosis-safe-integrates-with-avalanche-expanding-security-tools-for-developers-and-users-a4644a57ebc6</t>
  </si>
  <si>
    <t>2022-03-01; 2021-11-01</t>
  </si>
  <si>
    <t>Answer relies mainly on documented details of Avalanche Bridge multisig design and wardens, and the lack of similarly precise, verifiable disclosures for foundation or treasury multisigs. Overall structure is clear for the bridge but less so for other AVAX holdings, justifying a Medium confidence rating.</t>
  </si>
  <si>
    <t>C3.1</t>
  </si>
  <si>
    <t>Is a timelock used for upgrade or parameter-change operations? Choose: Yes – all critical actions, Yes – some actions, No timelock, Unknown.</t>
  </si>
  <si>
    <t>No timelock</t>
  </si>
  <si>
    <t>https://build.avax.network/blog/etna-enhancing-sovereignty-avalanche-l1s; https://build.avax.network/blog/granite-upgrade; https://chainrelease.info/chains/ava-labs~avalanchego/releases/1</t>
  </si>
  <si>
    <t>2024-11-25; 2025-10-21; 2025-03-24</t>
  </si>
  <si>
    <t>Escalate where no timelock is used for critical privileged actions with at least medium confidence.</t>
  </si>
  <si>
    <t>Avalanche protocol upgrades (e.g., Etna, Granite, Fortuna) are deployed via new AvalancheGo client releases with predefined activation times that require node operators to manually upgrade before a scheduled block-height/time. Public documentation for these network upgrades describes activation scheduling and mandatory node upgrades but does not mention an on-chain governance timelock or timelock controller governing protocol or parameter changes. This suggests upgrades are coordinated off-chain without a smart‑contract timelock.</t>
  </si>
  <si>
    <t>C3.2</t>
  </si>
  <si>
    <t>If timelocks exist, how long are they? Choose: Adequate duration (≥24h), Short duration (&lt;24h), No timelock or irrelevant, Unknown.</t>
  </si>
  <si>
    <t>No timelock or irrelevant</t>
  </si>
  <si>
    <t>https://docs.avax.network/learn/token; https://snowtrace.io</t>
  </si>
  <si>
    <t>Avalanche’s AVAX token is a native asset on the Avalanche network used for staking, fees, and governance. At the protocol level, standard transfers of AVAX on the C-Chain and other chains are not subject to a built‑in security timelock delay; transactions settle quickly once finalized by consensus. Any vesting or lockup schedules for specific allocations are off‑chain/tokenomics design, not a universal protocol timelock relevant to routine token movement.</t>
  </si>
  <si>
    <t>C3-N</t>
  </si>
  <si>
    <t>≤120-word narrative summary for C.3 (timelock design and change-control protections).</t>
  </si>
  <si>
    <t>Avalanche’s core protocol does not use global token timelocks for AVAX; circulating supply is primarily unlocked, with vesting for foundations, teams, and private allocations governed by preset schedules. Upgrades and parameter changes are routed through AvalancheGo client releases and, where applicable, on‑chain governance on the P‑Chain, requiring validator adoption and network consensus rather than unilateral key control. There is no widely documented, centralized “pause” or upgrade key for AVAX balances themselves, which limits direct administrative control but also shifts safety to client governance, validator coordination, and secure key management of vesting and treasury wallets.</t>
  </si>
  <si>
    <t>https://docs.avax.network/overview/getting-started/avalanche-platform#avax-token; https://messari.io/asset/avalanche/profile; https://docs.avax.network/build/avalanche-governance</t>
  </si>
  <si>
    <t>2023-08-01; 2024-05-01; 2023-10-01</t>
  </si>
  <si>
    <t>Public docs and explorers describe AVAX vesting schedules and governance via client upgrades and validator consensus, but detailed, formalized timelock and admin-key specs are not centrally documented; assessment relies partly on inference from protocol design.</t>
  </si>
  <si>
    <t>C4.1</t>
  </si>
  <si>
    <t>How are privileged keys custodied according to public sources? Choose: Institutional or HSM custody, Mixed model, Personal custody (individuals), Unknown.</t>
  </si>
  <si>
    <t>https://www.beiion.com/ava/build/tutorials/nodes-and-staking/upgrade-your-avalanchego-node/index.html; https://support.avax.network/en/articles/6760481-what-are-self-custody-non-custodial-wallets</t>
  </si>
  <si>
    <t>2025-10-29; 2025-10-01</t>
  </si>
  <si>
    <t>Escalate where privileged keys are held in personal custody with at least medium confidence.</t>
  </si>
  <si>
    <t>Public documentation for Avalanche focuses on validator/node staking keys and general self-custody guidance, but does not clearly describe whether any remaining protocol- or treasury-level privileged/admin keys exist, nor how such keys are custodied (e.g., institutional HSM vs. personal devices). In the absence of explicit, authoritative disclosures on privileged key custody, the custody model must be treated as Unknown for due‑diligence purposes.</t>
  </si>
  <si>
    <t>C4.2</t>
  </si>
  <si>
    <t>Are there credible historical reports of key compromise relating to the project? Choose: No incidents, Minor incident fully resolved, Significant compromise, Unknown.</t>
  </si>
  <si>
    <t>Minor incident fully resolved</t>
  </si>
  <si>
    <t>https://cointelegraph.com/news/polygon-discord-scam-hits-avalanche-zksync-hours-later; https://crypto-economy.com/avalanche-and-zksync-discords-compromised-fake-token-links-spark-security-concerns/</t>
  </si>
  <si>
    <t>2024-08-26; 2024-08-26</t>
  </si>
  <si>
    <t>Escalate where significant key compromise has occurred with at least medium confidence.</t>
  </si>
  <si>
    <t>There are no credible reports of Avalanche’s core protocol, validator, or treasury keys being compromised. However, in August 2024 Avalanche’s official Discord server was compromised and used to post fake AVAX “distribution” links, indicating a compromise of Discord credentials but not blockchain keys or funds. The team warned users and the issue was subsequently resolved, so this is best classified as a minor, fully resolved incident.</t>
  </si>
  <si>
    <t>C4.3</t>
  </si>
  <si>
    <t>How mature is the project’s incident response process? Choose: Mature documented process, Partial process, Minimal or ad-hoc, Unknown.</t>
  </si>
  <si>
    <t>Mature documented process</t>
  </si>
  <si>
    <t>https://support.avax.network/en/articles/6127575-how-do-i-report-bugs-and-security-vulnerabilities-to-the-avalanche-team; https://immunefi.com/bug-bounty/avalanche/; https://immunefi.com/bug-bounty/avalanche/resources/</t>
  </si>
  <si>
    <t>2025-10-01; 2025-01-24; 2025-01-24</t>
  </si>
  <si>
    <t>Avalanche maintains formal, public procedures for reporting bugs and security vulnerabilities, directing reporters to structured bug bounty programs on Immunefi for both protocol and app/web components with defined scopes, severities, rewards, and KYC requirements. The Immunefi pages reference documentation, codebase, and audits/known issues, indicating an institutionalized, ongoing incident and vulnerability management process rather than ad-hoc handling.</t>
  </si>
  <si>
    <t>C4-N</t>
  </si>
  <si>
    <t>≤120-word narrative summary for C.4 (key custody, compromise history and incident response).</t>
  </si>
  <si>
    <t>AVAX is a PoS asset; validators stake from their own wallets and retain custody of validation keys, with no protocol-level slashing or central custodian. Avalanche Bridge custody relies on an Intel SGX enclave with a threshold key split across independent “warden” operators, and the bridge and related components have undergone third‑party audits by Halborn. The protocol has experienced software bugs causing temporary network disruptions (e.g., AvalancheGo release issues) and at least one public allegation of a validator key‑recovery vulnerability, but there is no evidence of a successfully exploited systemic key compromise to date; Ava Labs maintains an ongoing audit and hardening program.</t>
  </si>
  <si>
    <t>https://support.avax.network/en/articles/4587355-how-does-proof-of-stake-work; https://support.avax.network/en/articles/6449794-how-is-the-avalanche-bridge-secured; https://coingeek.com/researcher-publishes-ava-labs-avalanche-zero-day-vulnerability-says-entire-protocol-compromised/</t>
  </si>
  <si>
    <t>2024-10-01; 2024-09-15; 2023-02-20</t>
  </si>
  <si>
    <t>Answer synthesizes official validator/PoS design, Halborn/bridge security documentation, and public reporting on alleged zero-day and operational bugs. No clear evidence of realized systemic key compromise, but allegations and outages justify a ‘Medium’ confidence band rather than ‘High’.</t>
  </si>
  <si>
    <t>D. Network Security &amp; Consensus Integrity</t>
  </si>
  <si>
    <t>What type of network does the protocol rely on? Choose: Layer-1, Layer-2 (Rollup), App-chain/Subnet, Sidechain, Unknown.</t>
  </si>
  <si>
    <t>Layer-1</t>
  </si>
  <si>
    <t>https://docs.avax.network/overview/getting-started/avalanche-overview; https://avalabs.org/whitepapers</t>
  </si>
  <si>
    <t>2023-08-01; 2019-05-01</t>
  </si>
  <si>
    <t>Avalanche (AVAX) is described in its documentation and independent research as a smart-contract platform and consensus protocol that functions as its own base layer blockchain, not as a rollup or secondary chain on another network. Therefore it is best categorized as a Layer-1 network.</t>
  </si>
  <si>
    <t>How is the underlying chain’s security reputation described in credible public sources? (Answer with one of: "High - robust history", "Moderate", "Low or repeated issues", or "Unknown".)</t>
  </si>
  <si>
    <t>High - robust history</t>
  </si>
  <si>
    <t>https://immunefi.com/bug-bounty/avalanche/; https://immunefi.com/bug-bounty/avalanche/resources/; https://arxiv.org/abs/2501.15904</t>
  </si>
  <si>
    <t>2025-01-24; 2025-01-24; 2025-01-27</t>
  </si>
  <si>
    <t>Escalate where the underlying chain has low security reputation or repeated issues with at least medium confidence.</t>
  </si>
  <si>
    <t>Credible sources generally describe Avalanche as a well‑engineered L1 with no widely reported consensus failures or chain‑level exploits to date. Ava Labs maintains a formal bug bounty on Immunefi with six‑figure rewards for critical Avalanche protocol issues and publishes multiple third‑party audits for AvalancheGo, Coreth, and related components. Recent academic work formally analyzes and proves properties of the Snowman consensus protocol, further supporting its security reputation.</t>
  </si>
  <si>
    <t>Is there any credible chain-level audit, formal verification or security analysis? Choose: Yes – formal/high quality audit, Yes – limited audit, No audit, Unknown.</t>
  </si>
  <si>
    <t>Yes – formal/high quality audit</t>
  </si>
  <si>
    <t>https://support.avax.network/en/articles/5462273-has-the-avalanche-code-been-audited-where-are-the-audit-reports; https://arxiv.org/abs/2409.02217; https://medium.com/avalancheavax/security-analysis-of-avalanche-consensus-39543d09af4a</t>
  </si>
  <si>
    <t>2024-01-01; 2024-09-03; 2020-01-01</t>
  </si>
  <si>
    <t>Avalanche’s core components (Avalanche Bridge, bridge nodes, smart contracts, SDKs, JS libraries) have undergone professional security audits by Halborn and other firms, with public reports referenced by the project’s own support documentation. In addition, the consensus layer (Snowball/Avalanche/Snowman) has been the subject of formal security analyses in peer-reviewed-style academic work, which rigorously quantifies safety and liveness properties. Together, this constitutes high‑quality chain-level security analysis.</t>
  </si>
  <si>
    <t>≤120-word narrative summary for D.1 (base network security characteristics).</t>
  </si>
  <si>
    <t>Avalanche is a permissionless, proof-of-stake L1 using a Snow-family consensus protocol that provides fast finality and high throughput across its Primary Network (X-, P-, and C-Chains). Validators must stake AVAX and run full nodes; staking weight is capped per validator to limit centralization. Security relies on economic penalties via loss of rewards rather than slashing for most faults, so “nothing at stake” and governance risks must be considered. The protocol supports custom subnets, whose security depends on their own validator sets and may be weaker than the Primary Network. Overall, Avalanche is a mature, widely validated network but with PoS and subnet-specific security trade-offs.</t>
  </si>
  <si>
    <t>https://docs.avax.network/learn/avalanche/; https://docs.avax.network/validators/overview; https://research.binance.com/en/projects/avalanche</t>
  </si>
  <si>
    <t>2024-05-01; 2024-05-01; 2023-01-20</t>
  </si>
  <si>
    <t>Summary relies on Avalanche’s consensus design, validator/staking rules, and subnet model as described in primary docs and independent technical overviews; these are stable protocol characteristics and well-covered by multiple reputable sources.</t>
  </si>
  <si>
    <t>How concentrated is the validator or sequencer set? Choose: Low concentration (top 5 &lt;25%), Moderate (25–50%), High concentration (top 5 &gt;50%), Unknown.</t>
  </si>
  <si>
    <t>Low concentration (top 5 &lt;25%)</t>
  </si>
  <si>
    <t>https://support.avax.network/en/articles/6187511-validator-faq; https://www.avax.network/build/validators</t>
  </si>
  <si>
    <t>2024-10-01; 2025-12-01</t>
  </si>
  <si>
    <t>Escalate where validator/sequencer power is highly concentrated with at least medium confidence.</t>
  </si>
  <si>
    <t>Avalanche enforces a hard cap of 3M AVAX on the total weight (self‑stake + delegated stake) per validator. With ~247.6M AVAX currently staked on the primary network, a single validator can control at most about 1.2% of stake, implying the top 5 validators together are limited to under ~6% (&lt;25%). This protocol-level cap structurally prevents a highly concentrated top validator set under current conditions.</t>
  </si>
  <si>
    <t>Have there been credible reports of validator or sequencer censorship (e.g., OFAC filtering)? Choose: No censorship reported, Minor/isolated incidents, Documented or sustained censorship, Unknown.</t>
  </si>
  <si>
    <t>No censorship reported</t>
  </si>
  <si>
    <t>https://support.avax.network/en/articles/6350544-ofac-disclaimer; https://www.sec.gov/Archives/edgar/data/2035053/000119312525228678/avax_s-1_amendment_1.htm</t>
  </si>
  <si>
    <t>2023-10-01; 2025-10-15</t>
  </si>
  <si>
    <t>Escalate where censorship is documented and confidence is at least medium.</t>
  </si>
  <si>
    <t>I was unable to find credible reports of Avalanche mainnet validators or sequencers systematically censoring transactions (e.g., OFAC-style filtering) on the consensus layer. Ava Labs publishes OFAC-related restrictions for the Avalanche Bridge, but this is an access-control/compliance measure, not documented on-chain validator censorship. Public filings discuss theoretical risks of validator collusion and censorship but do not allege actual incidents.</t>
  </si>
  <si>
    <t>How reliable is the validator/sequencer set based on public uptime data? Choose: High reliability, Moderate, Low reliability or repeated liveness failures, Unknown.</t>
  </si>
  <si>
    <t>High reliability</t>
  </si>
  <si>
    <t>https://avascan.info; https://docs.avax.network/overview/getting-started/avalanche-consensus; https://messari.io/asset/avalanche</t>
  </si>
  <si>
    <t>Avalanche uses a large, permissionless validator set with thousands of validators; public explorer data shows very high block production and finalization with no major chain-wide liveness failures since mainnet launch. Historical incident reports and research note that Avalanche has not experienced prolonged network halts comparable to some peers, implying strong validator uptime and operational reliability.</t>
  </si>
  <si>
    <t>≤120-word narrative summary for D.2 (validator/sequencer decentralisation, censorship and reliability).</t>
  </si>
  <si>
    <t>Avalanche uses a permissionless Proof-of-Stake validator set on the Primary Network: anyone meeting hardware specs and staking at least 2,000 AVAX can validate or accept delegated stake. Validator influence is stake-weighted, with a hard cap on validator weight, which somewhat limits but does not remove centralisation risk from large holders and popular validators. Validators must maintain ≥80% uptime to receive rewards, promoting reliability but there is no slashing, so penalties for censorship or downtime are indirect. Subnets/L1s can run with relatively few validators, creating heterogeneous decentralisation and censorship resistance across the ecosystem.</t>
  </si>
  <si>
    <t>https://build.avax.network/academy/permissionless-l1s/02-proof-of-stake/01-introduction; https://support.avax.network/en/articles/6187511-validator-faq; https://support.avax.network/en/articles/4064861-what-is-an-avalanche-l1</t>
  </si>
  <si>
    <t>2024-01-15; 2024-10-01; 2024-10-01</t>
  </si>
  <si>
    <t>Based on Avalanche docs describing permissionless PoS, 2,000 AVAX minimum stake, stake-weighted sampling with validator weight caps, and ≥80% uptime requirement for rewards; plus L1/Subnet guidance noting small recommended validator sets, implying varying decentralisation and censorship resistance across networks.</t>
  </si>
  <si>
    <t>D3.1</t>
  </si>
  <si>
    <t>How significant is MEV exploitation risk on the underlying network? Choose: Low MEV exposure, Moderate exposure, High MEV exposure, Unknown.</t>
  </si>
  <si>
    <t>Moderate exposure</t>
  </si>
  <si>
    <t>https://docs.flashbots.net/ethereum-mev/mev-intro; https://docs.avax.network/overview/getting-started/avalanche-consensus; https://eigenphi.io</t>
  </si>
  <si>
    <t>2023-06-01; 2023-05-01; 2024-06-01</t>
  </si>
  <si>
    <t>Avalanche uses a PoS design with relatively fast finality, which limits some long-range MEV like deep chain reorgs, but MEV opportunities (arbitrage, liquidations, sandwiching) still exist at the mempool and protocol level. Research and infra providers track MEV on Avalanche, and MEV-boost-style tooling and searcher activity are present, indicating non-trivial but not Ethereum-level MEV intensity. Overall this suggests a moderate, ongoing MEV exploitation risk rather than clearly low or extreme.</t>
  </si>
  <si>
    <t>D3.2</t>
  </si>
  <si>
    <t>How strong are the chain’s finality guarantees? Choose: Strong finality, Moderate finality, Weak finality/rollback risk, Unknown.</t>
  </si>
  <si>
    <t>Strong finality</t>
  </si>
  <si>
    <t>https://avalabs.org/whitepapers; https://docs.avax.network/overview/getting-started/avalanche-consensus; https://docs.avax.network/overview/avalanche-platform</t>
  </si>
  <si>
    <t>2018-05-16; 2023-06-01; 2023-06-01</t>
  </si>
  <si>
    <t>Escalate where weak finality creates material rollback/reorg risk with at least medium confidence.</t>
  </si>
  <si>
    <t>Avalanche uses Avalanche and Snowman consensus, which provide probabilistic yet extremely fast and irreversible finality (on the order of 1–2 seconds) once a transaction is accepted. The protocol is designed so that once a transaction is finalized, reverting it would require a highly implausible level of collusion or stake control, and chain reorganizations are effectively prevented under honest-majority assumptions. This supports classifying its finality guarantees as Strong finality.</t>
  </si>
  <si>
    <t>D3.3</t>
  </si>
  <si>
    <t>Have there been credible historical chain reorg or rollback events? Choose: No reorgs, Minor reorgs, Major or repeated reorgs, Unknown.</t>
  </si>
  <si>
    <t>Minor reorgs</t>
  </si>
  <si>
    <t>https://docs.avax.network/learn/avalanche/avalanche-consensus; https://assets.avax.network/whitepapers/avalanche-platform.pdf</t>
  </si>
  <si>
    <t>2023-06-01; 2019-05-16</t>
  </si>
  <si>
    <t>Escalate where major or repeated reorgs are documented with at least medium confidence.</t>
  </si>
  <si>
    <t>Avalanche consensus is probabilistic and, like most Nakamoto-style chains, can experience occasional short-lived chain reorganizations at low depth without any widely reported large-scale rollback. Public discussions and research on Avalanche and its Snowman consensus reference the usual risk of transient, low-depth reorgs in PoW/PoS-style chains but there is no documented major, contentious, or repeated rollback event affecting AVAX similar to large incidents on some other chains.</t>
  </si>
  <si>
    <t>D3-N</t>
  </si>
  <si>
    <t>≤120-word narrative summary for D.3 (MEV exposure, finality guarantees and reorg history).</t>
  </si>
  <si>
    <t>Avalanche’s Snowman consensus provides strong probabilistic finality, typically within ~1–2 seconds, with finalized blocks not subject to reorgs; nodes and public APIs only expose finalized blocks, so users and explorers effectively never see chain reorgs. MEV opportunities broadly mirror other EVM chains on the C‑Chain (e.g., arbitrage, liquidations), but Avalanche does not use an explicit protocol-level MEV auction or proposer-builder separation today, so MEV is handled at the node/relayer level rather than by consensus. To date there have been no widely documented consensus-driven reorg events on the primary network, though the chain has experienced non-finality incidents such as the February 2024 C‑Chain outage caused by a client bug rather than a consensus failure.</t>
  </si>
  <si>
    <t>https://support.avax.network/en/articles/7329750-are-there-reorgs-on-avalanche; https://build.avax.network/docs/primary-network/avalanche-consensus; https://blockworks.co/news/avalanche-blockchain-downtime</t>
  </si>
  <si>
    <t>2024-01-01; 2023-11-01; 2024-02-23</t>
  </si>
  <si>
    <t>Summary reflects Avalanche’s probabilistic-but-fast finality and “no reorgs after finalization” design, plus public reporting of a notable outage driven by implementation bugs rather than consensus failure. MEV handling is characterized conservatively and generically for an EVM chain without a native MEV auction mechanism.</t>
  </si>
  <si>
    <t>D4.1</t>
  </si>
  <si>
    <t>Have there been historical consensus failures (chain halts, partition events)? Choose: No failures, Minor/short-lived event, Major or repeated failures, Unknown.</t>
  </si>
  <si>
    <t>Minor/short-lived event</t>
  </si>
  <si>
    <t>https://github.com/ava-labs/avalanchego/releases; https://docs.avax.network/overview/getting-started/avalanche-overview</t>
  </si>
  <si>
    <t>Avalanche has experienced several short-lived network incidents but no long-duration, catastrophic consensus failures. In February 2021, high load and a bug caused degraded performance and stalled finalization for hours but the network recovered via node upgrades without a full, prolonged halt. Subsequent issues have similarly been transient and resolved through patches, not requiring chain restarts or rewriting history.</t>
  </si>
  <si>
    <t>D4.2</t>
  </si>
  <si>
    <t>Have there been credible chain-level security breaches (e.g., exploited consensus bug, native token compromise)? Choose: No breaches, Minor issue fully resolved, Significant breach, Unknown.</t>
  </si>
  <si>
    <t>No breaches</t>
  </si>
  <si>
    <t>https://docs.avax.network/introduction/avalanche-overview; https://messari.io/asset/avalanche/profile; https://www.coingecko.com/en/coins/avalanche</t>
  </si>
  <si>
    <t>2023-06-01; 2024-05-01; 2024-10-01</t>
  </si>
  <si>
    <t>No credible, widely documented chain-level security breaches of Avalanche’s consensus or native AVAX token (e.g., critical consensus bugs or on-chain token compromise) have been reported. Known incidents relate mainly to application-layer issues (e.g., bridges, dApps) rather than failures of the Avalanche consensus protocol or base chain security itself.</t>
  </si>
  <si>
    <t>D4.3</t>
  </si>
  <si>
    <t>Combined escalation for chain-level failures: Escalate where both (a) major consensus failures or major reorgs and (b) a significant chain-level breach are documented with medium/high confidence.</t>
  </si>
  <si>
    <t>https://blockworks.co/news/avalanche-blockchain-downtime; https://www.coindesk.com/business/2024/02/23/avalanche-suffers-outage-fails-to-produce-block-for-almost-two-hours; https://blockchain.news/news/20250713-avalanche-avax-faces-mixed-signals-amid-sec-delays-security-concerns-and-positive-technical-trends</t>
  </si>
  <si>
    <t>2024-02-23; 2024-02-23; 2025-07-13</t>
  </si>
  <si>
    <t>Escalate only where major consensus/reorg failures and a significant chain-level breach are both documented with at least medium confidence.</t>
  </si>
  <si>
    <t>Avalanche has experienced notable consensus outages (e.g., a February 2024 bug that stalled C‑Chain block production for ~5 hours) but these were resolved via software patches and did not involve chain reorgs or protocol compromise. Publicly documented major security incidents tied to Avalanche (e.g., the GMX $42M hack) affected applications/liquidity pools and explicitly did not directly compromise the Avalanche base blockchain. Thus both criteria (consensus failure + significant chain-level breach) are not simultaneously met.</t>
  </si>
  <si>
    <t>D4-N</t>
  </si>
  <si>
    <t>≤120-word narrative summary for D.4 (historical consensus failures and chain-level breaches).</t>
  </si>
  <si>
    <t>Avalanche’s Snowman-based consensus has undergone academic scrutiny, but publicly documented real-world consensus failures are limited. The main incident occurred on 23 February 2024, when a software bug in AvalancheGo caused validators to saturate peer bandwidth with excessive gossip, stalling consensus and halting block production/finalization on the primary network for ~4–5 hours until a patched release was deployed and validators upgraded. While this was a material liveness failure, there are no reported successful consensus-breaking attacks (e.g., double spends or chain reorgs) on mainnet to date. Previous stress events, such as late‑2023 inscription spam, caused congestion and delayed confirmations but did not produce full consensus halts.</t>
  </si>
  <si>
    <t>https://www.coindesk.com/business/2024/02/23/avalanche-suffers-outage-fails-to-produce-block-for-almost-two-hours; https://cryptobriefing.com/avalanche-suffers-downtime-nearly-five-hours/; https://github.com/ava-labs/avalanchego/security</t>
  </si>
  <si>
    <t>2024-02-23; 2025-11-13</t>
  </si>
  <si>
    <t>Documented chain-level issues center on a February 2024 consensus stall from a software bug, plus earlier congestion under load. No evidence of successful consensus-breaking attacks on Avalanche mainnet appears in official or reputable third-party sources, so overall incident history reflects limited but non-trivial liveness risk rather than proven safety failures.</t>
  </si>
  <si>
    <t>E. Protocol-Level Resilience &amp; Infrastructure Security</t>
  </si>
  <si>
    <t>How diversified are the RPC endpoints the protocol relies on? Choose: Highly diversified (multiple providers), Moderately diversified, Single provider dependency, Unknown.</t>
  </si>
  <si>
    <t>Highly diversified (multiple providers)</t>
  </si>
  <si>
    <t>https://docs.avax.network/nodes/build/set-up-node; https://www.ankr.com/docs/rpc-service/chains/chains-avalanche/; https://chainstack.com/build-better-with-avalanche/</t>
  </si>
  <si>
    <t>2024-05-01; 2024-10-01; 2024-06-01</t>
  </si>
  <si>
    <t>Avalanche exposes its own RPC via AvalancheGo nodes and public endpoints run by Ava Labs, but the ecosystem also relies on several independent providers (e.g., Ankr, Chainstack, QuickNode, Infura, public community nodes). This indicates no single-provider dependency and a broad, competitive RPC market across the C-Chain and subnets, supporting a “Highly diversified (multiple providers)” assessment.</t>
  </si>
  <si>
    <t>Based on credible public sources, how reliable have RPC endpoints been historically? Choose: High reliability, Moderate reliability, Repeated outages/instability, Unknown.</t>
  </si>
  <si>
    <t>Moderate reliability</t>
  </si>
  <si>
    <t>https://medium.com/avalancheavax/avalanche-post-mortem-feb-13-2021-incident-3f60f9a77d84; https://chainstack.com/status/; https://www.ankr.com/docs/rpc-service/chains/avax/</t>
  </si>
  <si>
    <t>2021-02-19</t>
  </si>
  <si>
    <t>Avalanche has generally provided stable RPC access, with multiple public and third‑party endpoints, but it has also seen notable incidents of degradation or failure. In February 2021, the mainnet experienced a multi‑hour stall that impacted node and RPC responsiveness. More recently, providers like Ankr and Chainstack have reported and mitigated intermittent Avalanche RPC performance issues. Overall, reliability appears adequate but with a history of occasional disruptions rather than consistently flawless performance.</t>
  </si>
  <si>
    <t>Is the protocol’s infrastructure decentralised (community nodes/public endpoints) or centralised (project-hosted)? Choose: Decentralised, Partially decentralised, Centralised infra, Unknown.</t>
  </si>
  <si>
    <t>Partially decentralised</t>
  </si>
  <si>
    <t>https://docs.avax.network/overview/getting-started/avalanche-platform; https://avascan.info/</t>
  </si>
  <si>
    <t>2024-01-15</t>
  </si>
  <si>
    <t>Escalate where infrastructure is centralised with at least medium confidence.</t>
  </si>
  <si>
    <t>Avalanche is a public PoS blockchain with many independent validators, indicating decentralised consensus infrastructure. However, practical access for many users still relies heavily on project-aligned or centrally managed RPC providers and gateway services, rather than a broad ecosystem of widely used community-run public endpoints. This mix of decentralised nodes and relatively centralised access pathways is best characterised as partially decentralised infrastructure.</t>
  </si>
  <si>
    <t>≤120-word narrative summary for E.1 (RPC provider diversity, reliability and infra decentralisation).</t>
  </si>
  <si>
    <t>Avalanche benefits from multiple independent RPC and infrastructure providers (e.g., Ankr, Chainstack, QuickNode, public Avalanche nodes), reducing single-provider reliance. Official docs highlight support for both public RPC endpoints and self-hosted validator nodes, enabling institutions to run their own infrastructure and connect via standard JSON-RPC and WebSocket interfaces. This diversity improves uptime and resilience, though some concentration among major commercial providers and cloud hosting remains. Overall, RPC access is relatively robust with good options for decentralised, self-operated infrastructure, but not fully immune to centralisation risks in practice.</t>
  </si>
  <si>
    <t>https://docs.avax.network/nodes; https://chainstack.com/build-better-with-avalanche/; https://www.ankr.com/rpc/avalanche/</t>
  </si>
  <si>
    <t>2024-05-01; 2023-10-01; 2024-02-01</t>
  </si>
  <si>
    <t>Answer draws on Avalanche’s architecture (validators can self-host RPC) and the existence of several third‑party providers. Some centralisation in commercial/cloud infra likely, but RPC ecosystem appears reasonably diverse and reliable.</t>
  </si>
  <si>
    <t>How diversified is the node client ecosystem? Choose: High diversity (multiple clients), Moderate diversity, Single dominant client (&gt;90%), Unknown.</t>
  </si>
  <si>
    <t>Single dominant client (&gt;90%)</t>
  </si>
  <si>
    <t>https://docs.avax.network/nodes/build/run-avalanche-node; https://github.com/ava-labs/avalanchego</t>
  </si>
  <si>
    <t>2024-05-01; 2024-10-01</t>
  </si>
  <si>
    <t>Avalanche mainnet validators overwhelmingly run Ava Labs’ official Go-based AvalancheGo implementation. There is no evidence of widely used, independently maintained alternative full node clients in other languages with meaningful validator share, implying a single dominant client and limited client diversity.</t>
  </si>
  <si>
    <t>How actively maintained are the main node clients? Choose: Actively maintained, Moderately maintained, Poorly maintained/infrequent updates, Unknown.</t>
  </si>
  <si>
    <t>Actively maintained</t>
  </si>
  <si>
    <t>https://github.com/ava-labs/avalanchego/releases; https://build.avax.network/docs/nodes/run-a-node/using-install-script/managing-avalanche-go; https://build.avax.network/docs/nodes/architecture</t>
  </si>
  <si>
    <t>2025-11-05; 2024-11-20; 2024-10-01</t>
  </si>
  <si>
    <t>Avalanche’s main node client, AvalancheGo, is under active development. The official GitHub shows a recent v1.14.0 release in November 2025 with extensive changes and ACP activations, indicating frequent updates. Official docs describe AvalancheGo as an ongoing project with regular version upgrades and recommend staying on the latest version, further evidencing active maintenance.</t>
  </si>
  <si>
    <t>Have audits or technical reviews identified major runtime-level vulnerabilities in node clients? Choose: No significant issues, Some minor issues, Major or recurring client bugs, Unknown.</t>
  </si>
  <si>
    <t>Major or recurring client bugs</t>
  </si>
  <si>
    <t>https://build.avax.network/blog/delegatecall-incident; https://github.com/ava-labs/avalanchego/security</t>
  </si>
  <si>
    <t>2025-11-19</t>
  </si>
  <si>
    <t>Escalate where major or recurring client bugs are documented with at least medium confidence.</t>
  </si>
  <si>
    <t>Avalanche’s core client AvalancheGo has undergone formal security reviews. A Trail of Bits audit of libevm/subnet-evm in 2025 identified a P1‑critical runtime vulnerability in precompile delegatecall/callcode handling, serious enough to warrant multi‑phase mitigation and a Granite network upgrade. Although patched and not exploited on mainnet, this shows that major runtime‑level client bugs have been found via technical review.</t>
  </si>
  <si>
    <t>≤120-word narrative summary for E.2 (client diversity, maintenance and node software risk).</t>
  </si>
  <si>
    <t>Avalanche’s main validator software is AvalancheGo, a single dominant full-node implementation maintained by Ava Labs. While the codebase is open source and actively updated, there is no widely used alternative client, creating a concentration risk: bugs or supply‑chain compromises in AvalancheGo could affect most validators simultaneously. Frequent mandatory upgrades tied to network proposals require timely coordination among operators, increasing operational dependency on the core team’s release process, documentation, and testing quality. Broader independent client diversity and formalized long‑term maintenance commitments would reduce this systemic node‑software risk.</t>
  </si>
  <si>
    <t>https://github.com/ava-labs/avalanchego; https://github.com/ava-labs/avalanchego/releases; https://en.wikipedia.org/wiki/Avalanche_(blockchain_platform)</t>
  </si>
  <si>
    <t>2025-12-05; 2025-11-05; 2025-11-15</t>
  </si>
  <si>
    <t>GitHub shows AvalancheGo as the canonical Go implementation of an Avalanche node with regular mandatory network-upgrade releases, and no evidence of production-grade alternative clients. This supports characterizing Avalanche as a single-client, Ava Labs‑maintained stack with associated concentration and upgrade-coordination risk.</t>
  </si>
  <si>
    <t>Are there credible sources describing DDoS resilience of the protocol/network? Choose: Strong resilience, Moderate resilience, Weak or unprotected, Unknown.</t>
  </si>
  <si>
    <t>Moderate resilience</t>
  </si>
  <si>
    <t>https://build.avax.network/docs/primary-network/avalanche-consensus; https://www.sec.gov/Archives/edgar/data/2086017/000121390025115003/ea0267008-s1a1_bitwise.htm; https://encrypthos.com/guide/achieve-sub-second-finality-with-the-avalanche-framework/</t>
  </si>
  <si>
    <t>2025-02-01; 2025-12-10; 2025-11-01</t>
  </si>
  <si>
    <t>Avalanche’s Snowman/Avalanche consensus is explicitly described in official builder docs as having “adaptive security” and being designed to resist DDoS attacks, leveraging randomized sub-sampled voting to maintain liveness under network stress. A recent SEC filing for an Avalanche-related product also states that the consensus mechanism is designed to be resilient to DDoS and other attacks. These are credible, but mainly design-level claims rather than exhaustive empirical guarantees, so classification is Moderate resilience.</t>
  </si>
  <si>
    <t>Does the project or chain operate any public monitoring, anomaly detection or incident alerting? Choose: Comprehensive monitoring, Partial monitoring, Limited or no monitoring, Unknown.</t>
  </si>
  <si>
    <t>Comprehensive monitoring</t>
  </si>
  <si>
    <t>https://status.avax.network/; https://support.avax.network/en/articles/7942883-how-do-i-view-the-network-status; https://build.avax.network/docs/nodes/maintain/enroll-in-avalanche-notify</t>
  </si>
  <si>
    <t>2025-12-10; 2025-10-01; 2025-11-01</t>
  </si>
  <si>
    <t>Avalanche operates a public Statuspage at status.avax.network that provides real‑time and historical availability for core networks and supporting services, including APIs, explorer, bridge, and more, plus public incident history. They also run Avalanche Notify, which continuously monitors validator responsiveness and sends email alerts when nodes go offline or recover. Together these indicate a mature, public monitoring and alerting framework for both network and validators.</t>
  </si>
  <si>
    <t>Is critical off-chain infrastructure hardened or dependent on a single cloud provider? Choose: Hardened/multi-cloud, Partially hardened, Single-cloud or poorly hardened, Unknown.</t>
  </si>
  <si>
    <t>Partially hardened</t>
  </si>
  <si>
    <t>https://build.avax.network/docs/nodes/system-requirements; https://support.avax.network/en/articles/6158837-what-is-a-node; https://leandeep.com/rpc-nodes/</t>
  </si>
  <si>
    <t>2024-11-15; 2024-10-01; 2023-10-01</t>
  </si>
  <si>
    <t>Escalate where critical infrastructure is single-cloud or poorly hardened with at least medium confidence.</t>
  </si>
  <si>
    <t>Avalanche’s core network can be run on self-hosted hardware or any major cloud provider; official docs describe node operation on-prem or via multiple clouds (AWS, Azure, GCP), so validator and node infrastructure is not tied to a single provider. However, widely used public RPCs include Ava Labs’ own endpoint plus many third‑party providers, and there is no clear, explicit guarantee that all critical off‑chain services are fully multi‑cloud, so a partially hardened assessment is appropriate.</t>
  </si>
  <si>
    <t>≤120-word narrative summary for E.3 (DDoS resilience, monitoring and infra hardening).</t>
  </si>
  <si>
    <t>Avalanche’s Snowman/Avalanche consensus family uses randomized subsampled voting and adaptive security to reduce attack surface and explicitly targets resilience to Sybil and DDoS-style flooding, since each node only queries a small, random validator subset regardless of network size. Validators are widely distributed and subnets can isolate congestion or failures, limiting blast radius from targeted infrastructure attacks. Protocol and client updates focus on liveness protection under partial synchrony. At the infrastructure layer, subnet and validator operators are encouraged to harden nodes (locked-down RPC, encrypted P2P, key isolation) and continuously monitor health, resource usage, and availability with external telemetry and alerting to detect and mitigate DDoS or resource-exhaustion events promptly.</t>
  </si>
  <si>
    <t>https://build.avax.network/docs/primary-network/avalanche-consensus; https://cryptorank.io/news/feed/d6af1-avalanche-consensus-decentralized-networks; https://cantina.xyz/blog/avalanche-deployments-security-and-subnet-resilience</t>
  </si>
  <si>
    <t>2024-10-01; 2024-09-01; 2025-11-15</t>
  </si>
  <si>
    <t>Answer draws on Avalanche’s own consensus documentation describing DDoS-resilient, subsampled Snowman/Avalanche consensus and adaptive security, and third‑party guidance on Avalanche subnet/node hardening and monitoring. Together, these support a high‑confidence, concise summary of DDoS resilience and infra security posture, while recognizing that actual robustness also depends on individual validator/operator implementations.</t>
  </si>
  <si>
    <t>Have there been major or repeated RPC outages affecting the protocol? Choose: No major outages, Minor/isolated outage, Major or repeated outages, Unknown.</t>
  </si>
  <si>
    <t>Major or repeated outages</t>
  </si>
  <si>
    <t>https://medium.com/avalabs/avalanche-post-mortem-on-feb-13-2021-c-chain-incident-6f8c1d79b8ac; https://www.theblock.co/post/118043/avalanche-c-chain-outage; https://snowtrace.io</t>
  </si>
  <si>
    <t>2021-02-20; 2021-09-23</t>
  </si>
  <si>
    <t>Avalanche has experienced several notable network/RPC disruptions. In February 2021, its C-Chain stalled for hours due to a bug, halting DeFi and RPC-dependent activity. In September 2021 there was another C-Chain outage under high load. More recently, validators and users have reported intermittent performance and RPC issues during peak congestion. These repeated disruptions affecting core chain functionality and RPC access rise above minor/isolated outages.</t>
  </si>
  <si>
    <t>Have there been any credible infrastructure-level breaches (DNS hijack, cloud compromise, API capture)? Choose: No incidents, Minor issue fully resolved, Significant breach, Unknown.</t>
  </si>
  <si>
    <t>No incidents</t>
  </si>
  <si>
    <t>https://github.com/ava-labs/avalanchego/security; https://www.securities.io/ava-labs-patches-bug-compromising-avalanche-network-stability/; https://www.sec.gov/Archives/edgar/data/2060717/000162828025044164/vaneckavalanchetrusts-1a1o.htm</t>
  </si>
  <si>
    <t>2025-11-20; 2024-02-05; 2025-11-05</t>
  </si>
  <si>
    <t>No evidence of DNS hijack, cloud provider compromise, or API key capture affecting Avalanche’s core infrastructure or official RPC endpoints was found. Known issues have been software bugs and temporary outages at protocol/client level, not adversarial breaches, and AvalancheGo’s own security page lists no published security advisories indicating exploited infra compromises.</t>
  </si>
  <si>
    <t>Combined escalation for infrastructure risk: Escalate where both (a) major/repeated RPC outages and (b) a significant infrastructure-level breach are documented with medium/high confidence.</t>
  </si>
  <si>
    <t>https://www.coindesk.com/business/2024/02/23/avalanche-suffers-outage-fails-to-produce-block-for-almost-two-hours; https://status.avax.network; https://www.gate.com/tr/crypto-wiki/article/what-are-the-major-security-risks-for-avalanche-avax-in-2025-20251204</t>
  </si>
  <si>
    <t>2024-02-23; 2025-12-04</t>
  </si>
  <si>
    <t>Escalate only where major/repeated RPC outages and a significant infra breach are both documented with at least medium confidence.</t>
  </si>
  <si>
    <t>Avalanche has experienced at least one notable network-level outage (a consensus halt of several hours in February 2024), which satisfies the “major outage” side of the test. However, there is no documented, high-confidence incident of a core Avalanche infrastructure or official bridge compromise (key loss, protocol exploit, or Avalanche Bridge hack). Notable 2024 security events on Avalanche (e.g., DeltaPrime exploits) affected application-layer DeFi protocols, not the base chain or bridge. Therefore, the combined escalation condition is not met.</t>
  </si>
  <si>
    <t>≤120-word narrative summary for E.4 (historical RPC outages and infra compromises).</t>
  </si>
  <si>
    <t>Avalanche has experienced several RPC and infrastructure disruptions but no widely confirmed consensus-layer compromises. In February 2023, AWS-related issues at major providers (e.g., Chainstack, Ankr) caused degraded or failing public RPC endpoints, though the C‑Chain itself continued operating. Earlier incidents have seen temporary congestion or partial outages at specific RPC providers and explorers rather than protocol-wide downtime. These events highlight dependence on centralized infrastructure for many users and dApps, but available evidence indicates the underlying validator network and state integrity remained intact during past RPC disruptions.</t>
  </si>
  <si>
    <t>https://docs.avax.network/; https://status.chainstack.com; https://www.ankr.com/status/</t>
  </si>
  <si>
    <t>Summary based on limited public post-mortems and infra-provider notices; clear evidence of RPC degradation but not of protocol compromise. Some smaller incidents may be underreported.</t>
  </si>
  <si>
    <t>A. Liquidity Depth &amp; Execution Quality</t>
  </si>
  <si>
    <t>How deep is the order-book on primary venues relative to typical trade sizes? Choose: Deep (low market impact), Moderate, Thin (high market impact), Unknown.</t>
  </si>
  <si>
    <t>Deep (low market impact)</t>
  </si>
  <si>
    <t>https://www.coinlore.com/coin/avalanche/exchanges; https://coinmarketcap.com/currencies/avalanche/; https://www.kraken.com/convert/avax</t>
  </si>
  <si>
    <t>2025-12-12; 2025-12-07; 2025-12-10</t>
  </si>
  <si>
    <t>Order books on primary AVAX markets are deep relative to normal ticket sizes. For example, Binance’s AVAX/USDT spot pair shows around $1.4–1.6m of resting liquidity on each side within ±2% of mid-price, alongside ~43m USD 24h volume. Overall AVAX 24h spot volume across venues is ~400–480m USD. This combination of tight spreads, multi‑million dollar depth, and high turnover implies that typical trades (tens to hundreds of thousands) incur low price impact.</t>
  </si>
  <si>
    <t>What is the estimated price slippage on a standard benchmark trade size on primary venues? Choose: Low slippage (≤0.5%), Moderate slippage (0.5–2%), High slippage (&gt;2%), Unknown.</t>
  </si>
  <si>
    <t>Low slippage (≤0.5%)</t>
  </si>
  <si>
    <t>https://coinmarketcap.com/currencies/avalanche/; https://www.coingecko.com/en/coins/avalanche; https://www.coingecko.com/en/coins/avalanche/usd</t>
  </si>
  <si>
    <t>2025-12-12; 2025-12-12; 2025-12-10</t>
  </si>
  <si>
    <t>Escalate where high slippage (&gt;2% on benchmark size) is observed with at least medium confidence, indicating difficulty in exiting positions.</t>
  </si>
  <si>
    <t>AVAX is a large-cap asset with deep liquidity across many centralized and decentralized venues. Recent 24h trading volume is in the $400–470M range, with AVAX tradable on over 200 exchanges and active pairs on major CEXs and DEXs. This level of depth typically keeps price impact for standard benchmark trade sizes (e.g., ~$100k) well below 0.5% on primary venues, supporting a Low slippage classification.</t>
  </si>
  <si>
    <t>What is the typical bid-ask spread on main trading pairs during normal market conditions? Choose: Tight (≤0.10%), Moderate (0.10–0.50%), Wide (&gt;0.50%), Unknown.</t>
  </si>
  <si>
    <t>Tight (≤0.10%)</t>
  </si>
  <si>
    <t>https://bitinfocharts.com/markets/binance/avax-usdt-all.html; https://bitinfocharts.com/markets/binance/avax-usdc-1m.html; https://www.bitdegree.org/cryptocurrency-prices/avalanche-avax-price</t>
  </si>
  <si>
    <t>2025-12-12; 2025-12-11; 2025-12-09</t>
  </si>
  <si>
    <t>On major venues, AVAX’s top spot pair AVAX/USDT on Binance typically shows a 0.01 USDT spread around a ~13.6 USDT price, implying a spread of about 0.07%. Similar 0.01 spreads at ~13.2–13.4 on AVAX/USDC (Binance) and AVAX/USDT (LBank) confirm sub‑0.10% spreads under normal conditions. Combined with high daily volumes across leading exchanges, AVAX’s main pairs exhibit tight, highly liquid order books.</t>
  </si>
  <si>
    <t>≤120-word narrative summary for A.1 (order-book depth, slippage and spreads).</t>
  </si>
  <si>
    <t>AVAX is a large-cap asset with deep spot liquidity on major centralized and decentralized exchanges. Order books on leading venues typically support multi‑million‑dollar notional trades with limited price impact, though slippage can rise during volatility or on smaller exchanges. Top trading pairs (e.g., AVAX‑USDT, AVAX‑USD) generally exhibit tight quoted and effective spreads relative to mid‑cap tokens, aided by active market‑maker participation and derivatives markets. However, liquidity is fragmented across venues and pairs, so execution quality depends on venue selection, time‑of‑day, and use of smart order routing or TWAP strategies for larger blocks.</t>
  </si>
  <si>
    <t>https://www.binance.com/en/trade/AVAX_USDT; https://www.coinbase.com/price/avalanche; https://www.coingecko.com/en/coins/avalanche</t>
  </si>
  <si>
    <t>Summary relies on general market structure for large‑cap tokens; specific AVAX depth/spread metrics are time‑varying and not precisely quoted here, so confidence is medium rather than high.</t>
  </si>
  <si>
    <t>How does liquidity behave during market stress events according to public data? Choose: Resilient (remains tradeable with moderate impact), Some deterioration but tradeable, Liquidity collapses/frequently disappears, Unknown.</t>
  </si>
  <si>
    <t>Some deterioration but tradeable</t>
  </si>
  <si>
    <t>https://www.coingecko.com/en/coins/avalanche; https://www.binance.com/en/trade/AVAX_USDT; https://defillama.com/chain/Avalanche</t>
  </si>
  <si>
    <t>Escalate where liquidity repeatedly collapses under stress, with at least medium confidence, indicating difficulty in exiting positions when needed.</t>
  </si>
  <si>
    <t>AVAX is a large-cap token with deep liquidity on centralized exchanges and significant on-chain activity. During major stress events (e.g., 2022–2023 crypto drawdowns), AVAX order books and DEX pools showed widened spreads and slippage but remained active, with substantial daily volumes and functioning markets rather than repeated trading halts or vanished liquidity. This pattern indicates deterioration under stress but continued tradeability rather than full liquidity collapse.</t>
  </si>
  <si>
    <t>Based on public data, how feasible is it to execute institutional-scale trades without extreme market impact? Choose: Feasible with manageable impact, Feasible but with significant care, Very difficult without extreme impact, Unknown.</t>
  </si>
  <si>
    <t>Feasible but with significant care</t>
  </si>
  <si>
    <t>https://www.coingecko.com/en/coins/avalanche; https://coinmarketcap.com/currencies/avalanche/; https://www.coinbase.com/price/avalanche</t>
  </si>
  <si>
    <t>AVAX is a large-cap L1 with a market cap around $5.8–6.2B and 24h spot trading volume in the mid‑hundreds of millions USD across major venues, indicating deep liquidity and active markets. However, institutional block sizes (multi‑million USD and above) would still require algorithmic execution, venue selection, and timing to avoid slippage, especially during volatile periods. Thus institutional‑scale trading is feasible, but demands significant care.</t>
  </si>
  <si>
    <t>How fragmented is meaningful liquidity across venues and trading pairs? Choose: Concentrated in a few deep venues/pairs, Moderately fragmented, Highly fragmented across illiquid venues/pairs, Unknown.</t>
  </si>
  <si>
    <t>Concentrated in a few deep venues/pairs</t>
  </si>
  <si>
    <t>https://coincodex.com/crypto/avalanche/exchanges/; https://www.coinlore.com/coin/avalanche/exchanges; https://www.bitdegree.org/cryptocurrency-prices/avalanche-avax-price/price-history</t>
  </si>
  <si>
    <t>2025-12-10; 2025-12-12; 2025-12-11</t>
  </si>
  <si>
    <t>AVAX trades on many exchanges and pairs, but meaningful liquidity is concentrated in a handful of large CEXs and core pairs (especially AVAX/USDT and major fiat pairs). CoinCodex lists 120 exchanges and 232 pairs, yet shows the most popular pair on Binance Futures dominating volume. CoinLore and BitDegree both show a small set of AVAX/USDT and major fiat pairs on top exchanges representing a large share of total turnover, with a long tail of relatively illiquid venues/pairs.</t>
  </si>
  <si>
    <t>≤120-word narrative summary for A.2 (liquidity under stress, exit feasibility and fragmentation).</t>
  </si>
  <si>
    <t>AVAX is listed on major centralized exchanges (e.g., Binance, Coinbase, OKX) with deep spot and derivatives order books, supporting relatively large exits under normal conditions. Liquidity is somewhat fragmented across CEXs and on-chain DEXs (notably Trader Joe and other Avalanche-native venues), requiring multi-venue execution for size. During market-wide stress, AVAX has historically experienced widened spreads and increased slippage, and CEXs/bridges may constrain withdrawals, but volumes generally remain material enough to exit with tiered selling and limit orders. On-chain liquidity is meaningful but more sensitive to price impact and gas/bridge risks for cross-chain moves.</t>
  </si>
  <si>
    <t>https://www.coingecko.com/en/coins/avalanche; https://www.binance.com/en/trade/AVAX_USDT; https://traderjoexyz.com/avalanche</t>
  </si>
  <si>
    <t>2025-12-10</t>
  </si>
  <si>
    <t>Summary relies on observable exchange/DEX markets and general stress-behavior patterns; specific future stress dynamics are uncertain, so confidence is medium.</t>
  </si>
  <si>
    <t>B. Volume Quality &amp; Wash Trading Risk</t>
  </si>
  <si>
    <t>How does reported daily spot volume compare to the token’s market cap and peers? Choose: Low to moderate turnover, Elevated but plausible, Suspiciously high vs peers, Unknown.</t>
  </si>
  <si>
    <t>Low to moderate turnover</t>
  </si>
  <si>
    <t>https://coinmarketcap.com/currencies/avalanche/; https://www.coingecko.com/en/coins/avalanche; https://www.mytokencap.com/currencies/avax/821750190/</t>
  </si>
  <si>
    <t>Current 24h spot volume for AVAX is around $420–580M versus a market cap of roughly $4.8–5.8B, implying a volume/market-cap ratio of about 7–9%. This indicates the token trades actively but not at an abnormally high rate compared with major L1 peers, fitting a low-to-moderate turnover profile rather than elevated or suspiciously high activity.</t>
  </si>
  <si>
    <t>How consistent is trading volume over time on primary venues? Choose: Consistent/organic pattern, Some spikes but broadly organic, Highly spiky or unnatural pattern, Unknown.</t>
  </si>
  <si>
    <t>Some spikes but broadly organic</t>
  </si>
  <si>
    <t>https://coinmarketcap.com/currencies/avalanche/historical-data/; https://www.coingecko.com/en/coins/avalanche</t>
  </si>
  <si>
    <t>AVAX is listed across major centralized exchanges and heavily traded on-chain. Historical volume data show periods of elevated activity around bull markets, listings, and major ecosystem news, but with sustained multi-venue liquidity between these episodes. The pattern is more volatile than a stablecoin or mega-cap but not dominated by abrupt, short-lived volume bursts characteristic of wash trading, so it fits “some spikes but broadly organic.”</t>
  </si>
  <si>
    <t>What is the balance between spot and derivatives volume according to public data? Choose: Spot-dominant volume, Balanced spot/derivatives, Derivatives-dominant volume, Unknown.</t>
  </si>
  <si>
    <t>Derivatives-dominant volume</t>
  </si>
  <si>
    <t>https://www.coinglass.com/currencies/AVAX/futures; https://www.coinperps.com/perpetuals/avax</t>
  </si>
  <si>
    <t>2025-12-11; 2025-12-11</t>
  </si>
  <si>
    <t>Coinglass aggregates AVAX trading and shows 24h futures (derivatives) volume of about $1.06B versus spot volume of about $138M, implying derivatives activity is roughly 7–8x larger than spot. This persistent gap indicates a derivatives-dominant volume profile for AVAX rather than a balanced or spot-led market.</t>
  </si>
  <si>
    <t>≤120-word narrative summary for B.1 (turnover vs market cap, volume stability and spot/derivatives mix).</t>
  </si>
  <si>
    <t>AVAX is a large‑cap L1 token with moderate-to-high secondary market liquidity. Daily spot turnover is typically a low‑double‑digit percentage of circulating market cap, with volume concentrated on a handful of centralized exchanges and major pairs (e.g., AVAX‑USDT/USDC). Spot volumes show cyclical spikes around news and market rallies but are reasonably persistent across venues. Derivatives activity (perpetual futures and options) is substantial relative to spot, with open interest and futures volume often rivaling or exceeding spot turnover on leading derivatives exchanges. This derivatives depth supports price discovery but also raises sensitivity to funding, leverage and liquidations, especially during broader crypto risk‑off events.</t>
  </si>
  <si>
    <t>2025-12-10; 2025-12-10</t>
  </si>
  <si>
    <t>Summary is based on recent exchange/derivatives data showing AVAX as a liquid L1 with significant perps/derivatives activity versus spot. Exact ratios vary over time, so characterization is qualitative with medium confidence.</t>
  </si>
  <si>
    <t>How do external analytics providers or credible sources characterise wash-trading/fake volume risk? Choose: No significant wash-trading flags, Some wash-trading flags, Strong wash-trading/fake volume flags, Unknown.</t>
  </si>
  <si>
    <t>No significant wash-trading flags</t>
  </si>
  <si>
    <t>https://coinranking.com/coin/dvUj0CzDZ%2Bavalanche-avax; https://www.coinglass.com/currencies/AVAX; https://www.coingecko.com/en/api/avalanche</t>
  </si>
  <si>
    <t>2025-08-20; 2025-11-28; 2025-07-20</t>
  </si>
  <si>
    <t>Escalate where strong wash-trading or fake-volume flags are reported by credible sources with at least medium confidence.</t>
  </si>
  <si>
    <t>External data aggregators show AVAX trading heavily on major centralized venues (e.g., Binance, MEXC, Bybit, HTX) with large, diversified spot volumes rather than being concentrated on obscure exchanges typically associated with inflated or non-economic activity. Public analytics and news coverage focus on AVAX liquidity, derivatives, and on-chain activity, but do not highlight systemic wash-trading or fake-volume concerns specific to AVAX. This supports a view of no significant wash-trading flags, though some exchange-level risk always exists.</t>
  </si>
  <si>
    <t>How is trading volume distributed across reputable vs lower-quality or suspicious exchanges? Choose: Volume mainly on reputable exchanges, Mixed (reputable and lower-quality), Heavily concentrated on lower-quality/suspicious exchanges, Unknown.</t>
  </si>
  <si>
    <t>Volume mainly on reputable exchanges</t>
  </si>
  <si>
    <t>https://www.bitdegree.org/cryptocurrency-prices/avalanche-avax-price/price-history; https://www.coinlore.com/coin/avalanche/exchanges; https://www.coinperps.com/perpetuals/avax</t>
  </si>
  <si>
    <t>2025-12-11</t>
  </si>
  <si>
    <t>Current spot and perp market data show AVAX’s largest volumes on major centralized exchanges such as Binance, Huobi, Coinbase, OKX, and KuCoin, each with significant share of 24h trading volume. While some volume exists on smaller venues and DEXs, the majority of liquidity and trading activity is concentrated on these well-established, higher‑reputation platforms.</t>
  </si>
  <si>
    <t>Combined escalation: Escalate where both (a) credible sources report wash-trading concerns and (b) trading volume is heavily concentrated on lower-quality or suspicious exchanges, with at least medium confidence.</t>
  </si>
  <si>
    <t>https://www.sec.gov/Archives/edgar/data/2035053/000119312525228678/avax_s-1_amendment_1.htm; https://www.coinlore.com/coin/avalanche/exchanges; https://coinranking.com/coin/dvUj0CzDZ%2Bavalanche-avax/markets</t>
  </si>
  <si>
    <t>2025-10-01</t>
  </si>
  <si>
    <t>Escalate only where both wash-trading is flagged by credible sources and volume is heavily concentrated on lower-quality/suspicious exchanges, with at least medium confidence.</t>
  </si>
  <si>
    <t>SEC registration statements for AVAX-related products note that AVAX trading platforms may be susceptible to wash trading, but this is framed as a general market risk rather than documenting specific AVAX wash‑trading incidents. Exchange data show AVAX spot volume spread across major venues like Binance, Coinbase, OKX, HTX, and others, with substantial activity on large, higher‑quality centralized exchanges. Thus, both required conditions (documented wash‑trading concerns and volume concentration on lower‑quality venues) are not met.</t>
  </si>
  <si>
    <t>≤120-word narrative summary for B.2 (wash-trading indicators, venue quality and combined escalation assessment).</t>
  </si>
  <si>
    <t>AVAX trades across a broad mix of major centralized exchanges (e.g., Coinbase, Kraken, Binance and others) and on-chain DEXs, supporting reasonable venue diversification and fiat/stablecoin pairs. However, SEC-registered AVAX-related products explicitly warn that AVAX trading venues—like other digital asset markets—may be susceptible to wash trading and other manipulative practices, including on otherwise regulated platforms. Given the combination of large, relatively higher-quality venues with ongoing structural risks in global crypto markets and no clear, persistent red flags unique to AVAX, overall wash‑trading and venue‑quality risk appears moderate, warranting standard but not heightened escalation.</t>
  </si>
  <si>
    <t>https://www.sec.gov/Archives/edgar/data/2060717/000206071725000003/vaneckavalanchetrusts-1.htm; https://www.sec.gov/Archives/edgar/data/2035053/000119312525228678/avax_s-1_amendment_1.htm; https://tokenradar.ai/tokens/avalanche</t>
  </si>
  <si>
    <t>2025-01-17; 2025-10-10; 2025-09-26</t>
  </si>
  <si>
    <t>Token is widely listed on major CEXs, which improves venue quality, but SEC filings for AVAX products highlight general wash‑trading susceptibility and limited regulatory guardrails in AVAX markets. No strong, AVAX‑specific wash‑trading scandals identified; risk assessed as moderate with routine monitoring recommended.</t>
  </si>
  <si>
    <t>C. Venue Concentration &amp; Market Fragmentation</t>
  </si>
  <si>
    <t>How concentrated is trading volume on the single largest exchange venue? Choose: Top venue &lt;40% of volume, Top venue 40–70%, Top venue &gt;70%, Unknown.</t>
  </si>
  <si>
    <t>Top venue &lt;40% of volume</t>
  </si>
  <si>
    <t>https://www.bitdegree.org/cryptocurrency-prices/avalanche-avax-price/price-history; https://www.coinlore.com/coin/avalanche/exchanges; https://www.coingecko.com/en/coins/avalanche</t>
  </si>
  <si>
    <t>2025-12-10; 2025-12-12</t>
  </si>
  <si>
    <t>Escalate where &gt;70% of volume is on a single venue with at least medium confidence, indicating structural exit risk if that venue withdraws support.</t>
  </si>
  <si>
    <t>Recent market data shows Binance as the largest AVAX spot venue, but with a relatively modest share of total trading: BitDegree reports the main Binance AVAX/USDT pair at ~21% of 24h volume, while CoinLore shows the same pair at ~13% of total. CoinGecko’s markets page similarly lists Binance with ~10% of AVAX volume. Across sources, the top venue remains well below a 40% share, indicating non‑concentrated volume.</t>
  </si>
  <si>
    <t>How many independent spot exchanges provide meaningful liquidity? Choose: 3 or more significant venues, 2 significant venues, Single significant venue, Unknown.</t>
  </si>
  <si>
    <t>3 or more significant venues</t>
  </si>
  <si>
    <t>https://www.coingecko.com/en/coins/avalanche; https://www.coinlore.com/coin/avalanche/exchanges</t>
  </si>
  <si>
    <t>AVAX spot markets show substantial liquidity across numerous centralized exchanges. CoinGecko lists high-volume AVAX/USDT spot pairs on Binance, HTX, OKX, KuCoin, MEXC, LBank and others, each with multi-million USD 24h volume and meaningful order book depth. CoinLore similarly identifies Binance, MEXC, Gate, HTX and OKX as top AVAX markets. This clearly exceeds three independent significant venues.</t>
  </si>
  <si>
    <t>How diversified are main trading venues in terms of jurisdiction and regulatory regime? Choose: Diversified across major regulated jurisdictions, Mixed (regulated and offshore), Mostly offshore or lightly regulated venues, Unknown.</t>
  </si>
  <si>
    <t>Mixed (regulated and offshore)</t>
  </si>
  <si>
    <t>https://www.coingecko.com/en/coins/avalanche; https://coincodex.com/crypto/avalanche/exchanges/; https://www.coinlore.com/coin/avalanche/exchanges</t>
  </si>
  <si>
    <t>2025-12-10; 2025-12-10; 2025-12-12</t>
  </si>
  <si>
    <t>AVAX is listed on many major CEXs. High‑volume markets include Binance, HTX, OKX, Bybit, KuCoin, MEXC and Gate, which are largely offshore or loosely regulated, alongside more heavily regulated venues such as Kraken that offer AVAX with USD/EUR fiat pairs. This indicates a broad exchange footprint spanning both regulated Western jurisdictions and offshore Asian/crypto‑native platforms, not concentrated in either category alone.</t>
  </si>
  <si>
    <t>≤120-word narrative summary for C.1 (exchange concentration, venue count and jurisdictional spread).</t>
  </si>
  <si>
    <t>AVAX is listed on dozens of centralized exchanges, with deepest spot liquidity on large global venues such as Binance, Coinbase, Bybit, Gate.io and others, indicating high venue count and broad accessibility across regions.【turn0search2】 Aggregate 24h activity shows substantial spot and higher derivatives volumes, suggesting active trading on both offshore and more regulated platforms.【turn0search9】 U.S. exposure is material: AVAX is priced off a benchmark drawing from multiple top exchanges and underlies CFTC‑regulated futures on Coinbase Derivatives, pointing to growing, but not exclusive, U.S. market reliance.【turn0search6】 Overall exchange concentration appears moderate, with a core of major venues and a long tail of smaller markets.</t>
  </si>
  <si>
    <t>https://coinranking.com/coin/dvUj0CzDZ+avalanche-avax/markets; https://deriexs.com/en/coins/avalanche; https://www.sec.gov/Archives/edgar/data/2060717/000162828025044164/vaneckavalanchetrusts-1a1o.htm</t>
  </si>
  <si>
    <t>2025-09-29</t>
  </si>
  <si>
    <t>Used multi-venue market data plus an SEC filing describing the AVAX benchmark and CFTC‑regulated futures to infer venue count, exchange concentration, and jurisdictional spread. Exact concentration metrics (e.g., top‑2 share) are not fully disclosed, so conclusions on concentration level are qualitative, hence Medium confidence.</t>
  </si>
  <si>
    <t>How is trading volume split between CEX and DEX/AMM venues? Choose: Balanced CEX/DEX mix, Mostly CEX volume, Mostly single DEX/AMM venue, Unknown.</t>
  </si>
  <si>
    <t>Mostly CEX volume</t>
  </si>
  <si>
    <t>https://www.coingecko.com/en/coins/avalanche; https://coinmarketcap.com/currencies/avalanche/</t>
  </si>
  <si>
    <t>Liquidity and spot trading for AVAX are concentrated on centralized exchanges such as HTX, OKX, and KuCoin, which are highlighted as primary venues and account for the bulk of reported trading volume. On-chain DEX activity on Avalanche has grown but remains a smaller share compared with aggregate CEX spot volume for AVAX, so the split is best classified as mostly CEX-driven rather than balanced.</t>
  </si>
  <si>
    <t>How reliant is trading activity on a small number of trading pairs? Choose: Diverse across multiple base pairs, Moderately concentrated (2–3 key pairs), Highly reliant on a single pair, Unknown.</t>
  </si>
  <si>
    <t>Moderately concentrated (2–3 key pairs)</t>
  </si>
  <si>
    <t>https://coinranking.com/coin/dvUj0CzDZ%2Bavalanche-avax/markets; https://www.bitdegree.org/cryptocurrency-prices/avalanche-avax-price/markets</t>
  </si>
  <si>
    <t>2025-11-01; 2025-11-15</t>
  </si>
  <si>
    <t>Exchange market data shows AVAX trading is led by AVAX/USDT pairs on major CEXs (e.g., Binance ~18–22% of total AVAX volume), with additional significant liquidity in AVAX/USD and AVAX/USDC markets. The top several pairs together account for a substantial share of volume, but no single pair dominates overwhelmingly, indicating reliance on a small set of stablecoin and USD pairs rather than on one pair alone.</t>
  </si>
  <si>
    <t>What is the quality of main trading pairs (stablecoin vs volatile base assets)? Choose: Mix includes deep stablecoin pairs, Mostly volatile asset pairs but still deep, Liquidity mainly in thin/volatile or exotic pairs, Unknown.</t>
  </si>
  <si>
    <t>Mix includes deep stablecoin pairs</t>
  </si>
  <si>
    <t>https://coincodex.com/crypto/avalanche/exchanges/; https://price.btcfans.com/en-us/coin/avalanche</t>
  </si>
  <si>
    <t>2025-12-10; 2025-12-11</t>
  </si>
  <si>
    <t>Exchange data shows AVAX listed on 100+ venues with major volume against USDT, USDC and multiple fiat currencies; analytics pages highlight that AVAX’s most active spot markets by 24h volume are AVAX/USDT and AVAX/USDC on top exchanges, with BTC/ETH pairs secondary. This indicates that deep, liquid stablecoin pairs are a core part of AVAX trading liquidity rather than liquidity being concentrated only in volatile or exotic pairs.</t>
  </si>
  <si>
    <t>≤120-word narrative summary for C.2 (CEX/DEX mix, pair concentration and pair quality).</t>
  </si>
  <si>
    <t>AVAX is highly liquid across both centralized and decentralized venues. On CEXs, large spot and perp volumes are concentrated in top-tier pairs such as AVAX/USDT on Binance, OKX, Bybit and other major exchanges, limiting venue risk but creating some pair and venue concentration. Derivatives volumes materially exceed spot, indicating leveraged positioning. On-chain, AVAX benefits from deep DEX liquidity on Avalanche-based AMMs, with recent records of hundreds of millions to tens of billions in monthly DEX volume, showing meaningful non‑CEX depth. Overall pair quality is strong, anchored in major stablecoin and BTC/ETH pairs on reputable venues, though concentration in a few large pairs should be monitored.</t>
  </si>
  <si>
    <t>https://www.coinglass.com/currencies/AVAX; https://www.coinperps.com/perpetuals/avax; https://blockchain.news/news/20250929-avalanche-price-action-avax-surges-on-record-31b-dex-volume</t>
  </si>
  <si>
    <t>2025-12-10; 2025-12-05; 2025-09-29</t>
  </si>
  <si>
    <t>Answer synthesizes current exchange and DEX volume data showing AVAX trading concentrated in major CEX USDT pairs and robust but somewhat concentrated on-chain DEX activity. Cited derivatives and DEX statistics directly evidence liquidity scale and mix, supporting a high-confidence, decision-grade summary of CEX/DEX mix, pair concentration, and pair quality.</t>
  </si>
  <si>
    <t>D. Price Behaviour, Volatility &amp; Tail Risk</t>
  </si>
  <si>
    <t>How does the token’s historical price volatility compare to major benchmarks (e.g., BTC, ETH)? Choose: Lower or similar to majors, Moderately higher, Significantly higher/very high volatility, Unknown.</t>
  </si>
  <si>
    <t>Significantly higher/very high volatility</t>
  </si>
  <si>
    <t>https://portfolioslab.com/tools/stock-comparison/AVAX-USD/BTC-USD; https://portfolioslab.com/tools/stock-comparison/AVAX-USD/ETH-USD; https://jamesbachini.com/crypto-market-volatility/</t>
  </si>
  <si>
    <t>2021-01-15</t>
  </si>
  <si>
    <t>Available data show AVAX has materially higher historical volatility than BTC and ETH. Portfolio comparison tools report AVAX’s daily standard deviation roughly 2x that of BTC and meaningfully above ETH over recent 12‑month windows, indicating larger price swings. Earlier derivatives-based beta estimates also place AVAX at ~2.6x BTC’s volatility, supporting classification as significantly higher than major benchmarks.</t>
  </si>
  <si>
    <t>Is price behaviour described as unusually unstable or prone to volatility clustering in public sources? Choose: No unusual instability, Some heightened instability, Highly unstable with frequent extreme moves, Unknown.</t>
  </si>
  <si>
    <t>Some heightened instability</t>
  </si>
  <si>
    <t>https://www.coingecko.com/en/coins/avalanche; https://messari.io/asset/avalanche</t>
  </si>
  <si>
    <t>2024-11-01; 2024-10-15</t>
  </si>
  <si>
    <t>AVAX, like many Layer 1 and DeFi‑linked assets, is frequently characterized as volatile, with notable boom‑bust cycles (e.g., rapid ascent in 2021 followed by sharp drawdowns). Public analyses highlight large price swings relative to majors such as BTC/ETH, but AVAX is not uniquely singled out as one of the most extreme or structurally disorderly assets. This supports a classification of some heightened instability rather than highly unstable with frequent extreme moves.</t>
  </si>
  <si>
    <t>≤120-word narrative summary for D.1 (volatility vs benchmarks and instability).</t>
  </si>
  <si>
    <t>AVAX exhibits materially higher volatility than large-cap benchmarks like BTC and ETH. Since launch in 2020 it has seen extreme boom–bust cycles, including a &gt;80% drawdown from prior cycle highs, versus smaller percentage declines for BTC over comparable periods, indicating higher beta and downside risk. AVAX also delivers sharper upside bursts: in one recent month it rallied ~130% while ETH rose ~22%, underscoring outsized short‑term swings and overbought conditions. This pattern of pronounced rallies followed by deep corrections suggests structurally less stable price behavior than BTC and ETH, with greater sensitivity to speculative flows and changing risk appetite.</t>
  </si>
  <si>
    <t>https://blog.valr.com/blog/what-is-the-difference-between-avalanche-avax-and-bitcoin-btc; https://www.theblock.co/post/263541/avalanches-avax-token-leads-price-rally-among-ethereum-rivals</t>
  </si>
  <si>
    <t>2024-09-11; 2025-11-07</t>
  </si>
  <si>
    <t>Cited sources show AVAX’s history of large drawdowns and high‑beta rallies relative to BTC/ETH, supporting a conclusion of structurally higher volatility and less stable pricing than benchmark assets.</t>
  </si>
  <si>
    <t>What is the token’s historical maximum drawdown from peak, based on public price data? Choose: Modest/typical for crypto (&lt;70%), Severe (70–90%), Extreme (&gt;90%), Unknown.</t>
  </si>
  <si>
    <t>Extreme (&gt;90%)</t>
  </si>
  <si>
    <t>https://coinmarketcap.com/currencies/avalanche/; https://www.coingecko.com/en/coins/avalanche; https://coincodex.com/crypto/avalanche/</t>
  </si>
  <si>
    <t>2025-12-12; 2025-12-12; 2025-11-21</t>
  </si>
  <si>
    <t>Public price data show AVAX’s all‑time high around $145–146 in November 2021, with subsequent reported cycle lows near $8.7. This implies a maximum peak‑to‑trough drawdown of roughly 94%, well above the 90% threshold. Therefore the token’s historical maximum drawdown is best categorized as Extreme (&gt;90%).</t>
  </si>
  <si>
    <t>Have there been credible reports of flash-crash, depeg or similar extreme price dislocations specific to this token? Choose: No such incidents, Minor/isolated technical event fully resolved, Significant or repeated flash-crash/depeg events, Unknown.</t>
  </si>
  <si>
    <t>No such incidents</t>
  </si>
  <si>
    <t>https://www.coingecko.com/en/coins/avalanche; https://coinmarketcap.com/currencies/avalanche/historical-data/</t>
  </si>
  <si>
    <t>Escalate where significant or repeated flash-crash/depeg events are documented with at least medium confidence.</t>
  </si>
  <si>
    <t>Public records and major news coverage on AVAX do not show any widely recognized, token-specific flash crashes, depegs, or persistent extreme price dislocations beyond broader market volatility affecting many cryptoassets. No credible or repeated AVAX-unique dislocation events (such as stablecoin depegs or protocol-specific exchange meltdowns) are documented in primary research or major analytics sources reviewed.</t>
  </si>
  <si>
    <t>Following severe drawdowns or dislocation events, how has the token historically recovered? Choose: Recovers to prior ranges, Partial recovery but remains impaired, Fails to recover (persistent impairment), Unknown.</t>
  </si>
  <si>
    <t>Partial recovery but remains impaired</t>
  </si>
  <si>
    <t>AVAX reached an all‑time high near $146 in November 2021 and then experienced a severe drawdown during the 2022 bear market. While it has participated in subsequent market rebounds and rallied significantly off its lows, its price has not sustainably returned to its prior peak range, indicating partial recovery with ongoing impairment versus historical highs.</t>
  </si>
  <si>
    <t>≤120-word narrative summary for D.2 (drawdown, flash-crash/depeg history and recovery).</t>
  </si>
  <si>
    <t>AVAX has experienced several large drawdowns typical of major layer-1 assets. It fell over 80–90% from its late-2021 all‑time high during the 2022 bear market and has shown high volatility around macro and crypto‑wide deleveraging events. However, there is no evidence of idiosyncratic AVAX-specific “flash crash” or depeg-style failure distinct from broader market moves; price declines have largely tracked sector risk-off periods. Liquidity on major centralized exchanges and on-chain venues has generally allowed continuous trading and price discovery, with subsequent partial recoveries alongside the broader market rather than a discrete, protocol-driven recovery event.</t>
  </si>
  <si>
    <t>Summary relies on general price history and absence of reports of AVAX-specific flash crashes/depegs; no single canonical incident report, so confidence is medium.</t>
  </si>
  <si>
    <t>E. Market Integrity Actions &amp; Listing Profile</t>
  </si>
  <si>
    <t>How would you characterise the quality of main exchange listings? Choose: Listed on multiple top-tier exchanges, Listed on a mix of mid-tier and some major exchanges, Listed only on small or lower-quality exchanges, Unknown.</t>
  </si>
  <si>
    <t>Listed on multiple top-tier exchanges</t>
  </si>
  <si>
    <t>https://coincodex.com/crypto/avalanche/exchanges/; https://www.bitdegree.org/cryptocurrency-prices/avalanche-avax-price</t>
  </si>
  <si>
    <t>2025-12-10; 2025-12-09</t>
  </si>
  <si>
    <t>AVAX is actively traded on numerous globally top-tier centralized exchanges, including Binance, Coinbase, Kraken, OKX, KuCoin, Huobi/HTX and others, with substantial spot and derivatives volumes reported across these venues. This breadth and quality of listings fits the highest category: listed on multiple top-tier exchanges.</t>
  </si>
  <si>
    <t>Is the token included in any recognised indices, ETPs or benchmark products? Choose: Included in major indices/ETPs, Included only in niche indices, Not included in any indices/ETPs, Unknown.</t>
  </si>
  <si>
    <t>Included in major indices/ETPs</t>
  </si>
  <si>
    <t>https://www.21shares.com/en-row/product/avax; https://www.etfstrategy.com/21shares-launches-avalanche-and-algorand-crypto-etps-78547/; https://www.coindesk.com/coindesk-indices/2025/09/23/coindesk-20-performance-update-avalanche-avax-jumps-8-9-leading-index-higher</t>
  </si>
  <si>
    <t>2025-11-14; 2021-11-19; 2025-09-23</t>
  </si>
  <si>
    <t>AVAX is the underlying asset of the 21Shares Avalanche Staking ETP, a listed digital asset ETP on regulated exchanges, and 21Shares is a leading crypto ETP issuer. AVAX is also a constituent of the CoinDesk 20, a widely followed institutional-grade crypto benchmark index. This clearly places AVAX in major indices/ETPs rather than only niche products.</t>
  </si>
  <si>
    <t>≤120-word narrative summary for E.1 (listing quality and market recognition).</t>
  </si>
  <si>
    <t>AVAX is a large-cap Layer 1 token with multi‑billion‑dollar market capitalization and top‑30 ranking on major data aggregators, indicating strong market recognition and liquidity depth. It is listed on leading centralized exchanges including Binance, Coinbase, Kraken, OKX, Bybit, KuCoin and others, with numerous high‑volume fiat and stablecoin pairs (e.g., AVAX/USD, AVAX/EUR, AVAX/USDT). Dedicated support articles and listing announcements from these venues further evidence established infrastructure, widespread availability to both retail and institutional users, and relatively mature secondary markets across regions and trading venues.</t>
  </si>
  <si>
    <t>https://coinmarketcap.com/currencies/avalanche/; https://coinranking.com/coin/dvUj0CzDZ+avalanche-avax/markets; https://blog.kraken.com/product/asset-listings/avalanche-avax-trading-starts-december-21-deposit-now</t>
  </si>
  <si>
    <t>2025-12-12; 2025-08-01; 2021-12-17</t>
  </si>
  <si>
    <t>CoinMarketCap shows AVAX as a top‑30 asset with multi‑billion market cap, signaling strong recognition and liquidity. It is traded across many tier‑1 exchanges and major pairs per Coinranking and TokenRadar, with specific fiat pairs on Kraken. This breadth and depth of listings justify a high‑confidence assessment of robust listing quality and established market presence.</t>
  </si>
  <si>
    <t>Have exchanges imposed trading halts or suspensions on the token for market-integrity reasons (excluding purely technical halts)? Choose: No market-integrity halts reported, Single/isolated halt resolved, Multiple or sustained market-integrity halts, Unknown.</t>
  </si>
  <si>
    <t>No market-integrity halts reported</t>
  </si>
  <si>
    <t>https://www.bitget.com/en-CA/support/articles/12560603828973; https://blockchain.news/news/20250712-avalanche-avax-faces-mixed-signals-amid-regulatory-delays-and-promising-partnerships</t>
  </si>
  <si>
    <t>2025-06-06; 2025-07-12</t>
  </si>
  <si>
    <t>Escalate where multiple or sustained trading halts for market-integrity reasons are documented with at least medium confidence.</t>
  </si>
  <si>
    <t>No evidence was found of centralized exchanges halting or suspending AVAX trading for market‑integrity reasons. Bitget temporarily suspended AVAX deposit services in June 2025 but explicitly stated that trading was unaffected. Separately, the GMX DeFi platform paused trading and minting on Avalanche after a hack, which is a protocol-level security response rather than a centralized exchange market‑integrity halt on AVAX itself.</t>
  </si>
  <si>
    <t>Have any major exchanges delisted or removed the token for market-integrity, investor-protection or conduct reasons (excluding pure regulatory/AML reasons)? Choose: No such delistings reported, Single delisting with clear resolution, One or more delistings for integrity/protection reasons, Unknown.</t>
  </si>
  <si>
    <t>No such delistings reported</t>
  </si>
  <si>
    <t>https://www.coinbase.com/blog/avalanche-avax-is-now-available-on-coinbase; https://www.kraken.com/prices/avalanche; https://pionexus.zendesk.com/hc/en-us/articles/47293766257689-Pionex-US-will-delist-LINK-BTC-AVAX-BTC-and-LTC-BTC</t>
  </si>
  <si>
    <t>2021-09-30; 2025-05-23</t>
  </si>
  <si>
    <t>Escalate where one or more delistings are reported for market-integrity or investor-protection reasons with at least medium confidence.</t>
  </si>
  <si>
    <t>Searches of major exchanges and news show AVAX remains listed and actively tradable on large venues such as Coinbase and Kraken, with no announcements citing market-manipulation, investor-protection, or conduct concerns as reasons for delisting the token. Some exchanges (e.g., Pionex.US) have only removed specific pairs for liquidity/market-structure reasons while continuing to support AVAX via other pairs, which does not constitute a token delisting for integrity/protection reasons.</t>
  </si>
  <si>
    <t>Have any regulators or major exchanges issued explicit warnings or risk notices specifically about this token’s trading behaviour or market integrity? Choose: No specific warnings found, Generic/high-level risk warnings only, Specific warnings about this token, Unknown.</t>
  </si>
  <si>
    <t>No specific warnings found</t>
  </si>
  <si>
    <t>https://news.halvings.org/2025/07/14/avax-market-update-regulatory-delays-security-concerns-and-long-term-potential/; https://blockchain.news/news/20250712-avalanche-avax-faces-mixed-signals-amid-regulatory-delays-and-promising-partnerships; https://www.xt.com/en/blog/post/avalanches-first-nasdaq-firm-debuts-with-550m-raise-and-a-plan-for-staking-avax-what-to-expect</t>
  </si>
  <si>
    <t>2025-07-14; 2025-07-12; 2025-09-20</t>
  </si>
  <si>
    <t>Escalate where regulators or major exchanges have issued specific warnings about this token’s market integrity with at least medium confidence.</t>
  </si>
  <si>
    <t>Searches of major regulators and leading exchanges show no explicit token‑specific warnings or market‑integrity notices focused on AVAX trading behaviour. Recent regulatory actions instead concern delays in approving Avalanche‑linked ETFs, reflecting general caution toward crypto products rather than singling out AVAX for manipulation or integrity risks. Given the difficulty of proving a negative, this is rated Medium confidence.</t>
  </si>
  <si>
    <t>≤120-word narrative summary for E.2 (trading halts, delistings and explicit warnings).</t>
  </si>
  <si>
    <t>AVAX is widely listed on major centralized exchanges and continues to trade actively. There is no evidence of broad exchange-wide trading halts or full token delistings. Binance has removed specific AVAX pairs (e.g., AVAX/TUSD) after periodic reviews, but stated this does not affect AVAX’s overall spot availability. Some venues have experienced short-term operational restrictions (e.g., temporary withdrawal suspensions) around listing or infrastructure events. No major regulator or Tier 1 exchange has issued an explicit, standing risk warning uniquely targeting AVAX trading.</t>
  </si>
  <si>
    <t>https://www.coinspeaker.com/binance-delists-avax-voxel-pairs/; https://www.kraken.com/features/futures/avalanche/usd; https://www.reddit.com/r/BinanceUS/comments/qz0gay</t>
  </si>
  <si>
    <t>2024-07-22; 2021-11-21</t>
  </si>
  <si>
    <t>Public information shows AVAX remains broadly listed, with only targeted pair removals and isolated operational suspensions, and no systemic halts or explicit warnings focused on AVAX, supporting a high-confidence, low‑concern assessment for E.2.</t>
  </si>
  <si>
    <t>A. Strategic Fit &amp; Business Model Sustainability</t>
  </si>
  <si>
    <t>How clear and credible is the project’s core business model or utility proposition based on public disclosures? Choose: Clear and credible utility/business model, Partially clear with some gaps, Weak or mainly narrative with little substance, Unknown.</t>
  </si>
  <si>
    <t>Clear and credible utility/business model</t>
  </si>
  <si>
    <t>https://www.avax.network/about/tokens; https://support.avax.network/en/articles/4064861-what-is-a-subnetwork-subnet; https://support.avax.network/en/articles/6912428-tokenomics-faq</t>
  </si>
  <si>
    <t>2025-12-10; 2025-08-15; 2025-10-01</t>
  </si>
  <si>
    <t>Avalanche’s public materials describe a clear, infrastructure-focused model: it is a high-throughput L1 platform and framework for launching custom Avalanche L1s (formerly subnets). AVAX is explicitly defined as the native utility token used for gas fees (which are burned), staking/validation of the primary network, and as a unit of account across Avalanche L1s. Tokenomics, validator economics, and fee/burn mechanisms are detailed in official docs and support articles, giving the project a well-specified and credible utility/business proposition.</t>
  </si>
  <si>
    <t>To what extent does the project appear to rely on token price appreciation and speculation rather than underlying product usage or cash flows? Choose: Primarily utility/usage-driven, Mixed (both usage and speculation), Heavily dependent on speculation/narrative, Unknown.</t>
  </si>
  <si>
    <t>Mixed (both usage and speculation)</t>
  </si>
  <si>
    <t>https://build.avax.network/docs/quick-start/avax-token; https://support.avax.network/en/articles/6912428-tokenomics-faq; https://www.galaxy.com/insights/research/protocol-overview-avalanche-2024/</t>
  </si>
  <si>
    <t>2024-11-01; 2024-10-01; 2024-09-09</t>
  </si>
  <si>
    <t>Escalate where the token is assessed as heavily dependent on speculation or narrative with at least medium confidence, indicating limited underlying utility.</t>
  </si>
  <si>
    <t>AVAX has clear functional demand: it is the native gas token for Avalanche L1s, required for all transactions, and is used for staking to secure the primary network, with a majority of circulating supply staked and protocol rewards paid in AVAX. Network upgrades have focused on lowering gas fees to drive usage, and fees are burned, linking activity to token economics. However, AVAX also trades heavily on centralized and decentralized exchanges and lacks direct claim on cash flows, so speculation remains a significant driver alongside genuine network utility.</t>
  </si>
  <si>
    <t>How diversified are the project’s core demand or revenue drivers (e.g., products, protocols, partners)? Choose: Diversified across multiple drivers, Moderately concentrated, Highly concentrated in a single driver, Unknown.</t>
  </si>
  <si>
    <t>Diversified across multiple drivers</t>
  </si>
  <si>
    <t>https://build.avax.network/docs/primary-network/avax-token; https://www.avax.network/about/blog/avalanche-launches-evergreen-subnets-for-institutional-blockchain-deployments; https://www.luganodes.com/blog/avalanche-research-subnets/</t>
  </si>
  <si>
    <t>2025-12-01; 2025-11-20; 2025-12-01</t>
  </si>
  <si>
    <t>AVAX demand is driven by multiple core utilities and ecosystem segments: it is required for gas across the primary network and all Avalanche L1s/subnets, for staking by validators and delegators, and as a unit of account across chains. The network supports diverse use cases (DeFi, gaming, NFTs, enterprise and institutional subnets), so fee and staking demand is spread across many protocols and application verticals rather than a single product or partner.</t>
  </si>
  <si>
    <t>≤120-word narrative summary for A.1 (business model clarity, reliance on speculation vs utility, and demand/revenue concentration).</t>
  </si>
  <si>
    <t>AVAX is the native token of the Avalanche primary network, used to pay all base gas fees across X, C, P chains and AVAX-based L1s, and to stake for validator and delegator rewards. Fees paid in AVAX are burned, while validator rewards are newly minted under a hard-capped 720M supply, creating a mixed inflation–burn dynamic. AVAX also serves as the unit of account and staking collateral for subnets, tying demand to network usage and new L1 deployments. Nonetheless, secondary-market trading and yield-seeking staking remain significant speculative demand drivers.</t>
  </si>
  <si>
    <t>https://www.avax.network/about/tokens; https://support.avax.network/en/articles/6912428-tokenomics-faq; https://medium.com/%40sagaciousiwuchukwu/avax-tokonomics-a-foundation-built-on-scarcity-a711f91478e2</t>
  </si>
  <si>
    <t>2024-11-01; 2024-10-01; 2025-12-01</t>
  </si>
  <si>
    <t>Sources show AVAX is Avalanche’s native utility token for gas, staking, and unit of account for L1s, with all fees burned and validator rewards minted under a 720M hard cap. This anchors demand in network usage, subnet creation, and staking, but market behavior indicates a large speculative component. These are well-documented, so confidence is high.</t>
  </si>
  <si>
    <t>B. Governance, Ethics &amp; Conduct History</t>
  </si>
  <si>
    <t>Have there been any credible regulatory or law-enforcement actions specifically against the project, its legal entities or key individuals? Choose: No actions identified, Minor actions or warnings resolved, Significant or ongoing enforcement actions, Unknown.</t>
  </si>
  <si>
    <t>No actions identified</t>
  </si>
  <si>
    <t>https://app.midpage.ai/case/wilburger-v-ava-labs-inc-11090329; https://dockets.justia.com/docket/new-york/nysdce/1:2022cv02789/577804; https://dockets.justia.com/docket/new-york/nysdce/1:2025cv08644/651397</t>
  </si>
  <si>
    <t>2025-07-03; 2022-04-01; 2025-10-18</t>
  </si>
  <si>
    <t>Escalate where significant or ongoing enforcement actions are identified against the project or key individuals with at least medium confidence.</t>
  </si>
  <si>
    <t>Searches show multiple private civil lawsuits involving Ava Labs (e.g., Shin v. Ava Labs Inc., Wilburger v. Ava Labs Inc., and Rached v. Ava Labs Inc.), but these are contract and fraud disputes brought by individual plaintiffs, not regulatory or law‑enforcement agencies. No SEC, CFTC, DOJ, or other regulatory enforcement actions specifically targeting Avalanche, Ava Labs, or key individuals were identified as of December 12, 2025.</t>
  </si>
  <si>
    <t>Are there credible public allegations or findings of fraud, misappropriation, or serious misconduct involving founders or key individuals? Choose: No such issues identified, Some allegations but contested/resolved, Clear or repeated findings of serious misconduct, Unknown.</t>
  </si>
  <si>
    <t>Some allegations but contested/resolved</t>
  </si>
  <si>
    <t>https://en.wikipedia.org/wiki/Emin_G%C3%BCn_Sirer; https://www.coindesk.com/business/2022/08/29/obvious-nonsense-prominent-blockchains-founder-dismisses-smear-campaign-allegation; https://app.midpage.ai/case/wilburger-v-ava-labs-inc-11090329</t>
  </si>
  <si>
    <t>2023-05-11; 2022-08-29; 2025-08-01</t>
  </si>
  <si>
    <t>Escalate where there are clear or repeated findings of serious misconduct by founders or key individuals with at least medium confidence.</t>
  </si>
  <si>
    <t>There have been public allegations of serious misconduct involving Ava Labs and Avalanche leadership, notably the 2022 Crypto Leaks claim of a “secret pact” with law firm Roche Freedman to target competitors. Emin Gün Sirer and Ava Labs have categorically denied these allegations. Separately, a former contractor (Wilburger) has an ongoing New York case alleging fraudulent inducement over AVAX token compensation; the court let that claim proceed past a motion to dismiss but made no fraud finding. Overall, allegations exist but remain contested with no clear adjudicated findings to date.</t>
  </si>
  <si>
    <t>Based on public disclosures and credible commentary, how significant are conflicts of interest or extractive economic structures (e.g., opaque insider allocations, excessive fees, preferential treatment)? Choose: No material conflicts identified, Some concerns but mitigated or disclosed, Significant or opaque conflicts/extractive structures, Unknown.</t>
  </si>
  <si>
    <t>Some concerns but mitigated or disclosed</t>
  </si>
  <si>
    <t>https://www.sec.gov/Archives/edgar/data/2035053/000119312525228678/avax_s-1_amendment_1.htm; https://eco.com/support/en/articles/12168599-what-is-avalanche-blockchain-complete-guide-to-avax-network; https://www.galaxy.com/insights/research/protocol-overview-avalanche-2024/</t>
  </si>
  <si>
    <t>2025-10-15; 2024-09-01; 2024-09-09</t>
  </si>
  <si>
    <t>AVAX’s economics include sizable allocations to Ava Labs, the AVAX Foundation and private investors, which could create concentration and governance influence risks. However, these allocations, vesting schedules, and unlocks have been publicly detailed in tokenomics breakdowns and the AVAX S-1 filing. Fees are burned rather than paid to insiders, and staking rewards are protocol-governed and broadly available. Overall, conflicts are present but largely disclosed and structurally mitigated rather than opaque or obviously extractive.</t>
  </si>
  <si>
    <t>≤120-word narrative summary for B.1 (regulatory actions, misconduct history and conflicts of interest).</t>
  </si>
  <si>
    <t>As of December 2025, there are no publicly disclosed SEC, CFTC or other major regulatory enforcement actions directly against Avalanche, AVAX, or Ava Labs, though AVAX is the subject of pending U.S. ETF listing proceedings that reflect heightened regulatory scrutiny rather than misconduct findings. Ava Labs has faced investor civil litigation in U.S. federal court (e.g., Shin v. Ava Labs, Inc.), but the docket shows routine procedural orders and no adjudicated liability to date. In 2022, whistleblower site Crypto Leaks alleged Ava Labs used litigation to target competitors; founder Emin Gün Sirer publicly denied these claims as “categorically false,” and no regulator has brought a related case, so these remain unproven allegations.</t>
  </si>
  <si>
    <t>https://regulations.justia.com/regulations/fedreg/2025/07/15/2025-13196.html; https://dockets.justia.com/docket/new-york/nysdce/1:2022cv02789/577804; https://www.coindesk.com/business/2022/08/29/obvious-nonsense-prominent-blockchains-founder-dismisses-smear-campaign-allegation</t>
  </si>
  <si>
    <t>2025-07-15; 2022-08-29</t>
  </si>
  <si>
    <t>Summary reflects absence of identified enforcement actions but presence of civil litigation and public allegations. Some details (claims in Shin v. Ava Labs) require inference from limited docket information, so confidence is medium, not high.</t>
  </si>
  <si>
    <t>C. Reputational Risk &amp; Public Narrative</t>
  </si>
  <si>
    <t>How would you characterise mainstream and specialist media coverage of the project over time? Choose: Generally positive or balanced, Mixed with some critical pieces, Predominantly negative or scandal-focused, Unknown.</t>
  </si>
  <si>
    <t>Mixed with some critical pieces</t>
  </si>
  <si>
    <t>https://www.coindesk.com/business/2024/02/23/avalanche-suffers-outage-fails-to-produce-block-for-almost-two-hours; https://www.coindesk.com/business/2022/08/29/obvious-nonsense-prominent-blockchains-founder-dismisses-smear-campaign-allegation; https://research.nansen.ai/articles/avalanche-q3-2025-ecosystem-report</t>
  </si>
  <si>
    <t>2024-02-23; 2022-08-29; 2025-10-01</t>
  </si>
  <si>
    <t>Coverage highlights Avalanche’s strong ecosystem growth, institutional partnerships and technical innovation, which are generally reported positively in industry research and ecosystem reports. At the same time, media have focused on critical events such as network outages, DeFi/security incidents on Avalanche-based apps, and controversy around alleged smear‑campaign litigation links to Ava Labs’ counsel. Overall this results in a mixed but not predominantly scandal‑focused media profile.</t>
  </si>
  <si>
    <t>Have there been major public scandals or controversies (non-technical) associated with the project (e.g., investor losses, misleading marketing, governance blow-ups)? Choose: No major controversies identified, Some controversy but limited in scope, Major or repeated controversies affecting many users, Unknown.</t>
  </si>
  <si>
    <t>Some controversy but limited in scope</t>
  </si>
  <si>
    <t>https://www.coindesk.com/business/2022/08/29/obvious-nonsense-prominent-blockchains-founder-dismisses-smear-campaign-allegation; https://www.ibtimes.com/ava-labs-lawyer-breaks-silence-rejects-report-alleging-conspiracy-law-firm-3607161; https://en.wikipedia.org/wiki/Avalanche_%28blockchain_platform%29</t>
  </si>
  <si>
    <t>2022-08-29; 2022-08-31; 2024-08-01</t>
  </si>
  <si>
    <t>Escalate where major or repeated controversies affecting many users are documented with at least medium confidence.</t>
  </si>
  <si>
    <t>Ava Labs and Avalanche faced notable non-technical controversy in August 2022 after whistleblower site Crypto Leaks alleged a secret pact with law firm Roche Freedman to use litigation to harm competitors and distract regulators. The allegations, supported by leaked videos, drew broad media coverage and coincided with a sharp AVAX price drop, but were publicly and forcefully denied by Ava Labs’ leadership. No major regulatory enforcement or proven wrongdoing has emerged from this episode, so the controversy appears significant but limited in scope.</t>
  </si>
  <si>
    <t>How would you characterise user and community feedback based on credible public sources (forums, reviews, social media, complaint sites)? Choose: Generally positive or neutral, Mixed with some pattern of complaints, Predominantly negative or repeated serious complaints, Unknown.</t>
  </si>
  <si>
    <t>Generally positive or neutral</t>
  </si>
  <si>
    <t>https://www.reddit.com/r/Avax/comments/1hvbqzh/good_fundamentals_being_seen/; https://www.reddit.com/r/Avax/comments/16k5z5n/avalanche_hub_community_growth_platform_ava_labs/; https://www.reddit.com/r/Avax/comments/178n64o/avalanche_hub_the_best_way_to_support_avalanche/</t>
  </si>
  <si>
    <t>2025-01-06; 2023-09-16; 2023-10-15</t>
  </si>
  <si>
    <t>Escalate where user/community feedback is predominantly negative with repeated serious complaints, with at least medium confidence.</t>
  </si>
  <si>
    <t>Public community channels for Avalanche (e.g., r/Avax) show an engaged, long‑term oriented user base that is generally enthusiastic about AVAX’s technology, DeFi ecosystem and institutional adoption. Posts highlight strong community initiatives like Avalanche Hub and grassroots promotion, with feedback often praising fundamentals and utility. While there are typical market-related frustrations, there is no consistent pattern of serious user complaints or scam allegations dominating discourse.</t>
  </si>
  <si>
    <t>≤120-word narrative summary for C.1 (media tone, scandals and user/community feedback).</t>
  </si>
  <si>
    <t>Media and community coverage of Avalanche is generally mixed‑positive, emphasizing high throughput, active DeFi/NFT ecosystems and growing institutional use, but recurring concerns remain. Critical analysis highlights centralization risks from high validator staking requirements and concentrated AVAX holdings, as well as confusing UX around its multi‑chain design and subnets.[0] Users on community forums often praise fast, low‑fee transactions and relatively low scam incidence, while also complaining about wallet/friction in moving between chains and occasional sluggishness during market stress.[1] Reputationally, several well‑publicized outages and consensus stalls, including a multi‑hour downtime linked to a software bug, have raised questions about reliability for mission‑critical use cases.[2]</t>
  </si>
  <si>
    <t>https://bestdapps.com/blogs/news/a-deepdive-into-avax-2024; https://www.reddit.com/r/Avax/comments/1foc32i/what_were_the_biggest_problems_you_faced_using/; https://cryptobriefing.com/avalanche-suffers-downtime-nearly-five-hours/</t>
  </si>
  <si>
    <t>2024-06-01; 2024-09-24; 2025-11-10</t>
  </si>
  <si>
    <t>Synthesis draws on recent due‑diligence style critiques, community forum feedback, and reporting on outages. These sources consistently describe a strong but not controversy‑free L1: good performance and user experience offset by centralization critiques, UX friction, and reputational impact from downtime. Evidence is recent and from multiple perspectives, so confidence is high.</t>
  </si>
  <si>
    <t>D. ESG Alignment &amp; Real-World Impact</t>
  </si>
  <si>
    <t>Based on the underlying consensus mechanism and credible sources, how would you classify the token’s environmental impact profile? Choose: Low impact (e.g., PoS or similar), Moderate impact, High impact (e.g., PoW with high energy use), Unknown.</t>
  </si>
  <si>
    <t>Low impact (e.g., PoS or similar)</t>
  </si>
  <si>
    <t>https://www.avax.network/about/blog/ccri-report-2023; https://en.wikipedia.org/wiki/Cryptocurrency; https://kr.avax.network/blockchain-sustainability-platform</t>
  </si>
  <si>
    <t>2023-10-17; 2024-01-15; 2022-02-15</t>
  </si>
  <si>
    <t>Avalanche uses a proof-of-stake–based Avalanche consensus rather than energy‑intensive proof-of-work. Independent analysis by the Crypto Carbon Ratings Institute finds Avalanche’s annual electricity use (~469.8 MWh, equivalent to ~44 U.S. households) and CO2 emissions to be orders of magnitude lower than Bitcoin and materially lower than Ethereum, placing it among relatively efficient PoS networks. This supports classifying AVAX as low environmental impact versus PoW chains.</t>
  </si>
  <si>
    <t>Are there credible ESG-related controversies or criticisms specifically linked to this project (environmental, social or governance)? Choose: No material ESG controversies identified, Some ESG criticisms but limited, Significant or repeated ESG controversies, Unknown.</t>
  </si>
  <si>
    <t>Some ESG criticisms but limited</t>
  </si>
  <si>
    <t>https://pt.wikipedia.org/wiki/Avalanche_%28plataforma_blockchain%29; https://cointelegraph.com/news/ava-labs-ceo-denies-cryptoleaks-claims-as-conspiracy-theory-nonsense; https://tokeninsight.com/en/news/ava-labs-accused-of-weaponizing-litigation-against-rivals-in-partnership-with-law-firm-with-avax-drops-more-than-10-over-last-24-hours</t>
  </si>
  <si>
    <t>2024-07-01; 2022-08-29; 2022-08-29</t>
  </si>
  <si>
    <t>Escalate where significant or repeated ESG-related controversies are documented with at least medium confidence.</t>
  </si>
  <si>
    <t>There is at least one notable governance/ethics controversy: in 2022 whistleblower site CryptoLeaks alleged Ava Labs had a secret pact with law firm Roche Freedman to use class‑action litigation to harm competitors, in exchange for AVAX and equity. This raised concerns about governance, business ethics and regulatory manipulation. Ava Labs’ CEO publicly denied the claims as “conspiracy theory nonsense,” and no regulator has confirmed wrongdoing, but the episode is a credible, widely reported controversy rather than mere noise, with no major environmental or social scandals identified.</t>
  </si>
  <si>
    <t>≤120-word narrative summary for D.1 (environmental profile and ESG controversies).</t>
  </si>
  <si>
    <t>Avalanche uses a proof-of-stake Snowman-family consensus, giving it a relatively low environmental footprint versus proof-of-work chains. Independent analysis by the Crypto Carbon Ratings Institute estimates annual energy use of ~470 MWh and emissions around 178 tCO2e, roughly comparable to a few dozen average U.S. households and a fraction of Bitcoin and Ethereum’s footprints. This supports positioning Avalanche as an “eco‑friendly” or low‑energy network within crypto. However, disclosures rely heavily on a single lifecycle/energy study, and there is limited transparency on validator hardware, geographic concentration, or underlying grid mix. No major, widely reported ESG controversies specific to Avalanche have been identified to date.</t>
  </si>
  <si>
    <t>https://www.avax.network/about/blog/ccri-report-2023; https://www.cryptoview.io/en/news-en/is-avalanche-leading-the-charge-as-an-eco-friendly-network-2/; https://www.ccn.com/news/crypto-climate-change-proof-of-work-coins-greener/</t>
  </si>
  <si>
    <t>2023-10-17; 2023-10-19; 2023-11-01</t>
  </si>
  <si>
    <t>Summary reflects CCRI-backed estimates of Avalanche’s energy use and carbon intensity and notes limits in underlying disclosures and absence of widely reported ESG controversies. Evidence is strong on low energy use but incomplete on full lifecycle impacts.</t>
  </si>
  <si>
    <t>E. Ecosystem, Partners &amp; Alignment with Regulated Finance</t>
  </si>
  <si>
    <t>How would you characterise the quality of institutional partners, backers or major integrations (if any)? Choose: Backed/partnered with reputable institutions, Mix of reputable and lesser-known partners, Mainly low-quality or opaque partners, Unknown.</t>
  </si>
  <si>
    <t>Backed/partnered with reputable institutions</t>
  </si>
  <si>
    <t>https://www.nasdaq.com/articles/base-layer-wars-heat-up-with-another-%2412m-committed-to-ava-labs-avalanche-blockchain-2020; https://bsc.news/post/avax-one-institutional-adoption-avax; https://www.avax.network/about/blog/fis-intain-avalanche-digital-liquidity-gateway</t>
  </si>
  <si>
    <t>2020-06-25; 2025-09-20; 2025-11-11</t>
  </si>
  <si>
    <t>Avalanche’s core developer Ava Labs has been funded by top-tier VCs including Andreessen Horowitz (a16z) and Polychain Capital, indicating strong institutional backing. The network is also being used or tested by major financial institutions such as JPMorgan and Citi for tokenization and settlement use cases, and powers FIS/Intain’s Digital Liquidity Gateway for U.S. regional banks. These are all reputable, regulated financial and venture institutions.</t>
  </si>
  <si>
    <t>Have any major partners, backers or platforms publicly exited or distanced themselves from the project citing risk or conduct concerns? Choose: No such exits identified, Some exits for neutral/commercial reasons, Exits explicitly citing risk or conduct concerns, Unknown.</t>
  </si>
  <si>
    <t>No such exits identified</t>
  </si>
  <si>
    <t>https://protechbro.com/binance-delists-avax-voxel-pairs-from-exchange/; https://www.tpstroy.com/391.html; https://www.thestandard.io/blog/due-diligence-on-avalanche-avax-evaluating-its-position-in-the-blockchain-landscape-2025-outlook-6</t>
  </si>
  <si>
    <t>2024-07-18; 2024-09-16; 2025-10-15</t>
  </si>
  <si>
    <t>Escalate where major partners have publicly exited or distanced themselves citing risk or conduct concerns with at least medium confidence.</t>
  </si>
  <si>
    <t>Public information shows no major exchange, institutional backer, or strategic partner explicitly cutting ties with Avalanche due to fraud, sanctions, AML, or other conduct‑risk concerns. Binance’s removal of the AVAX/TUSD pair was framed as a routine liquidity/market quality optimization, with AVAX remaining listed, not as a conduct- or risk-driven exit. Broader coverage of Avalanche highlights regulatory and market risks but does not cite partner exits on misconduct grounds.</t>
  </si>
  <si>
    <t>How do major regulated or “blue-chip” financial institutions (banks, asset managers, regulated exchanges) appear to position themselves in relation to this token, based on public information? Choose: Some positive or neutral inclusion/partnership, No material association identified, Public distancing or explicit exclusion, Unknown.</t>
  </si>
  <si>
    <t>Some positive or neutral inclusion/partnership</t>
  </si>
  <si>
    <t>https://www.avax.network/about/blog/blackrock-launches-digital-liquidity-fund-buidl-on-avalanche-via-securitize/; https://www.coindesk.com/business/2025/11/10/intain-fis-roll-out-tokenized-loan-marketplace-on-avalanche-for-small-banks; https://blocknews.com/avalanche-avax-rides-institutional-momentum-record-on-chain-growth-and-bullish-fractals-toward-possible-50-55-breakout/</t>
  </si>
  <si>
    <t>2024-11-14; 2025-11-11; 2025-08-17</t>
  </si>
  <si>
    <t>Escalate where major regulated institutions have publicly distanced themselves from or explicitly excluded the token, with at least medium confidence.</t>
  </si>
  <si>
    <t>Public information shows multiple major regulated institutions building on or integrating with Avalanche. BlackRock has expanded its USD Institutional Digital Liquidity Fund (BUIDL) onto Avalanche via Securitize, and AVAX is a significant holding in that fund. Separately, FIS and Intain are launching a tokenized loan marketplace on Avalanche for regional banks, targeting institutional investors. This indicates clear positive institutional usage rather than avoidance or exclusion.</t>
  </si>
  <si>
    <t>≤120-word narrative summary for E.1 (partner quality, exits and positioning by major regulated institutions).</t>
  </si>
  <si>
    <t>Avalanche has cultivated a strong roster of institutional and regulated partners. AWS selected Avalanche via a formal partnership to offer scalable blockchain infrastructure for enterprises and governments, supporting node deployment and subnet use cases. Financial infrastructure giant FIS and Intain are launching a Digital Liquidity Gateway on Avalanche to let thousands of U.S. community banks tokenize and securitize loan portfolios for institutional buyers. In Japan, payment processor TIS is building a regulated multi‑token platform on Avalanche’s AvaCloud, targeting banks, corporates and public agencies under local payments regulation.</t>
  </si>
  <si>
    <t>https://techcrunch.com/2023/01/11/aws-partners-with-avalanche-to-scale-blockchain-solutions-for-enterprises-governments/; https://www.coindesk.com/business/2025/11/10/intain-fis-roll-out-tokenized-loan-marketplace-on-avalanche-for-small-banks; https://www.coindesk.com/business/2025/10/27/japan-s-usd2t-payment-provider-tis-rolls-out-multi-token-platform-with-avalanche</t>
  </si>
  <si>
    <t>2023-01-11; 2025-11-11; 2025-10-27</t>
  </si>
  <si>
    <t>Summary directly reflects named partnerships with large, regulated institutions (AWS, FIS, TIS) and their stated positioning around enterprise, banks, and public-sector use of Avalanche, as documented in reputable press and industry sources. These are concrete integrations, not speculative MOUs, supporting a high confidence assessment.</t>
  </si>
  <si>
    <t>Domain</t>
  </si>
  <si>
    <t>Weight</t>
  </si>
  <si>
    <t>Domain_Avg_Final_Score</t>
  </si>
  <si>
    <t>Domain_Risk_Band</t>
  </si>
  <si>
    <t>Domain_Score_1to5</t>
  </si>
  <si>
    <t>Weighted_Contribution (AvgScore)</t>
  </si>
  <si>
    <t>Any_Board_Escalation?</t>
  </si>
  <si>
    <t>Weakest_Subsection</t>
  </si>
  <si>
    <t>Token Fundamentals &amp; Governance</t>
  </si>
  <si>
    <t>Regulatory &amp; Legal Risk</t>
  </si>
  <si>
    <t>AML &amp; Sanctions Risk</t>
  </si>
  <si>
    <t>Technical &amp; Protocol Security</t>
  </si>
  <si>
    <t>Market &amp; Liquidity Integrity</t>
  </si>
  <si>
    <t>Strategic, Reputational &amp; ESG</t>
  </si>
  <si>
    <t>Composite Avg Final_Score:</t>
  </si>
  <si>
    <t>Overall Composite Band (5-level)</t>
  </si>
  <si>
    <t>Composite Score (1–5)</t>
  </si>
  <si>
    <t>Section-Level Matrix</t>
  </si>
  <si>
    <t>Section A</t>
  </si>
  <si>
    <t>Section B</t>
  </si>
  <si>
    <t>Section C</t>
  </si>
  <si>
    <t>Section D</t>
  </si>
  <si>
    <t>Section E</t>
  </si>
  <si>
    <t>RED FLAGS &amp; ESCALATIONS (AUTO-GENERATED)</t>
  </si>
  <si>
    <t>Any Domain Board Escalation Present?</t>
  </si>
  <si>
    <t>Domains with Board Escalation:</t>
  </si>
  <si>
    <t>Domains Rated Medium-High or 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</si>
</sst>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8" x14ac:knownFonts="1">
    <font>
      <sz val="11"/>
      <color theme="1"/>
      <name val="Calibri"/>
      <family val="2"/>
      <scheme val="minor"/>
    </font>
    <font>
      <b/>
      <sz val="11"/>
      <color theme="1"/>
      <name val="Calibri"/>
      <family val="2"/>
      <scheme val="minor"/>
    </font>
    <font>
      <b/>
      <sz val="11"/>
      <name val="Calibri"/>
      <family val="2"/>
    </font>
    <font>
      <b/>
      <sz val="11"/>
      <color theme="0" tint="-4.9989318521683403E-2"/>
      <name val="Calibri"/>
      <family val="2"/>
      <scheme val="minor"/>
    </font>
    <font>
      <u/>
      <sz val="11"/>
      <color theme="10"/>
      <name val="Calibri"/>
      <family val="2"/>
      <scheme val="minor"/>
    </font>
    <font>
      <b/>
      <sz val="11"/>
      <color theme="0"/>
      <name val="Calibri"/>
      <family val="2"/>
      <scheme val="minor"/>
    </font>
    <font>
      <b/>
      <sz val="11"/>
      <color rgb="FF000000"/>
      <name val="Calibri"/>
      <family val="2"/>
      <scheme val="minor"/>
    </font>
    <font>
      <sz val="11"/>
      <color rgb="FF000000"/>
      <name val="Calibri"/>
      <family val="2"/>
      <scheme val="minor"/>
    </font>
  </fonts>
  <fills count="12">
    <fill>
      <patternFill patternType="none"/>
    </fill>
    <fill>
      <patternFill patternType="gray125"/>
    </fill>
    <fill>
      <patternFill patternType="solid">
        <fgColor rgb="FFEEEAFB"/>
      </patternFill>
    </fill>
    <fill>
      <patternFill patternType="solid">
        <fgColor theme="8" tint="-0.249977111117893"/>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6" tint="0.39997558519241921"/>
        <bgColor indexed="64"/>
      </patternFill>
    </fill>
    <fill>
      <patternFill patternType="solid">
        <fgColor rgb="FFC00000"/>
        <bgColor indexed="64"/>
      </patternFill>
    </fill>
    <fill>
      <patternFill patternType="solid">
        <fgColor theme="0" tint="-0.14999847407452621"/>
        <bgColor indexed="64"/>
      </patternFill>
    </fill>
    <fill>
      <patternFill patternType="solid">
        <fgColor rgb="FFD9D9D9"/>
        <bgColor rgb="FF000000"/>
      </patternFill>
    </fill>
    <fill>
      <patternFill patternType="solid">
        <fgColor theme="8" tint="0.79998168889431442"/>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auto="1"/>
      </right>
      <top style="thin">
        <color auto="1"/>
      </top>
      <bottom/>
      <diagonal/>
    </border>
    <border>
      <left/>
      <right/>
      <top style="medium">
        <color indexed="64"/>
      </top>
      <bottom style="medium">
        <color indexed="64"/>
      </bottom>
      <diagonal/>
    </border>
    <border>
      <left style="thin">
        <color indexed="64"/>
      </left>
      <right style="thin">
        <color auto="1"/>
      </right>
      <top style="thin">
        <color indexed="64"/>
      </top>
      <bottom style="thin">
        <color indexed="64"/>
      </bottom>
      <diagonal/>
    </border>
    <border>
      <left/>
      <right/>
      <top style="thin">
        <color indexed="64"/>
      </top>
      <bottom style="thin">
        <color indexed="64"/>
      </bottom>
      <diagonal/>
    </border>
    <border>
      <left/>
      <right style="thin">
        <color auto="1"/>
      </right>
      <top style="thin">
        <color indexed="64"/>
      </top>
      <bottom style="thin">
        <color indexed="64"/>
      </bottom>
      <diagonal/>
    </border>
    <border>
      <left style="thin">
        <color indexed="64"/>
      </left>
      <right/>
      <top/>
      <bottom style="medium">
        <color theme="1"/>
      </bottom>
      <diagonal/>
    </border>
  </borders>
  <cellStyleXfs count="2">
    <xf numFmtId="0" fontId="0" fillId="0" borderId="0"/>
    <xf numFmtId="0" fontId="4" fillId="0" borderId="0"/>
  </cellStyleXfs>
  <cellXfs count="61">
    <xf numFmtId="0" fontId="0" fillId="0" borderId="0" xfId="0"/>
    <xf numFmtId="0" fontId="1" fillId="0" borderId="1" xfId="0" applyFont="1" applyBorder="1" applyAlignment="1">
      <alignment horizontal="center" vertical="top"/>
    </xf>
    <xf numFmtId="0" fontId="2" fillId="2" borderId="0" xfId="0" applyFont="1" applyFill="1"/>
    <xf numFmtId="0" fontId="2" fillId="2" borderId="0" xfId="0" applyFont="1" applyFill="1" applyAlignment="1">
      <alignment horizontal="left"/>
    </xf>
    <xf numFmtId="0" fontId="1" fillId="3" borderId="0" xfId="0" applyFont="1" applyFill="1" applyAlignment="1">
      <alignment horizontal="center" vertical="top"/>
    </xf>
    <xf numFmtId="0" fontId="3" fillId="3" borderId="0" xfId="0" applyFont="1" applyFill="1" applyAlignment="1">
      <alignment horizontal="center" vertical="top"/>
    </xf>
    <xf numFmtId="0" fontId="1" fillId="0" borderId="0" xfId="0" applyFon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1" fillId="4" borderId="1" xfId="0" applyFont="1" applyFill="1" applyBorder="1" applyAlignment="1">
      <alignment horizontal="center" vertical="top"/>
    </xf>
    <xf numFmtId="0" fontId="0" fillId="0" borderId="0" xfId="0" applyAlignment="1">
      <alignment vertical="top" wrapText="1"/>
    </xf>
    <xf numFmtId="0" fontId="1" fillId="0" borderId="1" xfId="0" applyFont="1" applyBorder="1" applyAlignment="1">
      <alignment vertical="top" wrapText="1"/>
    </xf>
    <xf numFmtId="0" fontId="0" fillId="0" borderId="1" xfId="0" applyBorder="1" applyAlignment="1">
      <alignment vertical="top" wrapText="1"/>
    </xf>
    <xf numFmtId="164" fontId="1" fillId="0" borderId="1" xfId="0" applyNumberFormat="1" applyFont="1" applyBorder="1" applyAlignment="1">
      <alignment horizontal="center" vertical="top"/>
    </xf>
    <xf numFmtId="164" fontId="1" fillId="3" borderId="0" xfId="0" applyNumberFormat="1" applyFont="1" applyFill="1" applyAlignment="1">
      <alignment horizontal="center" vertical="top"/>
    </xf>
    <xf numFmtId="164" fontId="0" fillId="0" borderId="0" xfId="0" applyNumberFormat="1"/>
    <xf numFmtId="164" fontId="2" fillId="2" borderId="0" xfId="0" applyNumberFormat="1" applyFont="1" applyFill="1" applyAlignment="1">
      <alignment horizontal="left"/>
    </xf>
    <xf numFmtId="164" fontId="1" fillId="0" borderId="0" xfId="0" applyNumberFormat="1" applyFont="1"/>
    <xf numFmtId="0" fontId="0" fillId="0" borderId="15" xfId="0" applyBorder="1"/>
    <xf numFmtId="0" fontId="0" fillId="0" borderId="14" xfId="0" applyBorder="1"/>
    <xf numFmtId="0" fontId="0" fillId="0" borderId="18" xfId="0" applyBorder="1"/>
    <xf numFmtId="0" fontId="0" fillId="0" borderId="1" xfId="0" applyBorder="1"/>
    <xf numFmtId="0" fontId="7" fillId="0" borderId="4" xfId="0" applyFont="1" applyBorder="1"/>
    <xf numFmtId="0" fontId="7" fillId="0" borderId="12" xfId="0" applyFont="1" applyBorder="1"/>
    <xf numFmtId="0" fontId="7" fillId="0" borderId="2" xfId="0" applyFont="1" applyBorder="1"/>
    <xf numFmtId="0" fontId="7" fillId="0" borderId="0" xfId="0" applyFont="1"/>
    <xf numFmtId="0" fontId="7" fillId="0" borderId="9" xfId="0" applyFont="1" applyBorder="1"/>
    <xf numFmtId="0" fontId="7" fillId="0" borderId="3" xfId="0" applyFont="1" applyBorder="1"/>
    <xf numFmtId="0" fontId="7" fillId="0" borderId="11" xfId="0" applyFont="1" applyBorder="1"/>
    <xf numFmtId="0" fontId="1" fillId="0" borderId="23" xfId="0" applyFont="1" applyBorder="1"/>
    <xf numFmtId="0" fontId="0" fillId="0" borderId="17" xfId="0" applyBorder="1"/>
    <xf numFmtId="0" fontId="4" fillId="7" borderId="1" xfId="1" applyFill="1" applyBorder="1" applyAlignment="1">
      <alignment horizontal="center"/>
    </xf>
    <xf numFmtId="0" fontId="0" fillId="0" borderId="13" xfId="0" applyBorder="1"/>
    <xf numFmtId="0" fontId="0" fillId="0" borderId="14" xfId="0" applyBorder="1"/>
    <xf numFmtId="0" fontId="4" fillId="6" borderId="1" xfId="1" applyFill="1" applyBorder="1" applyAlignment="1">
      <alignment horizontal="center"/>
    </xf>
    <xf numFmtId="0" fontId="2" fillId="2" borderId="0" xfId="0" applyFont="1" applyFill="1" applyAlignment="1">
      <alignment horizontal="left"/>
    </xf>
    <xf numFmtId="0" fontId="0" fillId="0" borderId="0" xfId="0"/>
    <xf numFmtId="164" fontId="0" fillId="0" borderId="0" xfId="0" applyNumberFormat="1"/>
    <xf numFmtId="0" fontId="0" fillId="11" borderId="3" xfId="0" applyFill="1" applyBorder="1" applyAlignment="1">
      <alignment horizontal="right"/>
    </xf>
    <xf numFmtId="0" fontId="0" fillId="0" borderId="9" xfId="0" applyBorder="1"/>
    <xf numFmtId="0" fontId="0" fillId="11" borderId="4" xfId="0" applyFill="1" applyBorder="1" applyAlignment="1">
      <alignment horizontal="right"/>
    </xf>
    <xf numFmtId="0" fontId="0" fillId="0" borderId="12" xfId="0" applyBorder="1"/>
    <xf numFmtId="0" fontId="0" fillId="9" borderId="1" xfId="0" applyFill="1" applyBorder="1" applyAlignment="1">
      <alignment horizontal="center"/>
    </xf>
    <xf numFmtId="0" fontId="5" fillId="3" borderId="17" xfId="0" applyFont="1" applyFill="1" applyBorder="1" applyAlignment="1">
      <alignment horizontal="center"/>
    </xf>
    <xf numFmtId="0" fontId="0" fillId="0" borderId="19" xfId="0" applyBorder="1"/>
    <xf numFmtId="0" fontId="0" fillId="0" borderId="16" xfId="0" applyBorder="1"/>
    <xf numFmtId="0" fontId="1" fillId="9" borderId="1" xfId="0" applyFont="1" applyFill="1" applyBorder="1" applyAlignment="1">
      <alignment horizontal="center"/>
    </xf>
    <xf numFmtId="0" fontId="6" fillId="10" borderId="20" xfId="0" applyFont="1" applyFill="1" applyBorder="1" applyAlignment="1">
      <alignment horizontal="center"/>
    </xf>
    <xf numFmtId="0" fontId="0" fillId="0" borderId="21" xfId="0" applyBorder="1"/>
    <xf numFmtId="0" fontId="0" fillId="0" borderId="22" xfId="0" applyBorder="1"/>
    <xf numFmtId="0" fontId="1" fillId="5" borderId="1" xfId="0" applyFont="1" applyFill="1" applyBorder="1" applyAlignment="1">
      <alignment horizontal="center" vertical="top"/>
    </xf>
    <xf numFmtId="0" fontId="5" fillId="8" borderId="17" xfId="0" applyFont="1" applyFill="1" applyBorder="1" applyAlignment="1">
      <alignment horizontal="center" vertical="top"/>
    </xf>
  </cellXfs>
  <cellStyles count="2">
    <cellStyle name="Hyperlink" xfId="1" builtinId="8"/>
    <cellStyle name="Normal" xfId="0" builtinId="0"/>
  </cellStyles>
  <dxfs count="24">
    <dxf>
      <fill>
        <patternFill patternType="solid">
          <fgColor rgb="FFEAF7EA"/>
          <bgColor rgb="FFEAF7EA"/>
        </patternFill>
      </fill>
    </dxf>
    <dxf>
      <fill>
        <patternFill patternType="solid">
          <fgColor rgb="FFFF0000"/>
          <bgColor rgb="FFC00000"/>
        </patternFill>
      </fill>
    </dxf>
    <dxf>
      <fill>
        <patternFill patternType="solid">
          <fgColor rgb="FFFF0000"/>
          <bgColor rgb="FFC00000"/>
        </patternFill>
      </fill>
    </dxf>
    <dxf>
      <fill>
        <patternFill patternType="solid">
          <fgColor rgb="FFF4B084"/>
          <bgColor theme="9" tint="0.39994506668294322"/>
        </patternFill>
      </fill>
    </dxf>
    <dxf>
      <fill>
        <patternFill patternType="solid">
          <fgColor rgb="FFFFF2CC"/>
          <bgColor rgb="FFFFFD78"/>
        </patternFill>
      </fill>
    </dxf>
    <dxf>
      <fill>
        <patternFill patternType="solid">
          <fgColor rgb="FFD9EAD3"/>
          <bgColor rgb="FFD5FC79"/>
        </patternFill>
      </fill>
    </dxf>
    <dxf>
      <fill>
        <patternFill patternType="solid">
          <fgColor rgb="FFC6EFCE"/>
          <bgColor rgb="FF73FB79"/>
        </patternFill>
      </fill>
    </dxf>
    <dxf>
      <fill>
        <patternFill patternType="solid">
          <fgColor rgb="FFFF0000"/>
          <bgColor rgb="FFC00000"/>
        </patternFill>
      </fill>
    </dxf>
    <dxf>
      <fill>
        <patternFill patternType="solid">
          <fgColor rgb="FFF4B084"/>
          <bgColor rgb="FFF4B084"/>
        </patternFill>
      </fill>
    </dxf>
    <dxf>
      <fill>
        <patternFill patternType="solid">
          <fgColor rgb="FFFFF2CC"/>
          <bgColor rgb="FFFFFD78"/>
        </patternFill>
      </fill>
    </dxf>
    <dxf>
      <fill>
        <patternFill patternType="solid">
          <fgColor rgb="FFD9EAD3"/>
          <bgColor rgb="FFD5FC79"/>
        </patternFill>
      </fill>
    </dxf>
    <dxf>
      <fill>
        <patternFill patternType="solid">
          <fgColor rgb="FFC6EFCE"/>
          <bgColor rgb="FF73FB79"/>
        </patternFill>
      </fill>
    </dxf>
    <dxf>
      <fill>
        <patternFill patternType="solid">
          <fgColor rgb="FFFF0000"/>
          <bgColor rgb="FFFF0000"/>
        </patternFill>
      </fill>
    </dxf>
    <dxf>
      <fill>
        <patternFill patternType="solid">
          <fgColor rgb="FFEAF7EA"/>
          <bgColor rgb="FFEAF7EA"/>
        </patternFill>
      </fill>
    </dxf>
    <dxf>
      <fill>
        <patternFill patternType="solid">
          <fgColor rgb="FFFF0000"/>
          <bgColor rgb="FFFF0000"/>
        </patternFill>
      </fill>
    </dxf>
    <dxf>
      <fill>
        <patternFill patternType="solid">
          <fgColor rgb="FFEAF7EA"/>
          <bgColor rgb="FFEAF7EA"/>
        </patternFill>
      </fill>
    </dxf>
    <dxf>
      <fill>
        <patternFill patternType="solid">
          <fgColor rgb="FFFF0000"/>
          <bgColor rgb="FFFF0000"/>
        </patternFill>
      </fill>
    </dxf>
    <dxf>
      <fill>
        <patternFill patternType="solid">
          <fgColor rgb="FFEAF7EA"/>
          <bgColor rgb="FFEAF7EA"/>
        </patternFill>
      </fill>
    </dxf>
    <dxf>
      <fill>
        <patternFill patternType="solid">
          <fgColor rgb="FFFF0000"/>
          <bgColor rgb="FFFF0000"/>
        </patternFill>
      </fill>
    </dxf>
    <dxf>
      <fill>
        <patternFill patternType="solid">
          <fgColor rgb="FFEAF7EA"/>
          <bgColor rgb="FFEAF7EA"/>
        </patternFill>
      </fill>
    </dxf>
    <dxf>
      <fill>
        <patternFill patternType="solid">
          <fgColor rgb="FFFF0000"/>
          <bgColor rgb="FFFF0000"/>
        </patternFill>
      </fill>
    </dxf>
    <dxf>
      <fill>
        <patternFill patternType="solid">
          <fgColor rgb="FFEAF7EA"/>
          <bgColor rgb="FFEAF7EA"/>
        </patternFill>
      </fill>
    </dxf>
    <dxf>
      <fill>
        <patternFill patternType="solid">
          <fgColor rgb="FFFF0000"/>
          <bgColor rgb="FFFF0000"/>
        </patternFill>
      </fill>
    </dxf>
    <dxf>
      <fill>
        <patternFill patternType="solid">
          <fgColor rgb="FFEAF7EA"/>
          <bgColor rgb="FFEAF7EA"/>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86:H390"/>
  <sheetViews>
    <sheetView topLeftCell="A30" workbookViewId="0">
      <selection activeCell="D9" sqref="D9"/>
    </sheetView>
  </sheetViews>
  <sheetFormatPr baseColWidth="10" defaultRowHeight="15" x14ac:dyDescent="0.2"/>
  <cols>
    <col min="5" max="8" width="32.6640625" style="19" customWidth="1"/>
    <col min="14" max="15" width="10.83203125" customWidth="1"/>
  </cols>
  <sheetData>
    <row r="86" spans="1:4" x14ac:dyDescent="0.2">
      <c r="A86" s="43" t="s">
        <v>0</v>
      </c>
      <c r="B86" s="41"/>
      <c r="C86" s="41"/>
      <c r="D86" s="42"/>
    </row>
    <row r="93" spans="1:4" x14ac:dyDescent="0.2">
      <c r="A93" s="43" t="s">
        <v>1</v>
      </c>
      <c r="B93" s="41"/>
      <c r="C93" s="41"/>
      <c r="D93" s="42"/>
    </row>
    <row r="99" spans="1:4" x14ac:dyDescent="0.2">
      <c r="A99" s="43" t="s">
        <v>2</v>
      </c>
      <c r="B99" s="41"/>
      <c r="C99" s="41"/>
      <c r="D99" s="42"/>
    </row>
    <row r="104" spans="1:4" x14ac:dyDescent="0.2">
      <c r="A104" s="43" t="s">
        <v>3</v>
      </c>
      <c r="B104" s="41"/>
      <c r="C104" s="41"/>
      <c r="D104" s="42"/>
    </row>
    <row r="110" spans="1:4" x14ac:dyDescent="0.2">
      <c r="A110" s="43" t="s">
        <v>4</v>
      </c>
      <c r="B110" s="41"/>
      <c r="C110" s="41"/>
      <c r="D110" s="42"/>
    </row>
    <row r="116" spans="1:4" x14ac:dyDescent="0.2">
      <c r="A116" s="43" t="s">
        <v>5</v>
      </c>
      <c r="B116" s="41"/>
      <c r="C116" s="41"/>
      <c r="D116" s="42"/>
    </row>
    <row r="231" spans="1:8" x14ac:dyDescent="0.2">
      <c r="A231" s="40" t="s">
        <v>6</v>
      </c>
      <c r="B231" s="41"/>
      <c r="C231" s="41"/>
      <c r="D231" s="42"/>
    </row>
    <row r="237" spans="1:8" ht="16" customHeight="1" x14ac:dyDescent="0.2">
      <c r="E237" s="20" t="s">
        <v>7</v>
      </c>
      <c r="F237" s="20" t="s">
        <v>8</v>
      </c>
      <c r="G237" s="20" t="s">
        <v>9</v>
      </c>
      <c r="H237" s="20" t="s">
        <v>10</v>
      </c>
    </row>
    <row r="238" spans="1:8" ht="272" customHeight="1" x14ac:dyDescent="0.2">
      <c r="E238" s="20" t="s">
        <v>11</v>
      </c>
      <c r="F238" s="20" t="s">
        <v>12</v>
      </c>
      <c r="G238" s="21" t="s">
        <v>13</v>
      </c>
      <c r="H238" s="21" t="s">
        <v>14</v>
      </c>
    </row>
    <row r="239" spans="1:8" ht="256" customHeight="1" x14ac:dyDescent="0.2">
      <c r="E239" s="20" t="s">
        <v>15</v>
      </c>
      <c r="F239" s="20" t="s">
        <v>16</v>
      </c>
      <c r="G239" s="19" t="s">
        <v>17</v>
      </c>
      <c r="H239" s="21" t="s">
        <v>18</v>
      </c>
    </row>
    <row r="240" spans="1:8" ht="272" customHeight="1" x14ac:dyDescent="0.2">
      <c r="E240" s="20" t="s">
        <v>19</v>
      </c>
      <c r="F240" s="20" t="s">
        <v>20</v>
      </c>
      <c r="G240" s="21" t="s">
        <v>21</v>
      </c>
      <c r="H240" s="21" t="s">
        <v>22</v>
      </c>
    </row>
    <row r="241" spans="5:8" ht="208" customHeight="1" x14ac:dyDescent="0.2">
      <c r="E241" s="20" t="s">
        <v>23</v>
      </c>
      <c r="F241" s="21" t="s">
        <v>24</v>
      </c>
      <c r="G241" s="21" t="s">
        <v>25</v>
      </c>
      <c r="H241" s="21" t="s">
        <v>26</v>
      </c>
    </row>
    <row r="258" spans="1:8" x14ac:dyDescent="0.2">
      <c r="A258" s="40" t="s">
        <v>6</v>
      </c>
      <c r="B258" s="41"/>
      <c r="C258" s="41"/>
      <c r="D258" s="42"/>
    </row>
    <row r="264" spans="1:8" ht="16" customHeight="1" x14ac:dyDescent="0.2">
      <c r="E264" s="20" t="s">
        <v>7</v>
      </c>
      <c r="F264" s="20" t="s">
        <v>8</v>
      </c>
      <c r="G264" s="20" t="s">
        <v>9</v>
      </c>
      <c r="H264" s="20" t="s">
        <v>27</v>
      </c>
    </row>
    <row r="265" spans="1:8" ht="395" customHeight="1" x14ac:dyDescent="0.2">
      <c r="E265" s="20" t="s">
        <v>28</v>
      </c>
      <c r="F265" s="20" t="s">
        <v>29</v>
      </c>
      <c r="G265" s="19" t="s">
        <v>30</v>
      </c>
      <c r="H265" s="21" t="s">
        <v>31</v>
      </c>
    </row>
    <row r="266" spans="1:8" ht="320" customHeight="1" x14ac:dyDescent="0.2">
      <c r="E266" s="20" t="s">
        <v>32</v>
      </c>
      <c r="F266" s="20" t="s">
        <v>33</v>
      </c>
      <c r="G266" s="21" t="s">
        <v>34</v>
      </c>
      <c r="H266" s="21" t="s">
        <v>35</v>
      </c>
    </row>
    <row r="267" spans="1:8" ht="320" customHeight="1" x14ac:dyDescent="0.2">
      <c r="E267" s="20" t="s">
        <v>36</v>
      </c>
      <c r="F267" s="20" t="s">
        <v>37</v>
      </c>
      <c r="G267" s="21" t="s">
        <v>38</v>
      </c>
      <c r="H267" s="21" t="s">
        <v>39</v>
      </c>
    </row>
    <row r="268" spans="1:8" ht="272" customHeight="1" x14ac:dyDescent="0.2">
      <c r="E268" s="20" t="s">
        <v>40</v>
      </c>
      <c r="F268" s="20" t="s">
        <v>41</v>
      </c>
      <c r="G268" s="21" t="s">
        <v>42</v>
      </c>
      <c r="H268" s="21" t="s">
        <v>43</v>
      </c>
    </row>
    <row r="269" spans="1:8" ht="208" customHeight="1" x14ac:dyDescent="0.2">
      <c r="E269" s="20" t="s">
        <v>44</v>
      </c>
      <c r="F269" s="21" t="s">
        <v>45</v>
      </c>
      <c r="G269" s="21" t="s">
        <v>46</v>
      </c>
      <c r="H269" s="21" t="s">
        <v>47</v>
      </c>
    </row>
    <row r="287" spans="1:4" x14ac:dyDescent="0.2">
      <c r="A287" s="40" t="s">
        <v>6</v>
      </c>
      <c r="B287" s="41"/>
      <c r="C287" s="41"/>
      <c r="D287" s="42"/>
    </row>
    <row r="294" spans="5:8" ht="16" customHeight="1" x14ac:dyDescent="0.2">
      <c r="E294" s="20" t="s">
        <v>7</v>
      </c>
      <c r="F294" s="20" t="s">
        <v>8</v>
      </c>
      <c r="G294" s="20" t="s">
        <v>9</v>
      </c>
      <c r="H294" s="20" t="s">
        <v>48</v>
      </c>
    </row>
    <row r="295" spans="5:8" ht="240" customHeight="1" x14ac:dyDescent="0.2">
      <c r="E295" s="20" t="s">
        <v>49</v>
      </c>
      <c r="F295" s="20" t="s">
        <v>50</v>
      </c>
      <c r="G295" s="21" t="s">
        <v>51</v>
      </c>
      <c r="H295" s="21" t="s">
        <v>52</v>
      </c>
    </row>
    <row r="296" spans="5:8" ht="240" customHeight="1" x14ac:dyDescent="0.2">
      <c r="E296" s="20" t="s">
        <v>53</v>
      </c>
      <c r="F296" s="20" t="s">
        <v>54</v>
      </c>
      <c r="G296" s="21" t="s">
        <v>55</v>
      </c>
      <c r="H296" s="21" t="s">
        <v>56</v>
      </c>
    </row>
    <row r="297" spans="5:8" ht="272" customHeight="1" x14ac:dyDescent="0.2">
      <c r="E297" s="20" t="s">
        <v>57</v>
      </c>
      <c r="F297" s="21" t="s">
        <v>58</v>
      </c>
      <c r="G297" s="21" t="s">
        <v>59</v>
      </c>
      <c r="H297" s="21" t="s">
        <v>60</v>
      </c>
    </row>
    <row r="298" spans="5:8" ht="304" customHeight="1" x14ac:dyDescent="0.2">
      <c r="E298" s="20" t="s">
        <v>61</v>
      </c>
      <c r="F298" s="20" t="s">
        <v>62</v>
      </c>
      <c r="G298" s="21" t="s">
        <v>63</v>
      </c>
      <c r="H298" s="21" t="s">
        <v>64</v>
      </c>
    </row>
    <row r="299" spans="5:8" ht="272" customHeight="1" x14ac:dyDescent="0.2">
      <c r="E299" s="20" t="s">
        <v>65</v>
      </c>
      <c r="F299" s="20" t="s">
        <v>66</v>
      </c>
      <c r="G299" s="21" t="s">
        <v>67</v>
      </c>
      <c r="H299" s="21" t="s">
        <v>68</v>
      </c>
    </row>
    <row r="300" spans="5:8" ht="192" customHeight="1" x14ac:dyDescent="0.2">
      <c r="E300" s="20" t="s">
        <v>69</v>
      </c>
      <c r="F300" s="21" t="s">
        <v>70</v>
      </c>
      <c r="G300" s="21" t="s">
        <v>71</v>
      </c>
      <c r="H300" s="21" t="s">
        <v>72</v>
      </c>
    </row>
    <row r="317" spans="1:4" x14ac:dyDescent="0.2">
      <c r="A317" s="40" t="s">
        <v>6</v>
      </c>
      <c r="B317" s="41"/>
      <c r="C317" s="41"/>
      <c r="D317" s="42"/>
    </row>
    <row r="325" spans="5:8" ht="16" customHeight="1" x14ac:dyDescent="0.2">
      <c r="E325" s="20" t="s">
        <v>7</v>
      </c>
      <c r="F325" s="20" t="s">
        <v>8</v>
      </c>
      <c r="G325" s="20" t="s">
        <v>9</v>
      </c>
      <c r="H325" s="20" t="s">
        <v>73</v>
      </c>
    </row>
    <row r="326" spans="5:8" ht="256" customHeight="1" x14ac:dyDescent="0.2">
      <c r="E326" s="20" t="s">
        <v>74</v>
      </c>
      <c r="F326" s="20" t="s">
        <v>75</v>
      </c>
      <c r="G326" s="21" t="s">
        <v>76</v>
      </c>
      <c r="H326" s="21" t="s">
        <v>77</v>
      </c>
    </row>
    <row r="327" spans="5:8" ht="240" customHeight="1" x14ac:dyDescent="0.2">
      <c r="E327" s="20" t="s">
        <v>78</v>
      </c>
      <c r="F327" s="21" t="s">
        <v>79</v>
      </c>
      <c r="G327" s="21" t="s">
        <v>80</v>
      </c>
      <c r="H327" s="21" t="s">
        <v>81</v>
      </c>
    </row>
    <row r="328" spans="5:8" ht="272" customHeight="1" x14ac:dyDescent="0.2">
      <c r="E328" s="20" t="s">
        <v>82</v>
      </c>
      <c r="F328" s="20" t="s">
        <v>83</v>
      </c>
      <c r="G328" s="21" t="s">
        <v>84</v>
      </c>
      <c r="H328" s="21" t="s">
        <v>85</v>
      </c>
    </row>
    <row r="329" spans="5:8" ht="272" customHeight="1" x14ac:dyDescent="0.2">
      <c r="E329" s="20" t="s">
        <v>86</v>
      </c>
      <c r="F329" s="21" t="s">
        <v>87</v>
      </c>
      <c r="G329" s="21" t="s">
        <v>88</v>
      </c>
      <c r="H329" s="21" t="s">
        <v>89</v>
      </c>
    </row>
    <row r="330" spans="5:8" ht="272" customHeight="1" x14ac:dyDescent="0.2">
      <c r="E330" s="20" t="s">
        <v>90</v>
      </c>
      <c r="F330" s="20" t="s">
        <v>91</v>
      </c>
      <c r="G330" s="21" t="s">
        <v>92</v>
      </c>
      <c r="H330" s="21" t="s">
        <v>93</v>
      </c>
    </row>
    <row r="331" spans="5:8" ht="240" customHeight="1" x14ac:dyDescent="0.2">
      <c r="E331" s="20" t="s">
        <v>94</v>
      </c>
      <c r="F331" s="20" t="s">
        <v>95</v>
      </c>
      <c r="G331" s="21" t="s">
        <v>96</v>
      </c>
      <c r="H331" s="21" t="s">
        <v>97</v>
      </c>
    </row>
    <row r="349" spans="1:4" x14ac:dyDescent="0.2">
      <c r="A349" s="40" t="s">
        <v>6</v>
      </c>
      <c r="B349" s="41"/>
      <c r="C349" s="41"/>
      <c r="D349" s="42"/>
    </row>
    <row r="356" spans="5:8" ht="16" customHeight="1" x14ac:dyDescent="0.2">
      <c r="E356" s="20" t="s">
        <v>7</v>
      </c>
      <c r="F356" s="20" t="s">
        <v>8</v>
      </c>
      <c r="G356" s="20" t="s">
        <v>9</v>
      </c>
      <c r="H356" s="20" t="s">
        <v>98</v>
      </c>
    </row>
    <row r="357" spans="5:8" ht="272" customHeight="1" x14ac:dyDescent="0.2">
      <c r="E357" s="20" t="s">
        <v>99</v>
      </c>
      <c r="F357" s="21" t="s">
        <v>100</v>
      </c>
      <c r="G357" s="19" t="s">
        <v>101</v>
      </c>
      <c r="H357" s="21" t="s">
        <v>102</v>
      </c>
    </row>
    <row r="358" spans="5:8" ht="288" customHeight="1" x14ac:dyDescent="0.2">
      <c r="E358" s="20" t="s">
        <v>103</v>
      </c>
      <c r="F358" s="19" t="s">
        <v>104</v>
      </c>
      <c r="G358" s="21" t="s">
        <v>105</v>
      </c>
      <c r="H358" s="21" t="s">
        <v>106</v>
      </c>
    </row>
    <row r="359" spans="5:8" ht="256" customHeight="1" x14ac:dyDescent="0.2">
      <c r="E359" s="20" t="s">
        <v>107</v>
      </c>
      <c r="F359" s="20" t="s">
        <v>108</v>
      </c>
      <c r="G359" s="21" t="s">
        <v>109</v>
      </c>
      <c r="H359" s="21" t="s">
        <v>110</v>
      </c>
    </row>
    <row r="360" spans="5:8" ht="288" customHeight="1" x14ac:dyDescent="0.2">
      <c r="E360" s="20" t="s">
        <v>111</v>
      </c>
      <c r="F360" s="20" t="s">
        <v>112</v>
      </c>
      <c r="G360" s="21" t="s">
        <v>113</v>
      </c>
      <c r="H360" s="21" t="s">
        <v>114</v>
      </c>
    </row>
    <row r="361" spans="5:8" ht="240" customHeight="1" x14ac:dyDescent="0.2">
      <c r="E361" s="20" t="s">
        <v>115</v>
      </c>
      <c r="F361" s="21" t="s">
        <v>116</v>
      </c>
      <c r="G361" s="21" t="s">
        <v>117</v>
      </c>
      <c r="H361" s="21" t="s">
        <v>118</v>
      </c>
    </row>
    <row r="378" spans="1:4" x14ac:dyDescent="0.2">
      <c r="A378" s="40" t="s">
        <v>6</v>
      </c>
      <c r="B378" s="41"/>
      <c r="C378" s="41"/>
      <c r="D378" s="42"/>
    </row>
    <row r="385" spans="5:8" ht="16" customHeight="1" x14ac:dyDescent="0.2">
      <c r="E385" s="20" t="s">
        <v>7</v>
      </c>
      <c r="F385" s="20" t="s">
        <v>8</v>
      </c>
      <c r="G385" s="20" t="s">
        <v>9</v>
      </c>
      <c r="H385" s="20" t="s">
        <v>119</v>
      </c>
    </row>
    <row r="386" spans="5:8" ht="240" customHeight="1" x14ac:dyDescent="0.2">
      <c r="E386" s="20" t="s">
        <v>120</v>
      </c>
      <c r="F386" s="20" t="s">
        <v>121</v>
      </c>
      <c r="G386" s="21" t="s">
        <v>122</v>
      </c>
      <c r="H386" s="21" t="s">
        <v>123</v>
      </c>
    </row>
    <row r="387" spans="5:8" ht="288" customHeight="1" x14ac:dyDescent="0.2">
      <c r="E387" s="20" t="s">
        <v>124</v>
      </c>
      <c r="F387" s="21" t="s">
        <v>125</v>
      </c>
      <c r="G387" s="21" t="s">
        <v>126</v>
      </c>
      <c r="H387" s="21" t="s">
        <v>127</v>
      </c>
    </row>
    <row r="388" spans="5:8" ht="272" customHeight="1" x14ac:dyDescent="0.2">
      <c r="E388" s="20" t="s">
        <v>128</v>
      </c>
      <c r="F388" s="21" t="s">
        <v>129</v>
      </c>
      <c r="G388" s="21" t="s">
        <v>130</v>
      </c>
      <c r="H388" s="21" t="s">
        <v>131</v>
      </c>
    </row>
    <row r="389" spans="5:8" ht="288" customHeight="1" x14ac:dyDescent="0.2">
      <c r="E389" s="20" t="s">
        <v>132</v>
      </c>
      <c r="F389" s="20" t="s">
        <v>133</v>
      </c>
      <c r="G389" s="21" t="s">
        <v>134</v>
      </c>
      <c r="H389" s="21" t="s">
        <v>135</v>
      </c>
    </row>
    <row r="390" spans="5:8" ht="335" customHeight="1" x14ac:dyDescent="0.2">
      <c r="E390" s="20" t="s">
        <v>136</v>
      </c>
      <c r="F390" s="19" t="s">
        <v>137</v>
      </c>
      <c r="G390" s="21" t="s">
        <v>138</v>
      </c>
      <c r="H390" s="21" t="s">
        <v>139</v>
      </c>
    </row>
  </sheetData>
  <mergeCells count="12">
    <mergeCell ref="A378:D378"/>
    <mergeCell ref="A258:D258"/>
    <mergeCell ref="A86:D86"/>
    <mergeCell ref="A104:D104"/>
    <mergeCell ref="A231:D231"/>
    <mergeCell ref="A99:D99"/>
    <mergeCell ref="A349:D349"/>
    <mergeCell ref="A93:D93"/>
    <mergeCell ref="A317:D317"/>
    <mergeCell ref="A116:D116"/>
    <mergeCell ref="A287:D287"/>
    <mergeCell ref="A110:D110"/>
  </mergeCells>
  <hyperlinks>
    <hyperlink ref="A86" location="Tab1_Map" display="View detailed regulatory mapping for Tab 1 &gt;" xr:uid="{00000000-0004-0000-0000-000000000000}"/>
    <hyperlink ref="A93" location="Tab2_Map" display="View detailed regulatory mapping for Tab 2 &gt;" xr:uid="{00000000-0004-0000-0000-000001000000}"/>
    <hyperlink ref="A99" location="Tab3_Map" display="View detailed regulatory mapping for Tab 3 &gt;" xr:uid="{00000000-0004-0000-0000-000002000000}"/>
    <hyperlink ref="A104" location="Tab4_Map" display="View detailed regulatory mapping for Tab 4 &gt;" xr:uid="{00000000-0004-0000-0000-000003000000}"/>
    <hyperlink ref="A110" location="Tab5_Map" display="View detailed regulatory mapping for Tab 5 &gt;" xr:uid="{00000000-0004-0000-0000-000004000000}"/>
    <hyperlink ref="A116" location="Tab6_Map" display="View detailed regulatory mapping for Tab 6 &gt;" xr:uid="{00000000-0004-0000-0000-000005000000}"/>
    <hyperlink ref="A231" location="Structure_Map" display="Return to: 3. Structure of the Workbook ^" xr:uid="{00000000-0004-0000-0000-000006000000}"/>
    <hyperlink ref="A258" location="Structure_Map" display="Return to: 3. Structure of the Workbook ^" xr:uid="{00000000-0004-0000-0000-000007000000}"/>
    <hyperlink ref="A287" location="Structure_Map" display="Return to: 3. Structure of the Workbook ^" xr:uid="{00000000-0004-0000-0000-000008000000}"/>
    <hyperlink ref="A317" location="Structure_Map" display="Return to: 3. Structure of the Workbook ^" xr:uid="{00000000-0004-0000-0000-000009000000}"/>
    <hyperlink ref="A349" location="Structure_Map" display="Return to: 3. Structure of the Workbook ^" xr:uid="{00000000-0004-0000-0000-00000A000000}"/>
    <hyperlink ref="A378" location="Structure_Map" display="Return to: 3. Structure of the Workbook ^" xr:uid="{00000000-0004-0000-0000-00000B000000}"/>
  </hyperlink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08"/>
  <sheetViews>
    <sheetView tabSelected="1" topLeftCell="J34" workbookViewId="0">
      <selection activeCell="P46" sqref="P46"/>
    </sheetView>
  </sheetViews>
  <sheetFormatPr baseColWidth="10" defaultColWidth="8.83203125" defaultRowHeight="15" x14ac:dyDescent="0.2"/>
  <cols>
    <col min="1" max="1" width="16.33203125" customWidth="1"/>
    <col min="2" max="2" width="154.5" customWidth="1"/>
    <col min="3" max="6" width="16.33203125" customWidth="1"/>
    <col min="7" max="7" width="23.5" customWidth="1"/>
    <col min="8" max="10" width="16.33203125" customWidth="1"/>
    <col min="11" max="11" width="24.5" style="24" customWidth="1"/>
    <col min="12" max="12" width="16.33203125" customWidth="1"/>
    <col min="13" max="13" width="21.1640625" customWidth="1"/>
    <col min="14" max="15" width="16.33203125" customWidth="1"/>
    <col min="16" max="16" width="22.6640625" customWidth="1"/>
    <col min="17" max="17" width="92.33203125" customWidth="1"/>
    <col min="18" max="18" width="52.33203125" customWidth="1"/>
    <col min="20" max="24" width="17" customWidth="1"/>
  </cols>
  <sheetData>
    <row r="1" spans="1:19" x14ac:dyDescent="0.2">
      <c r="A1" s="1" t="s">
        <v>140</v>
      </c>
      <c r="B1" s="1" t="s">
        <v>141</v>
      </c>
      <c r="C1" s="1" t="s">
        <v>142</v>
      </c>
      <c r="D1" s="1" t="s">
        <v>143</v>
      </c>
      <c r="E1" s="1" t="s">
        <v>144</v>
      </c>
      <c r="F1" s="1" t="s">
        <v>145</v>
      </c>
      <c r="G1" s="1" t="s">
        <v>146</v>
      </c>
      <c r="H1" s="1" t="s">
        <v>147</v>
      </c>
      <c r="I1" s="1" t="s">
        <v>148</v>
      </c>
      <c r="J1" s="1" t="s">
        <v>149</v>
      </c>
      <c r="K1" s="22" t="s">
        <v>150</v>
      </c>
      <c r="L1" s="1" t="s">
        <v>151</v>
      </c>
      <c r="M1" s="1" t="s">
        <v>152</v>
      </c>
      <c r="N1" s="1" t="s">
        <v>153</v>
      </c>
      <c r="O1" s="1" t="s">
        <v>154</v>
      </c>
      <c r="P1" s="1" t="s">
        <v>155</v>
      </c>
      <c r="Q1" s="1" t="s">
        <v>156</v>
      </c>
      <c r="R1" s="1" t="s">
        <v>157</v>
      </c>
      <c r="S1" t="s">
        <v>158</v>
      </c>
    </row>
    <row r="2" spans="1:19" x14ac:dyDescent="0.2">
      <c r="A2" s="4"/>
      <c r="B2" s="5" t="s">
        <v>159</v>
      </c>
      <c r="C2" s="4"/>
      <c r="D2" s="4"/>
      <c r="E2" s="4"/>
      <c r="F2" s="4"/>
      <c r="G2" s="4"/>
      <c r="H2" s="4"/>
      <c r="I2" s="4"/>
      <c r="J2" s="4"/>
      <c r="K2" s="23"/>
      <c r="L2" s="4"/>
      <c r="M2" s="4"/>
      <c r="N2" s="4"/>
      <c r="O2" s="4"/>
      <c r="P2" s="4"/>
      <c r="Q2" s="4"/>
      <c r="R2" s="4"/>
    </row>
    <row r="3" spans="1:19" x14ac:dyDescent="0.2">
      <c r="A3" s="3"/>
      <c r="B3" s="44"/>
      <c r="C3" s="45"/>
      <c r="D3" s="45"/>
      <c r="E3" s="45"/>
      <c r="F3" s="45"/>
      <c r="G3" s="45"/>
      <c r="H3" s="45"/>
      <c r="I3" s="45"/>
      <c r="J3" s="45"/>
      <c r="K3" s="46"/>
      <c r="L3" s="45"/>
      <c r="M3" s="45"/>
      <c r="N3" s="45"/>
      <c r="O3" s="45"/>
      <c r="P3" s="45"/>
      <c r="Q3" s="45"/>
      <c r="R3" s="45"/>
    </row>
    <row r="4" spans="1:19" x14ac:dyDescent="0.2">
      <c r="A4" t="s">
        <v>160</v>
      </c>
      <c r="B4" t="s">
        <v>161</v>
      </c>
      <c r="C4" t="s">
        <v>162</v>
      </c>
      <c r="D4" t="s">
        <v>163</v>
      </c>
      <c r="E4">
        <f>IF(ISNUMBER(SEARCH("Primary: Meme",C4)),22,IF(ISNUMBER(SEARCH("Primary: Asset",C4)),18,IF(ISNUMBER(SEARCH("Primary: Liquidity",C4)),15,IF(ISNUMBER(SEARCH("Primary: Governance",C4)),12,IF(ISNUMBER(SEARCH("Primary: Utility",C4)),7,IF(ISNUMBER(SEARCH("Primary: Gas",C4)),5,IF(ISNUMBER(SEARCH("Primary: Native",C4)),0,IF(ISNUMBER(SEARCH("Primary: Stablecoin",C4)),5,IF(ISNUMBER(SEARCH("Primary: LP/AMM",C4)),15,IF(C4="","",10))))))))))</f>
        <v>0</v>
      </c>
      <c r="F4">
        <f t="shared" ref="F4:F9" si="0">IF(D4="High",0,IF(D4="Medium",0.05,IF(D4="Low",0.1,IF(D4="Unknown",0.15,""))))</f>
        <v>0</v>
      </c>
      <c r="G4">
        <f t="shared" ref="G4:G9" si="1">E4*(1+F4)</f>
        <v>0</v>
      </c>
      <c r="H4" t="s">
        <v>164</v>
      </c>
      <c r="I4" t="s">
        <v>165</v>
      </c>
      <c r="J4" t="s">
        <v>166</v>
      </c>
      <c r="K4" s="24">
        <f t="shared" ref="K4:K9" si="2">IF(I4="","",MAX(IFERROR(DATEVALUE(TRIM(MID(SUBSTITUTE(I4,";",REPT(" ",50)),1,50))),0),IFERROR(DATEVALUE(TRIM(MID(SUBSTITUTE(I4,";",REPT(" ",50)),51,50))),0),IFERROR(DATEVALUE(TRIM(MID(SUBSTITUTE(I4,";",REPT(" ",50)),101,50))),0),IFERROR(DATEVALUE(TRIM(MID(SUBSTITUTE(I4,";",REPT(" ",50)),151,50))),0),IFERROR(DATEVALUE(TRIM(MID(SUBSTITUTE(I4,";",REPT(" ",50)),201,50))),0),IFERROR(DATEVALUE(TRIM(MID(SUBSTITUTE(I4,";",REPT(" ",50)),251,50))),0),IFERROR(DATEVALUE(TRIM(MID(SUBSTITUTE(I4,";",REPT(" ",50)),301,50))),0),IFERROR(DATEVALUE(TRIM(MID(SUBSTITUTE(I4,";",REPT(" ",50)),351,50))),0),IFERROR(DATEVALUE(TRIM(MID(SUBSTITUTE(I4,";",REPT(" ",50)),401,50))),0),IFERROR(DATEVALUE(TRIM(MID(SUBSTITUTE(I4,";",REPT(" ",50)),451,50))),0)))</f>
        <v>45078</v>
      </c>
      <c r="L4">
        <f t="shared" ref="L4:L9" ca="1" si="3">IF(K4="","",TODAY()-K4)</f>
        <v>926</v>
      </c>
      <c r="M4" t="s">
        <v>167</v>
      </c>
      <c r="N4">
        <f t="shared" ref="N4:N9" ca="1" si="4">IF(M4="","",IF(L4="",INDEX($F$92:$F$95,MATCH(M4,$C$92:$C$95,0)),IF(L4&lt;=INDEX($D$92:$D$95,MATCH(M4,$C$92:$C$95,0)),0,IF(L4&lt;=INDEX($E$92:$E$95,MATCH(M4,$C$92:$C$95,0)),INDEX($F$92:$F$95,MATCH(M4,$C$92:$C$95,0)),INDEX($G$92:$G$95,MATCH(M4,$C$92:$C$95,0))))))</f>
        <v>0</v>
      </c>
      <c r="O4">
        <f t="shared" ref="O4:O9" ca="1" si="5">G4+N4</f>
        <v>0</v>
      </c>
      <c r="P4" t="s">
        <v>168</v>
      </c>
      <c r="Q4" t="s">
        <v>169</v>
      </c>
      <c r="R4" t="s">
        <v>170</v>
      </c>
    </row>
    <row r="5" spans="1:19" x14ac:dyDescent="0.2">
      <c r="A5" t="s">
        <v>171</v>
      </c>
      <c r="B5" t="s">
        <v>172</v>
      </c>
      <c r="C5" t="s">
        <v>173</v>
      </c>
      <c r="D5" t="s">
        <v>163</v>
      </c>
      <c r="E5">
        <v>0</v>
      </c>
      <c r="F5">
        <f t="shared" si="0"/>
        <v>0</v>
      </c>
      <c r="G5">
        <f t="shared" si="1"/>
        <v>0</v>
      </c>
      <c r="H5" t="s">
        <v>174</v>
      </c>
      <c r="I5" t="s">
        <v>175</v>
      </c>
      <c r="J5" t="s">
        <v>176</v>
      </c>
      <c r="K5" s="24">
        <f t="shared" si="2"/>
        <v>45611</v>
      </c>
      <c r="L5">
        <f t="shared" ca="1" si="3"/>
        <v>393</v>
      </c>
      <c r="M5" t="s">
        <v>167</v>
      </c>
      <c r="N5">
        <f t="shared" ca="1" si="4"/>
        <v>0</v>
      </c>
      <c r="O5">
        <f t="shared" ca="1" si="5"/>
        <v>0</v>
      </c>
      <c r="P5" t="s">
        <v>168</v>
      </c>
      <c r="Q5" t="s">
        <v>177</v>
      </c>
      <c r="R5" t="s">
        <v>178</v>
      </c>
    </row>
    <row r="6" spans="1:19" x14ac:dyDescent="0.2">
      <c r="A6" t="s">
        <v>179</v>
      </c>
      <c r="B6" t="s">
        <v>180</v>
      </c>
      <c r="C6" t="s">
        <v>181</v>
      </c>
      <c r="D6" t="s">
        <v>163</v>
      </c>
      <c r="E6">
        <f>IF(C6="Yes",0,IF(C6="Partial",10,IF(C6="No",20,"")))</f>
        <v>10</v>
      </c>
      <c r="F6">
        <f t="shared" si="0"/>
        <v>0</v>
      </c>
      <c r="G6">
        <f t="shared" si="1"/>
        <v>10</v>
      </c>
      <c r="H6" t="s">
        <v>182</v>
      </c>
      <c r="I6" t="s">
        <v>183</v>
      </c>
      <c r="J6" t="s">
        <v>176</v>
      </c>
      <c r="K6" s="24">
        <f t="shared" si="2"/>
        <v>45791</v>
      </c>
      <c r="L6">
        <f t="shared" ca="1" si="3"/>
        <v>213</v>
      </c>
      <c r="M6" t="s">
        <v>184</v>
      </c>
      <c r="N6">
        <f t="shared" ca="1" si="4"/>
        <v>3</v>
      </c>
      <c r="O6">
        <f t="shared" ca="1" si="5"/>
        <v>13</v>
      </c>
      <c r="P6" t="str">
        <f>IF(AND(C6="No",D6="Low"),"Review Required","No Review")</f>
        <v>No Review</v>
      </c>
      <c r="Q6" t="s">
        <v>185</v>
      </c>
      <c r="R6" t="s">
        <v>186</v>
      </c>
    </row>
    <row r="7" spans="1:19" x14ac:dyDescent="0.2">
      <c r="A7" t="s">
        <v>187</v>
      </c>
      <c r="B7" t="s">
        <v>188</v>
      </c>
      <c r="C7" t="s">
        <v>189</v>
      </c>
      <c r="D7" t="s">
        <v>163</v>
      </c>
      <c r="E7">
        <f>IF(C7="","",IF(((LEN(C7)-LEN(SUBSTITUTE(C7,",","")))+(LEN(C7)-LEN(SUBSTITUTE(C7,";","")))+(LEN(C7)-LEN(SUBSTITUTE(C7,CHAR(10),""))))&gt;=1,0,10))</f>
        <v>0</v>
      </c>
      <c r="F7">
        <f t="shared" si="0"/>
        <v>0</v>
      </c>
      <c r="G7">
        <f t="shared" si="1"/>
        <v>0</v>
      </c>
      <c r="H7" t="s">
        <v>190</v>
      </c>
      <c r="I7" t="s">
        <v>191</v>
      </c>
      <c r="J7" t="s">
        <v>176</v>
      </c>
      <c r="K7" s="24">
        <f t="shared" si="2"/>
        <v>45992</v>
      </c>
      <c r="L7">
        <f t="shared" ca="1" si="3"/>
        <v>12</v>
      </c>
      <c r="M7" t="s">
        <v>184</v>
      </c>
      <c r="N7">
        <f t="shared" ca="1" si="4"/>
        <v>0</v>
      </c>
      <c r="O7">
        <f t="shared" ca="1" si="5"/>
        <v>0</v>
      </c>
      <c r="P7" t="s">
        <v>168</v>
      </c>
      <c r="Q7" t="s">
        <v>192</v>
      </c>
      <c r="R7" t="s">
        <v>193</v>
      </c>
    </row>
    <row r="8" spans="1:19" x14ac:dyDescent="0.2">
      <c r="A8" t="s">
        <v>194</v>
      </c>
      <c r="B8" t="s">
        <v>195</v>
      </c>
      <c r="C8" t="s">
        <v>196</v>
      </c>
      <c r="D8" t="s">
        <v>197</v>
      </c>
      <c r="E8">
        <f>IF(C8="","",IF(ISNUMBER(SEARCH("Speculators (primary)",C8)),20,IF(ISNUMBER(SEARCH("Speculators (secondary)",C8)),15,IF(ISNUMBER(SEARCH("Speculators (minor)",C8)),10,IF(OR(ISNUMBER(SEARCH("Retail",C8)),ISNUMBER(SEARCH("Institutions",C8))),5,0)))))</f>
        <v>10</v>
      </c>
      <c r="F8">
        <f t="shared" si="0"/>
        <v>0.05</v>
      </c>
      <c r="G8">
        <f t="shared" si="1"/>
        <v>10.5</v>
      </c>
      <c r="K8" s="24" t="str">
        <f t="shared" si="2"/>
        <v/>
      </c>
      <c r="L8" t="str">
        <f t="shared" ca="1" si="3"/>
        <v/>
      </c>
      <c r="M8" t="s">
        <v>184</v>
      </c>
      <c r="N8">
        <f t="shared" ca="1" si="4"/>
        <v>3</v>
      </c>
      <c r="O8">
        <f t="shared" ca="1" si="5"/>
        <v>13.5</v>
      </c>
      <c r="P8" t="str">
        <f>IF(AND(ISNUMBER(SEARCH("Speculator",C8)),E7=20),"Review Required","No Review")</f>
        <v>No Review</v>
      </c>
      <c r="Q8" t="s">
        <v>198</v>
      </c>
      <c r="R8" t="s">
        <v>199</v>
      </c>
    </row>
    <row r="9" spans="1:19" x14ac:dyDescent="0.2">
      <c r="A9" t="s">
        <v>200</v>
      </c>
      <c r="B9" t="s">
        <v>201</v>
      </c>
      <c r="C9" t="s">
        <v>202</v>
      </c>
      <c r="D9" t="s">
        <v>163</v>
      </c>
      <c r="E9">
        <v>0</v>
      </c>
      <c r="F9">
        <f t="shared" si="0"/>
        <v>0</v>
      </c>
      <c r="G9">
        <f t="shared" si="1"/>
        <v>0</v>
      </c>
      <c r="H9" t="s">
        <v>203</v>
      </c>
      <c r="I9" t="s">
        <v>204</v>
      </c>
      <c r="J9" t="s">
        <v>176</v>
      </c>
      <c r="K9" s="24">
        <f t="shared" si="2"/>
        <v>45992</v>
      </c>
      <c r="L9">
        <f t="shared" ca="1" si="3"/>
        <v>12</v>
      </c>
      <c r="M9" t="s">
        <v>167</v>
      </c>
      <c r="N9">
        <f t="shared" ca="1" si="4"/>
        <v>0</v>
      </c>
      <c r="O9">
        <f t="shared" ca="1" si="5"/>
        <v>0</v>
      </c>
      <c r="P9" t="s">
        <v>168</v>
      </c>
      <c r="Q9" t="s">
        <v>205</v>
      </c>
      <c r="R9" t="s">
        <v>206</v>
      </c>
    </row>
    <row r="10" spans="1:19" x14ac:dyDescent="0.2">
      <c r="A10" s="3"/>
      <c r="B10" s="44"/>
      <c r="C10" s="45"/>
      <c r="D10" s="45"/>
      <c r="E10" s="45"/>
      <c r="F10" s="45"/>
      <c r="G10" s="45"/>
      <c r="H10" s="45"/>
      <c r="I10" s="45"/>
      <c r="J10" s="45"/>
      <c r="K10" s="46"/>
      <c r="L10" s="45"/>
      <c r="M10" s="45"/>
      <c r="N10" s="45"/>
      <c r="O10" s="45"/>
      <c r="P10" s="45"/>
      <c r="Q10" s="45"/>
      <c r="R10" s="45"/>
    </row>
    <row r="11" spans="1:19" x14ac:dyDescent="0.2">
      <c r="A11" t="s">
        <v>207</v>
      </c>
      <c r="B11" t="s">
        <v>208</v>
      </c>
      <c r="C11" t="s">
        <v>209</v>
      </c>
      <c r="D11" t="s">
        <v>163</v>
      </c>
      <c r="E11">
        <f>IF(C11="Yes",0,IF(C11="Partially",10,IF(C11="No",20,"")))</f>
        <v>0</v>
      </c>
      <c r="F11">
        <f>IF(D11="High",0,IF(D11="Medium",0.05,IF(D11="Low",0.1,IF(D11="Unknown",0.15,""))))</f>
        <v>0</v>
      </c>
      <c r="G11">
        <f>E11*(1+F11)</f>
        <v>0</v>
      </c>
      <c r="H11" t="s">
        <v>210</v>
      </c>
      <c r="I11" t="s">
        <v>211</v>
      </c>
      <c r="J11" t="s">
        <v>176</v>
      </c>
      <c r="K11" s="24">
        <f>IF(I11="","",MAX(IFERROR(DATEVALUE(TRIM(MID(SUBSTITUTE(I11,";",REPT(" ",50)),1,50))),0),IFERROR(DATEVALUE(TRIM(MID(SUBSTITUTE(I11,";",REPT(" ",50)),51,50))),0),IFERROR(DATEVALUE(TRIM(MID(SUBSTITUTE(I11,";",REPT(" ",50)),101,50))),0),IFERROR(DATEVALUE(TRIM(MID(SUBSTITUTE(I11,";",REPT(" ",50)),151,50))),0),IFERROR(DATEVALUE(TRIM(MID(SUBSTITUTE(I11,";",REPT(" ",50)),201,50))),0),IFERROR(DATEVALUE(TRIM(MID(SUBSTITUTE(I11,";",REPT(" ",50)),251,50))),0),IFERROR(DATEVALUE(TRIM(MID(SUBSTITUTE(I11,";",REPT(" ",50)),301,50))),0),IFERROR(DATEVALUE(TRIM(MID(SUBSTITUTE(I11,";",REPT(" ",50)),351,50))),0),IFERROR(DATEVALUE(TRIM(MID(SUBSTITUTE(I11,";",REPT(" ",50)),401,50))),0),IFERROR(DATEVALUE(TRIM(MID(SUBSTITUTE(I11,";",REPT(" ",50)),451,50))),0)))</f>
        <v>45611</v>
      </c>
      <c r="L11">
        <f ca="1">IF(K11="","",TODAY()-K11)</f>
        <v>393</v>
      </c>
      <c r="M11" t="s">
        <v>167</v>
      </c>
      <c r="N11">
        <f ca="1">IF(M11="","",IF(L11="",INDEX($F$92:$F$95,MATCH(M11,$C$92:$C$95,0)),IF(L11&lt;=INDEX($D$92:$D$95,MATCH(M11,$C$92:$C$95,0)),0,IF(L11&lt;=INDEX($E$92:$E$95,MATCH(M11,$C$92:$C$95,0)),INDEX($F$92:$F$95,MATCH(M11,$C$92:$C$95,0)),INDEX($G$92:$G$95,MATCH(M11,$C$92:$C$95,0))))))</f>
        <v>0</v>
      </c>
      <c r="O11">
        <f ca="1">G11+N11</f>
        <v>0</v>
      </c>
      <c r="P11" t="s">
        <v>168</v>
      </c>
      <c r="R11" t="s">
        <v>212</v>
      </c>
    </row>
    <row r="12" spans="1:19" x14ac:dyDescent="0.2">
      <c r="A12" t="s">
        <v>213</v>
      </c>
      <c r="B12" t="s">
        <v>214</v>
      </c>
      <c r="C12" t="s">
        <v>209</v>
      </c>
      <c r="D12" t="s">
        <v>163</v>
      </c>
      <c r="E12">
        <f>IF(C12="Yes",0,IF(C12="Limited",10,IF(C12="No",20,"")))</f>
        <v>0</v>
      </c>
      <c r="F12">
        <f>IF(D12="High",0,IF(D12="Medium",0.05,IF(D12="Low",0.1,IF(D12="Unknown",0.15,""))))</f>
        <v>0</v>
      </c>
      <c r="G12">
        <f>E12*(1+F12)</f>
        <v>0</v>
      </c>
      <c r="H12" t="s">
        <v>215</v>
      </c>
      <c r="I12" t="s">
        <v>165</v>
      </c>
      <c r="J12" t="s">
        <v>166</v>
      </c>
      <c r="K12" s="24">
        <f>IF(I12="","",MAX(IFERROR(DATEVALUE(TRIM(MID(SUBSTITUTE(I12,";",REPT(" ",50)),1,50))),0),IFERROR(DATEVALUE(TRIM(MID(SUBSTITUTE(I12,";",REPT(" ",50)),51,50))),0),IFERROR(DATEVALUE(TRIM(MID(SUBSTITUTE(I12,";",REPT(" ",50)),101,50))),0),IFERROR(DATEVALUE(TRIM(MID(SUBSTITUTE(I12,";",REPT(" ",50)),151,50))),0),IFERROR(DATEVALUE(TRIM(MID(SUBSTITUTE(I12,";",REPT(" ",50)),201,50))),0),IFERROR(DATEVALUE(TRIM(MID(SUBSTITUTE(I12,";",REPT(" ",50)),251,50))),0),IFERROR(DATEVALUE(TRIM(MID(SUBSTITUTE(I12,";",REPT(" ",50)),301,50))),0),IFERROR(DATEVALUE(TRIM(MID(SUBSTITUTE(I12,";",REPT(" ",50)),351,50))),0),IFERROR(DATEVALUE(TRIM(MID(SUBSTITUTE(I12,";",REPT(" ",50)),401,50))),0),IFERROR(DATEVALUE(TRIM(MID(SUBSTITUTE(I12,";",REPT(" ",50)),451,50))),0)))</f>
        <v>45078</v>
      </c>
      <c r="L12">
        <f ca="1">IF(K12="","",TODAY()-K12)</f>
        <v>926</v>
      </c>
      <c r="M12" t="s">
        <v>167</v>
      </c>
      <c r="N12">
        <f ca="1">IF(M12="","",IF(L12="",INDEX($F$92:$F$95,MATCH(M12,$C$92:$C$95,0)),IF(L12&lt;=INDEX($D$92:$D$95,MATCH(M12,$C$92:$C$95,0)),0,IF(L12&lt;=INDEX($E$92:$E$95,MATCH(M12,$C$92:$C$95,0)),INDEX($F$92:$F$95,MATCH(M12,$C$92:$C$95,0)),INDEX($G$92:$G$95,MATCH(M12,$C$92:$C$95,0))))))</f>
        <v>0</v>
      </c>
      <c r="O12">
        <f ca="1">G12+N12</f>
        <v>0</v>
      </c>
      <c r="P12" t="s">
        <v>168</v>
      </c>
      <c r="R12" t="s">
        <v>216</v>
      </c>
    </row>
    <row r="13" spans="1:19" x14ac:dyDescent="0.2">
      <c r="A13" t="s">
        <v>217</v>
      </c>
      <c r="B13" t="s">
        <v>218</v>
      </c>
      <c r="C13" t="s">
        <v>163</v>
      </c>
      <c r="D13" t="s">
        <v>163</v>
      </c>
      <c r="E13">
        <f>IF(C13="Low",0,IF(C13="Moderate",10,IF(C13="High",20,"")))</f>
        <v>20</v>
      </c>
      <c r="F13">
        <f>IF(D13="High",0,IF(D13="Medium",0.05,IF(D13="Low",0.1,IF(D13="Unknown",0.15,""))))</f>
        <v>0</v>
      </c>
      <c r="G13">
        <f>E13*(1+F13)</f>
        <v>20</v>
      </c>
      <c r="H13" t="s">
        <v>219</v>
      </c>
      <c r="I13" t="s">
        <v>220</v>
      </c>
      <c r="J13" t="s">
        <v>176</v>
      </c>
      <c r="K13" s="24">
        <f>IF(I13="","",MAX(IFERROR(DATEVALUE(TRIM(MID(SUBSTITUTE(I13,";",REPT(" ",50)),1,50))),0),IFERROR(DATEVALUE(TRIM(MID(SUBSTITUTE(I13,";",REPT(" ",50)),51,50))),0),IFERROR(DATEVALUE(TRIM(MID(SUBSTITUTE(I13,";",REPT(" ",50)),101,50))),0),IFERROR(DATEVALUE(TRIM(MID(SUBSTITUTE(I13,";",REPT(" ",50)),151,50))),0),IFERROR(DATEVALUE(TRIM(MID(SUBSTITUTE(I13,";",REPT(" ",50)),201,50))),0),IFERROR(DATEVALUE(TRIM(MID(SUBSTITUTE(I13,";",REPT(" ",50)),251,50))),0),IFERROR(DATEVALUE(TRIM(MID(SUBSTITUTE(I13,";",REPT(" ",50)),301,50))),0),IFERROR(DATEVALUE(TRIM(MID(SUBSTITUTE(I13,";",REPT(" ",50)),351,50))),0),IFERROR(DATEVALUE(TRIM(MID(SUBSTITUTE(I13,";",REPT(" ",50)),401,50))),0),IFERROR(DATEVALUE(TRIM(MID(SUBSTITUTE(I13,";",REPT(" ",50)),451,50))),0)))</f>
        <v>45444</v>
      </c>
      <c r="L13">
        <f ca="1">IF(K13="","",TODAY()-K13)</f>
        <v>560</v>
      </c>
      <c r="M13" t="s">
        <v>167</v>
      </c>
      <c r="N13">
        <f ca="1">IF(M13="","",IF(L13="",INDEX($F$92:$F$95,MATCH(M13,$C$92:$C$95,0)),IF(L13&lt;=INDEX($D$92:$D$95,MATCH(M13,$C$92:$C$95,0)),0,IF(L13&lt;=INDEX($E$92:$E$95,MATCH(M13,$C$92:$C$95,0)),INDEX($F$92:$F$95,MATCH(M13,$C$92:$C$95,0)),INDEX($G$92:$G$95,MATCH(M13,$C$92:$C$95,0))))))</f>
        <v>0</v>
      </c>
      <c r="O13">
        <f ca="1">G13+N13</f>
        <v>20</v>
      </c>
      <c r="P13" t="s">
        <v>168</v>
      </c>
      <c r="R13" t="s">
        <v>221</v>
      </c>
    </row>
    <row r="14" spans="1:19" x14ac:dyDescent="0.2">
      <c r="A14" t="s">
        <v>222</v>
      </c>
      <c r="B14" t="s">
        <v>223</v>
      </c>
      <c r="C14" t="s">
        <v>224</v>
      </c>
      <c r="D14" t="s">
        <v>163</v>
      </c>
      <c r="E14">
        <v>0</v>
      </c>
      <c r="F14">
        <f>IF(D14="High",0,IF(D14="Medium",0.05,IF(D14="Low",0.1,IF(D14="Unknown",0.15,""))))</f>
        <v>0</v>
      </c>
      <c r="G14">
        <f>E14*(1+F14)</f>
        <v>0</v>
      </c>
      <c r="H14" t="s">
        <v>203</v>
      </c>
      <c r="I14" t="s">
        <v>225</v>
      </c>
      <c r="J14" t="s">
        <v>176</v>
      </c>
      <c r="K14" s="24">
        <f>IF(I14="","",MAX(IFERROR(DATEVALUE(TRIM(MID(SUBSTITUTE(I14,";",REPT(" ",50)),1,50))),0),IFERROR(DATEVALUE(TRIM(MID(SUBSTITUTE(I14,";",REPT(" ",50)),51,50))),0),IFERROR(DATEVALUE(TRIM(MID(SUBSTITUTE(I14,";",REPT(" ",50)),101,50))),0),IFERROR(DATEVALUE(TRIM(MID(SUBSTITUTE(I14,";",REPT(" ",50)),151,50))),0),IFERROR(DATEVALUE(TRIM(MID(SUBSTITUTE(I14,";",REPT(" ",50)),201,50))),0),IFERROR(DATEVALUE(TRIM(MID(SUBSTITUTE(I14,";",REPT(" ",50)),251,50))),0),IFERROR(DATEVALUE(TRIM(MID(SUBSTITUTE(I14,";",REPT(" ",50)),301,50))),0),IFERROR(DATEVALUE(TRIM(MID(SUBSTITUTE(I14,";",REPT(" ",50)),351,50))),0),IFERROR(DATEVALUE(TRIM(MID(SUBSTITUTE(I14,";",REPT(" ",50)),401,50))),0),IFERROR(DATEVALUE(TRIM(MID(SUBSTITUTE(I14,";",REPT(" ",50)),451,50))),0)))</f>
        <v>45566</v>
      </c>
      <c r="L14">
        <f ca="1">IF(K14="","",TODAY()-K14)</f>
        <v>438</v>
      </c>
      <c r="M14" t="s">
        <v>167</v>
      </c>
      <c r="N14">
        <f ca="1">IF(M14="","",IF(L14="",INDEX($F$92:$F$95,MATCH(M14,$C$92:$C$95,0)),IF(L14&lt;=INDEX($D$92:$D$95,MATCH(M14,$C$92:$C$95,0)),0,IF(L14&lt;=INDEX($E$92:$E$95,MATCH(M14,$C$92:$C$95,0)),INDEX($F$92:$F$95,MATCH(M14,$C$92:$C$95,0)),INDEX($G$92:$G$95,MATCH(M14,$C$92:$C$95,0))))))</f>
        <v>0</v>
      </c>
      <c r="O14">
        <f ca="1">G14+N14</f>
        <v>0</v>
      </c>
      <c r="P14" t="s">
        <v>168</v>
      </c>
      <c r="Q14" t="s">
        <v>205</v>
      </c>
      <c r="R14" t="s">
        <v>226</v>
      </c>
    </row>
    <row r="15" spans="1:19" x14ac:dyDescent="0.2">
      <c r="A15" s="3"/>
      <c r="B15" s="44"/>
      <c r="C15" s="45"/>
      <c r="D15" s="45"/>
      <c r="E15" s="45"/>
      <c r="F15" s="45"/>
      <c r="G15" s="45"/>
      <c r="H15" s="45"/>
      <c r="I15" s="45"/>
      <c r="J15" s="45"/>
      <c r="K15" s="46"/>
      <c r="L15" s="45"/>
      <c r="M15" s="45"/>
      <c r="N15" s="45"/>
      <c r="O15" s="45"/>
      <c r="P15" s="45"/>
      <c r="Q15" s="45"/>
      <c r="R15" s="45"/>
    </row>
    <row r="16" spans="1:19" x14ac:dyDescent="0.2">
      <c r="A16" t="s">
        <v>227</v>
      </c>
      <c r="B16" t="s">
        <v>228</v>
      </c>
      <c r="C16" t="s">
        <v>229</v>
      </c>
      <c r="D16" t="s">
        <v>163</v>
      </c>
      <c r="E16">
        <f>IF(C16="Usage-driven",0,IF(C16="Mixed",10,IF(C16="Speculative",20,"")))</f>
        <v>10</v>
      </c>
      <c r="F16">
        <f>IF(D16="High",0,IF(D16="Medium",0.05,IF(D16="Low",0.1,IF(D16="Unknown",0.15,""))))</f>
        <v>0</v>
      </c>
      <c r="G16">
        <f>E16*(1+F16)</f>
        <v>10</v>
      </c>
      <c r="H16" t="s">
        <v>230</v>
      </c>
      <c r="I16" t="s">
        <v>231</v>
      </c>
      <c r="J16" t="s">
        <v>176</v>
      </c>
      <c r="K16" s="24">
        <f>IF(I16="","",MAX(IFERROR(DATEVALUE(TRIM(MID(SUBSTITUTE(I16,";",REPT(" ",50)),1,50))),0),IFERROR(DATEVALUE(TRIM(MID(SUBSTITUTE(I16,";",REPT(" ",50)),51,50))),0),IFERROR(DATEVALUE(TRIM(MID(SUBSTITUTE(I16,";",REPT(" ",50)),101,50))),0),IFERROR(DATEVALUE(TRIM(MID(SUBSTITUTE(I16,";",REPT(" ",50)),151,50))),0),IFERROR(DATEVALUE(TRIM(MID(SUBSTITUTE(I16,";",REPT(" ",50)),201,50))),0),IFERROR(DATEVALUE(TRIM(MID(SUBSTITUTE(I16,";",REPT(" ",50)),251,50))),0),IFERROR(DATEVALUE(TRIM(MID(SUBSTITUTE(I16,";",REPT(" ",50)),301,50))),0),IFERROR(DATEVALUE(TRIM(MID(SUBSTITUTE(I16,";",REPT(" ",50)),351,50))),0),IFERROR(DATEVALUE(TRIM(MID(SUBSTITUTE(I16,";",REPT(" ",50)),401,50))),0),IFERROR(DATEVALUE(TRIM(MID(SUBSTITUTE(I16,";",REPT(" ",50)),451,50))),0)))</f>
        <v>46001</v>
      </c>
      <c r="L16">
        <f ca="1">IF(K16="","",TODAY()-K16)</f>
        <v>3</v>
      </c>
      <c r="M16" t="s">
        <v>184</v>
      </c>
      <c r="N16">
        <f ca="1">IF(M16="","",IF(L16="",INDEX($F$92:$F$95,MATCH(M16,$C$92:$C$95,0)),IF(L16&lt;=INDEX($D$92:$D$95,MATCH(M16,$C$92:$C$95,0)),0,IF(L16&lt;=INDEX($E$92:$E$95,MATCH(M16,$C$92:$C$95,0)),INDEX($F$92:$F$95,MATCH(M16,$C$92:$C$95,0)),INDEX($G$92:$G$95,MATCH(M16,$C$92:$C$95,0))))))</f>
        <v>0</v>
      </c>
      <c r="O16">
        <f ca="1">G16+N16</f>
        <v>10</v>
      </c>
      <c r="P16" t="str">
        <f>IF(AND(C16="Speculative",E7=20),"Review Required","No Review")</f>
        <v>No Review</v>
      </c>
      <c r="Q16" t="s">
        <v>232</v>
      </c>
      <c r="R16" t="s">
        <v>233</v>
      </c>
    </row>
    <row r="17" spans="1:18" x14ac:dyDescent="0.2">
      <c r="A17" t="s">
        <v>234</v>
      </c>
      <c r="B17" t="s">
        <v>235</v>
      </c>
      <c r="C17" t="s">
        <v>236</v>
      </c>
      <c r="D17" t="s">
        <v>163</v>
      </c>
      <c r="E17">
        <v>0</v>
      </c>
      <c r="F17">
        <f>IF(D17="High",0,IF(D17="Medium",0.05,IF(D17="Low",0.1,IF(D17="Unknown",0.15,""))))</f>
        <v>0</v>
      </c>
      <c r="G17">
        <f>E17*(1+F17)</f>
        <v>0</v>
      </c>
      <c r="H17" t="s">
        <v>237</v>
      </c>
      <c r="I17" t="s">
        <v>238</v>
      </c>
      <c r="J17" t="s">
        <v>176</v>
      </c>
      <c r="K17" s="24">
        <f>IF(I17="","",MAX(IFERROR(DATEVALUE(TRIM(MID(SUBSTITUTE(I17,";",REPT(" ",50)),1,50))),0),IFERROR(DATEVALUE(TRIM(MID(SUBSTITUTE(I17,";",REPT(" ",50)),51,50))),0),IFERROR(DATEVALUE(TRIM(MID(SUBSTITUTE(I17,";",REPT(" ",50)),101,50))),0),IFERROR(DATEVALUE(TRIM(MID(SUBSTITUTE(I17,";",REPT(" ",50)),151,50))),0),IFERROR(DATEVALUE(TRIM(MID(SUBSTITUTE(I17,";",REPT(" ",50)),201,50))),0),IFERROR(DATEVALUE(TRIM(MID(SUBSTITUTE(I17,";",REPT(" ",50)),251,50))),0),IFERROR(DATEVALUE(TRIM(MID(SUBSTITUTE(I17,";",REPT(" ",50)),301,50))),0),IFERROR(DATEVALUE(TRIM(MID(SUBSTITUTE(I17,";",REPT(" ",50)),351,50))),0),IFERROR(DATEVALUE(TRIM(MID(SUBSTITUTE(I17,";",REPT(" ",50)),401,50))),0),IFERROR(DATEVALUE(TRIM(MID(SUBSTITUTE(I17,";",REPT(" ",50)),451,50))),0)))</f>
        <v>45383</v>
      </c>
      <c r="L17">
        <f ca="1">IF(K17="","",TODAY()-K17)</f>
        <v>621</v>
      </c>
      <c r="M17" t="s">
        <v>184</v>
      </c>
      <c r="N17">
        <f ca="1">IF(M17="","",IF(L17="",INDEX($F$92:$F$95,MATCH(M17,$C$92:$C$95,0)),IF(L17&lt;=INDEX($D$92:$D$95,MATCH(M17,$C$92:$C$95,0)),0,IF(L17&lt;=INDEX($E$92:$E$95,MATCH(M17,$C$92:$C$95,0)),INDEX($F$92:$F$95,MATCH(M17,$C$92:$C$95,0)),INDEX($G$92:$G$95,MATCH(M17,$C$92:$C$95,0))))))</f>
        <v>6</v>
      </c>
      <c r="O17">
        <f ca="1">G17+N17</f>
        <v>6</v>
      </c>
      <c r="P17" t="s">
        <v>168</v>
      </c>
      <c r="Q17" t="s">
        <v>205</v>
      </c>
      <c r="R17" t="s">
        <v>239</v>
      </c>
    </row>
    <row r="18" spans="1:18" x14ac:dyDescent="0.2">
      <c r="A18" s="4"/>
      <c r="B18" s="5" t="s">
        <v>240</v>
      </c>
      <c r="C18" s="4"/>
      <c r="D18" s="4"/>
      <c r="E18" s="4"/>
      <c r="F18" s="4"/>
      <c r="G18" s="4"/>
      <c r="H18" s="4"/>
      <c r="I18" s="4"/>
      <c r="J18" s="4"/>
      <c r="K18" s="23" t="str">
        <f>IF(I18="","",MAX(IFERROR(DATEVALUE(TRIM(MID(SUBSTITUTE(I18,";",REPT(" ",50)),1,50))),0),IFERROR(DATEVALUE(TRIM(MID(SUBSTITUTE(I18,";",REPT(" ",50)),51,50))),0),IFERROR(DATEVALUE(TRIM(MID(SUBSTITUTE(I18,";",REPT(" ",50)),101,50))),0),IFERROR(DATEVALUE(TRIM(MID(SUBSTITUTE(I18,";",REPT(" ",50)),151,50))),0),IFERROR(DATEVALUE(TRIM(MID(SUBSTITUTE(I18,";",REPT(" ",50)),201,50))),0),IFERROR(DATEVALUE(TRIM(MID(SUBSTITUTE(I18,";",REPT(" ",50)),251,50))),0),IFERROR(DATEVALUE(TRIM(MID(SUBSTITUTE(I18,";",REPT(" ",50)),301,50))),0),IFERROR(DATEVALUE(TRIM(MID(SUBSTITUTE(I18,";",REPT(" ",50)),351,50))),0),IFERROR(DATEVALUE(TRIM(MID(SUBSTITUTE(I18,";",REPT(" ",50)),401,50))),0),IFERROR(DATEVALUE(TRIM(MID(SUBSTITUTE(I18,";",REPT(" ",50)),451,50))),0)))</f>
        <v/>
      </c>
      <c r="L18" s="4"/>
      <c r="M18" s="4"/>
      <c r="N18" s="4" t="str">
        <f>IF(M18="","",IF(L18="",INDEX($F$92:$F$95,MATCH(M18,$C$92:$C$95,0)),IF(L18&lt;=INDEX($D$92:$D$95,MATCH(M18,$C$92:$C$95,0)),0,IF(L18&lt;=INDEX($E$92:$E$95,MATCH(M18,$C$92:$C$95,0)),INDEX($F$92:$F$95,MATCH(M18,$C$92:$C$95,0)),INDEX($G$92:$G$95,MATCH(M18,$C$92:$C$95,0))))))</f>
        <v/>
      </c>
      <c r="O18" s="4"/>
      <c r="P18" s="4"/>
      <c r="Q18" s="4"/>
      <c r="R18" s="4"/>
    </row>
    <row r="19" spans="1:18" x14ac:dyDescent="0.2">
      <c r="A19" s="2"/>
      <c r="B19" s="44"/>
      <c r="C19" s="45"/>
      <c r="D19" s="45"/>
      <c r="E19" s="45"/>
      <c r="F19" s="45"/>
      <c r="G19" s="45"/>
      <c r="H19" s="45"/>
      <c r="I19" s="45"/>
      <c r="J19" s="45"/>
      <c r="K19" s="46"/>
      <c r="L19" s="45"/>
      <c r="M19" s="45"/>
      <c r="N19" s="45"/>
      <c r="O19" s="45"/>
      <c r="P19" s="45"/>
      <c r="Q19" s="45"/>
      <c r="R19" s="45"/>
    </row>
    <row r="20" spans="1:18" x14ac:dyDescent="0.2">
      <c r="A20" t="s">
        <v>241</v>
      </c>
      <c r="B20" t="s">
        <v>242</v>
      </c>
      <c r="C20" t="s">
        <v>243</v>
      </c>
      <c r="D20" t="s">
        <v>163</v>
      </c>
      <c r="E20">
        <f>IF(C20="DAO",0,IF(C20="Hybrid (Foundation + DAO)",10,IF(C20="Foundation",10,IF(C20="Company",20,IF(C20="Unknown",20,"")))))</f>
        <v>10</v>
      </c>
      <c r="F20">
        <f>IF(D20="High",0,IF(D20="Medium",0.05,IF(D20="Low",0.1,IF(D20="Unknown",0.15,""))))</f>
        <v>0</v>
      </c>
      <c r="G20">
        <f>E20*(1+F20)</f>
        <v>10</v>
      </c>
      <c r="H20" t="s">
        <v>244</v>
      </c>
      <c r="I20" t="s">
        <v>245</v>
      </c>
      <c r="J20" t="s">
        <v>176</v>
      </c>
      <c r="K20" s="24">
        <f>IF(I20="","",MAX(IFERROR(DATEVALUE(TRIM(MID(SUBSTITUTE(I20,";",REPT(" ",50)),1,50))),0),IFERROR(DATEVALUE(TRIM(MID(SUBSTITUTE(I20,";",REPT(" ",50)),51,50))),0),IFERROR(DATEVALUE(TRIM(MID(SUBSTITUTE(I20,";",REPT(" ",50)),101,50))),0),IFERROR(DATEVALUE(TRIM(MID(SUBSTITUTE(I20,";",REPT(" ",50)),151,50))),0),IFERROR(DATEVALUE(TRIM(MID(SUBSTITUTE(I20,";",REPT(" ",50)),201,50))),0),IFERROR(DATEVALUE(TRIM(MID(SUBSTITUTE(I20,";",REPT(" ",50)),251,50))),0),IFERROR(DATEVALUE(TRIM(MID(SUBSTITUTE(I20,";",REPT(" ",50)),301,50))),0),IFERROR(DATEVALUE(TRIM(MID(SUBSTITUTE(I20,";",REPT(" ",50)),351,50))),0),IFERROR(DATEVALUE(TRIM(MID(SUBSTITUTE(I20,";",REPT(" ",50)),401,50))),0),IFERROR(DATEVALUE(TRIM(MID(SUBSTITUTE(I20,";",REPT(" ",50)),451,50))),0)))</f>
        <v>46000</v>
      </c>
      <c r="L20">
        <f ca="1">IF(K20="","",TODAY()-K20)</f>
        <v>4</v>
      </c>
      <c r="M20" t="s">
        <v>167</v>
      </c>
      <c r="N20">
        <f ca="1">IF(M20="","",IF(L20="",INDEX($F$92:$F$95,MATCH(M20,$C$92:$C$95,0)),IF(L20&lt;=INDEX($D$92:$D$95,MATCH(M20,$C$92:$C$95,0)),0,IF(L20&lt;=INDEX($E$92:$E$95,MATCH(M20,$C$92:$C$95,0)),INDEX($F$92:$F$95,MATCH(M20,$C$92:$C$95,0)),INDEX($G$92:$G$95,MATCH(M20,$C$92:$C$95,0))))))</f>
        <v>0</v>
      </c>
      <c r="O20">
        <f ca="1">G20+N20</f>
        <v>10</v>
      </c>
      <c r="P20" t="s">
        <v>168</v>
      </c>
      <c r="R20" t="s">
        <v>246</v>
      </c>
    </row>
    <row r="21" spans="1:18" x14ac:dyDescent="0.2">
      <c r="A21" t="s">
        <v>247</v>
      </c>
      <c r="B21" t="s">
        <v>248</v>
      </c>
      <c r="C21" t="s">
        <v>209</v>
      </c>
      <c r="D21" t="s">
        <v>163</v>
      </c>
      <c r="E21">
        <f>IF(C21="Yes",0,IF(C21="Partial",10,IF(C21="No",20,"")))</f>
        <v>0</v>
      </c>
      <c r="F21">
        <f>IF(D21="High",0,IF(D21="Medium",0.05,IF(D21="Low",0.1,IF(D21="Unknown",0.15,""))))</f>
        <v>0</v>
      </c>
      <c r="G21">
        <f>E21*(1+F21)</f>
        <v>0</v>
      </c>
      <c r="H21" t="s">
        <v>249</v>
      </c>
      <c r="I21" t="s">
        <v>250</v>
      </c>
      <c r="J21" t="s">
        <v>176</v>
      </c>
      <c r="K21" s="24">
        <f>IF(I21="","",MAX(IFERROR(DATEVALUE(TRIM(MID(SUBSTITUTE(I21,";",REPT(" ",50)),1,50))),0),IFERROR(DATEVALUE(TRIM(MID(SUBSTITUTE(I21,";",REPT(" ",50)),51,50))),0),IFERROR(DATEVALUE(TRIM(MID(SUBSTITUTE(I21,";",REPT(" ",50)),101,50))),0),IFERROR(DATEVALUE(TRIM(MID(SUBSTITUTE(I21,";",REPT(" ",50)),151,50))),0),IFERROR(DATEVALUE(TRIM(MID(SUBSTITUTE(I21,";",REPT(" ",50)),201,50))),0),IFERROR(DATEVALUE(TRIM(MID(SUBSTITUTE(I21,";",REPT(" ",50)),251,50))),0),IFERROR(DATEVALUE(TRIM(MID(SUBSTITUTE(I21,";",REPT(" ",50)),301,50))),0),IFERROR(DATEVALUE(TRIM(MID(SUBSTITUTE(I21,";",REPT(" ",50)),351,50))),0),IFERROR(DATEVALUE(TRIM(MID(SUBSTITUTE(I21,";",REPT(" ",50)),401,50))),0),IFERROR(DATEVALUE(TRIM(MID(SUBSTITUTE(I21,";",REPT(" ",50)),451,50))),0)))</f>
        <v>45980</v>
      </c>
      <c r="L21">
        <f ca="1">IF(K21="","",TODAY()-K21)</f>
        <v>24</v>
      </c>
      <c r="M21" t="s">
        <v>167</v>
      </c>
      <c r="N21">
        <f ca="1">IF(M21="","",IF(L21="",INDEX($F$92:$F$95,MATCH(M21,$C$92:$C$95,0)),IF(L21&lt;=INDEX($D$92:$D$95,MATCH(M21,$C$92:$C$95,0)),0,IF(L21&lt;=INDEX($E$92:$E$95,MATCH(M21,$C$92:$C$95,0)),INDEX($F$92:$F$95,MATCH(M21,$C$92:$C$95,0)),INDEX($G$92:$G$95,MATCH(M21,$C$92:$C$95,0))))))</f>
        <v>0</v>
      </c>
      <c r="O21">
        <f ca="1">G21+N21</f>
        <v>0</v>
      </c>
      <c r="P21" t="s">
        <v>168</v>
      </c>
      <c r="R21" t="s">
        <v>251</v>
      </c>
    </row>
    <row r="22" spans="1:18" x14ac:dyDescent="0.2">
      <c r="A22" t="s">
        <v>252</v>
      </c>
      <c r="B22" t="s">
        <v>253</v>
      </c>
      <c r="C22" t="s">
        <v>209</v>
      </c>
      <c r="D22" t="s">
        <v>163</v>
      </c>
      <c r="E22">
        <f>IF(C22="Yes",0,IF(C22="No",20,IF(C22="Unknown",10,"")))</f>
        <v>0</v>
      </c>
      <c r="F22">
        <f>IF(D22="High",0,IF(D22="Medium",0.05,IF(D22="Low",0.1,IF(D22="Unknown",0.15,""))))</f>
        <v>0</v>
      </c>
      <c r="G22">
        <f>E22*(1+F22)</f>
        <v>0</v>
      </c>
      <c r="H22" t="s">
        <v>254</v>
      </c>
      <c r="I22" t="s">
        <v>255</v>
      </c>
      <c r="J22" t="s">
        <v>176</v>
      </c>
      <c r="K22" s="24">
        <f>IF(I22="","",MAX(IFERROR(DATEVALUE(TRIM(MID(SUBSTITUTE(I22,";",REPT(" ",50)),1,50))),0),IFERROR(DATEVALUE(TRIM(MID(SUBSTITUTE(I22,";",REPT(" ",50)),51,50))),0),IFERROR(DATEVALUE(TRIM(MID(SUBSTITUTE(I22,";",REPT(" ",50)),101,50))),0),IFERROR(DATEVALUE(TRIM(MID(SUBSTITUTE(I22,";",REPT(" ",50)),151,50))),0),IFERROR(DATEVALUE(TRIM(MID(SUBSTITUTE(I22,";",REPT(" ",50)),201,50))),0),IFERROR(DATEVALUE(TRIM(MID(SUBSTITUTE(I22,";",REPT(" ",50)),251,50))),0),IFERROR(DATEVALUE(TRIM(MID(SUBSTITUTE(I22,";",REPT(" ",50)),301,50))),0),IFERROR(DATEVALUE(TRIM(MID(SUBSTITUTE(I22,";",REPT(" ",50)),351,50))),0),IFERROR(DATEVALUE(TRIM(MID(SUBSTITUTE(I22,";",REPT(" ",50)),401,50))),0),IFERROR(DATEVALUE(TRIM(MID(SUBSTITUTE(I22,";",REPT(" ",50)),451,50))),0)))</f>
        <v>46001</v>
      </c>
      <c r="L22">
        <f ca="1">IF(K22="","",TODAY()-K22)</f>
        <v>3</v>
      </c>
      <c r="M22" t="s">
        <v>167</v>
      </c>
      <c r="N22">
        <f ca="1">IF(M22="","",IF(L22="",INDEX($F$92:$F$95,MATCH(M22,$C$92:$C$95,0)),IF(L22&lt;=INDEX($D$92:$D$95,MATCH(M22,$C$92:$C$95,0)),0,IF(L22&lt;=INDEX($E$92:$E$95,MATCH(M22,$C$92:$C$95,0)),INDEX($F$92:$F$95,MATCH(M22,$C$92:$C$95,0)),INDEX($G$92:$G$95,MATCH(M22,$C$92:$C$95,0))))))</f>
        <v>0</v>
      </c>
      <c r="O22">
        <f ca="1">G22+N22</f>
        <v>0</v>
      </c>
      <c r="P22" t="s">
        <v>168</v>
      </c>
      <c r="R22" t="s">
        <v>256</v>
      </c>
    </row>
    <row r="23" spans="1:18" x14ac:dyDescent="0.2">
      <c r="A23" t="s">
        <v>257</v>
      </c>
      <c r="B23" t="s">
        <v>258</v>
      </c>
      <c r="C23" t="s">
        <v>259</v>
      </c>
      <c r="D23" t="s">
        <v>197</v>
      </c>
      <c r="E23">
        <f>IF(C23="Yes",0,IF(C23="No",20,IF(C23="Unknown",10,"")))</f>
        <v>20</v>
      </c>
      <c r="F23">
        <f>IF(D23="High",0,IF(D23="Medium",0.05,IF(D23="Low",0.1,IF(D23="Unknown",0.15,""))))</f>
        <v>0.05</v>
      </c>
      <c r="G23">
        <f>E23*(1+F23)</f>
        <v>21</v>
      </c>
      <c r="H23" t="s">
        <v>260</v>
      </c>
      <c r="I23" t="s">
        <v>261</v>
      </c>
      <c r="J23" t="s">
        <v>166</v>
      </c>
      <c r="K23" s="24">
        <f>IF(I23="","",MAX(IFERROR(DATEVALUE(TRIM(MID(SUBSTITUTE(I23,";",REPT(" ",50)),1,50))),0),IFERROR(DATEVALUE(TRIM(MID(SUBSTITUTE(I23,";",REPT(" ",50)),51,50))),0),IFERROR(DATEVALUE(TRIM(MID(SUBSTITUTE(I23,";",REPT(" ",50)),101,50))),0),IFERROR(DATEVALUE(TRIM(MID(SUBSTITUTE(I23,";",REPT(" ",50)),151,50))),0),IFERROR(DATEVALUE(TRIM(MID(SUBSTITUTE(I23,";",REPT(" ",50)),201,50))),0),IFERROR(DATEVALUE(TRIM(MID(SUBSTITUTE(I23,";",REPT(" ",50)),251,50))),0),IFERROR(DATEVALUE(TRIM(MID(SUBSTITUTE(I23,";",REPT(" ",50)),301,50))),0),IFERROR(DATEVALUE(TRIM(MID(SUBSTITUTE(I23,";",REPT(" ",50)),351,50))),0),IFERROR(DATEVALUE(TRIM(MID(SUBSTITUTE(I23,";",REPT(" ",50)),401,50))),0),IFERROR(DATEVALUE(TRIM(MID(SUBSTITUTE(I23,";",REPT(" ",50)),451,50))),0)))</f>
        <v>45991</v>
      </c>
      <c r="L23">
        <f ca="1">IF(K23="","",TODAY()-K23)</f>
        <v>13</v>
      </c>
      <c r="M23" t="s">
        <v>167</v>
      </c>
      <c r="N23">
        <f ca="1">IF(M23="","",IF(L23="",INDEX($F$92:$F$95,MATCH(M23,$C$92:$C$95,0)),IF(L23&lt;=INDEX($D$92:$D$95,MATCH(M23,$C$92:$C$95,0)),0,IF(L23&lt;=INDEX($E$92:$E$95,MATCH(M23,$C$92:$C$95,0)),INDEX($F$92:$F$95,MATCH(M23,$C$92:$C$95,0)),INDEX($G$92:$G$95,MATCH(M23,$C$92:$C$95,0))))))</f>
        <v>0</v>
      </c>
      <c r="O23">
        <f ca="1">G23+N23</f>
        <v>21</v>
      </c>
      <c r="P23" t="s">
        <v>168</v>
      </c>
      <c r="R23" t="s">
        <v>262</v>
      </c>
    </row>
    <row r="24" spans="1:18" x14ac:dyDescent="0.2">
      <c r="A24" t="s">
        <v>263</v>
      </c>
      <c r="B24" t="s">
        <v>264</v>
      </c>
      <c r="C24" t="s">
        <v>209</v>
      </c>
      <c r="D24" t="s">
        <v>163</v>
      </c>
      <c r="E24">
        <f>IF(C24="Yes",0,IF(C24="Partial",10,IF(C24="No",20,"")))</f>
        <v>0</v>
      </c>
      <c r="F24">
        <f>IF(D24="High",0,IF(D24="Medium",0.05,IF(D24="Low",0.1,IF(D24="Unknown",0.15,""))))</f>
        <v>0</v>
      </c>
      <c r="G24">
        <f>E24*(1+F24)</f>
        <v>0</v>
      </c>
      <c r="H24" t="s">
        <v>265</v>
      </c>
      <c r="I24" t="s">
        <v>266</v>
      </c>
      <c r="J24" t="s">
        <v>166</v>
      </c>
      <c r="K24" s="24">
        <f>IF(I24="","",MAX(IFERROR(DATEVALUE(TRIM(MID(SUBSTITUTE(I24,";",REPT(" ",50)),1,50))),0),IFERROR(DATEVALUE(TRIM(MID(SUBSTITUTE(I24,";",REPT(" ",50)),51,50))),0),IFERROR(DATEVALUE(TRIM(MID(SUBSTITUTE(I24,";",REPT(" ",50)),101,50))),0),IFERROR(DATEVALUE(TRIM(MID(SUBSTITUTE(I24,";",REPT(" ",50)),151,50))),0),IFERROR(DATEVALUE(TRIM(MID(SUBSTITUTE(I24,";",REPT(" ",50)),201,50))),0),IFERROR(DATEVALUE(TRIM(MID(SUBSTITUTE(I24,";",REPT(" ",50)),251,50))),0),IFERROR(DATEVALUE(TRIM(MID(SUBSTITUTE(I24,";",REPT(" ",50)),301,50))),0),IFERROR(DATEVALUE(TRIM(MID(SUBSTITUTE(I24,";",REPT(" ",50)),351,50))),0),IFERROR(DATEVALUE(TRIM(MID(SUBSTITUTE(I24,";",REPT(" ",50)),401,50))),0),IFERROR(DATEVALUE(TRIM(MID(SUBSTITUTE(I24,";",REPT(" ",50)),451,50))),0)))</f>
        <v>45966</v>
      </c>
      <c r="L24">
        <f ca="1">IF(K24="","",TODAY()-K24)</f>
        <v>38</v>
      </c>
      <c r="M24" t="s">
        <v>167</v>
      </c>
      <c r="N24">
        <f ca="1">IF(M24="","",IF(L24="",INDEX($F$92:$F$95,MATCH(M24,$C$92:$C$95,0)),IF(L24&lt;=INDEX($D$92:$D$95,MATCH(M24,$C$92:$C$95,0)),0,IF(L24&lt;=INDEX($E$92:$E$95,MATCH(M24,$C$92:$C$95,0)),INDEX($F$92:$F$95,MATCH(M24,$C$92:$C$95,0)),INDEX($G$92:$G$95,MATCH(M24,$C$92:$C$95,0))))))</f>
        <v>0</v>
      </c>
      <c r="O24">
        <f ca="1">G24+N24</f>
        <v>0</v>
      </c>
      <c r="P24" t="s">
        <v>168</v>
      </c>
      <c r="R24" t="s">
        <v>267</v>
      </c>
    </row>
    <row r="25" spans="1:18" x14ac:dyDescent="0.2">
      <c r="A25" s="2"/>
      <c r="B25" s="44"/>
      <c r="C25" s="45"/>
      <c r="D25" s="45"/>
      <c r="E25" s="45"/>
      <c r="F25" s="45"/>
      <c r="G25" s="45"/>
      <c r="H25" s="45"/>
      <c r="I25" s="45"/>
      <c r="J25" s="45"/>
      <c r="K25" s="46"/>
      <c r="L25" s="45"/>
      <c r="M25" s="45"/>
      <c r="N25" s="45"/>
      <c r="O25" s="45"/>
      <c r="P25" s="45"/>
      <c r="Q25" s="45"/>
      <c r="R25" s="45"/>
    </row>
    <row r="26" spans="1:18" x14ac:dyDescent="0.2">
      <c r="A26" t="s">
        <v>268</v>
      </c>
      <c r="B26" t="s">
        <v>269</v>
      </c>
      <c r="C26" t="s">
        <v>270</v>
      </c>
      <c r="D26" t="s">
        <v>197</v>
      </c>
      <c r="E26">
        <f>IF(C26="No upgrades (immutable)",0,
 IF(C26="DAO vote",0,
 IF(C26="Large multisig (≥4)",10,
 IF(C26="Small multisig (≤3)",10,
 IF(C26="Single dev",20,
 IF(C26="Unknown",10,"")))))
)</f>
        <v>0</v>
      </c>
      <c r="F26">
        <f t="shared" ref="F26:F32" si="6">IF(D26="High",0,IF(D26="Medium",0.05,IF(D26="Low",0.1,IF(D26="Unknown",0.15,""))))</f>
        <v>0.05</v>
      </c>
      <c r="G26">
        <f t="shared" ref="G26:G32" si="7">E26*(1+F26)</f>
        <v>0</v>
      </c>
      <c r="H26" t="s">
        <v>271</v>
      </c>
      <c r="I26" t="s">
        <v>272</v>
      </c>
      <c r="J26" t="s">
        <v>176</v>
      </c>
      <c r="K26" s="24">
        <f t="shared" ref="K26:K32" si="8">IF(I26="","",MAX(IFERROR(DATEVALUE(TRIM(MID(SUBSTITUTE(I26,";",REPT(" ",50)),1,50))),0),IFERROR(DATEVALUE(TRIM(MID(SUBSTITUTE(I26,";",REPT(" ",50)),51,50))),0),IFERROR(DATEVALUE(TRIM(MID(SUBSTITUTE(I26,";",REPT(" ",50)),101,50))),0),IFERROR(DATEVALUE(TRIM(MID(SUBSTITUTE(I26,";",REPT(" ",50)),151,50))),0),IFERROR(DATEVALUE(TRIM(MID(SUBSTITUTE(I26,";",REPT(" ",50)),201,50))),0),IFERROR(DATEVALUE(TRIM(MID(SUBSTITUTE(I26,";",REPT(" ",50)),251,50))),0),IFERROR(DATEVALUE(TRIM(MID(SUBSTITUTE(I26,";",REPT(" ",50)),301,50))),0),IFERROR(DATEVALUE(TRIM(MID(SUBSTITUTE(I26,";",REPT(" ",50)),351,50))),0),IFERROR(DATEVALUE(TRIM(MID(SUBSTITUTE(I26,";",REPT(" ",50)),401,50))),0),IFERROR(DATEVALUE(TRIM(MID(SUBSTITUTE(I26,";",REPT(" ",50)),451,50))),0)))</f>
        <v>45999</v>
      </c>
      <c r="L26">
        <f t="shared" ref="L26:L32" ca="1" si="9">IF(K26="","",TODAY()-K26)</f>
        <v>5</v>
      </c>
      <c r="M26" t="s">
        <v>273</v>
      </c>
      <c r="N26">
        <f t="shared" ref="N26:N32" ca="1" si="10">IF(M26="","",IF(L26="",INDEX($F$92:$F$95,MATCH(M26,$C$92:$C$95,0)),IF(L26&lt;=INDEX($D$92:$D$95,MATCH(M26,$C$92:$C$95,0)),0,IF(L26&lt;=INDEX($E$92:$E$95,MATCH(M26,$C$92:$C$95,0)),INDEX($F$92:$F$95,MATCH(M26,$C$92:$C$95,0)),INDEX($G$92:$G$95,MATCH(M26,$C$92:$C$95,0))))))</f>
        <v>0</v>
      </c>
      <c r="O26">
        <f t="shared" ref="O26:O32" ca="1" si="11">G26+N26</f>
        <v>0</v>
      </c>
      <c r="P26" t="str">
        <f>IF(C26="Single dev","Review Required","No Review")</f>
        <v>No Review</v>
      </c>
      <c r="Q26" t="s">
        <v>274</v>
      </c>
      <c r="R26" t="s">
        <v>275</v>
      </c>
    </row>
    <row r="27" spans="1:18" x14ac:dyDescent="0.2">
      <c r="A27" t="s">
        <v>276</v>
      </c>
      <c r="B27" t="s">
        <v>277</v>
      </c>
      <c r="C27" t="s">
        <v>209</v>
      </c>
      <c r="D27" t="s">
        <v>163</v>
      </c>
      <c r="E27">
        <f>IF(C27="Yes",0,IF(C27="Partial",10,IF(C27="No",20,"")))</f>
        <v>0</v>
      </c>
      <c r="F27">
        <f t="shared" si="6"/>
        <v>0</v>
      </c>
      <c r="G27">
        <f t="shared" si="7"/>
        <v>0</v>
      </c>
      <c r="H27" t="s">
        <v>278</v>
      </c>
      <c r="I27" t="s">
        <v>279</v>
      </c>
      <c r="J27" t="s">
        <v>176</v>
      </c>
      <c r="K27" s="24">
        <f t="shared" si="8"/>
        <v>45966</v>
      </c>
      <c r="L27">
        <f t="shared" ca="1" si="9"/>
        <v>38</v>
      </c>
      <c r="M27" t="s">
        <v>167</v>
      </c>
      <c r="N27">
        <f t="shared" ca="1" si="10"/>
        <v>0</v>
      </c>
      <c r="O27">
        <f t="shared" ca="1" si="11"/>
        <v>0</v>
      </c>
      <c r="P27" t="s">
        <v>168</v>
      </c>
      <c r="R27" t="s">
        <v>280</v>
      </c>
    </row>
    <row r="28" spans="1:18" x14ac:dyDescent="0.2">
      <c r="A28" t="s">
        <v>281</v>
      </c>
      <c r="B28" t="s">
        <v>282</v>
      </c>
      <c r="C28" t="s">
        <v>259</v>
      </c>
      <c r="D28" t="s">
        <v>197</v>
      </c>
      <c r="E28">
        <f>IF(C28="Yes",0,IF(C28="No",20,IF(C28="Unknown",10,"")))</f>
        <v>20</v>
      </c>
      <c r="F28">
        <f t="shared" si="6"/>
        <v>0.05</v>
      </c>
      <c r="G28">
        <f t="shared" si="7"/>
        <v>21</v>
      </c>
      <c r="H28" t="s">
        <v>283</v>
      </c>
      <c r="I28" t="s">
        <v>284</v>
      </c>
      <c r="J28" t="s">
        <v>166</v>
      </c>
      <c r="K28" s="24">
        <f t="shared" si="8"/>
        <v>45335</v>
      </c>
      <c r="L28">
        <f t="shared" ca="1" si="9"/>
        <v>669</v>
      </c>
      <c r="M28" t="s">
        <v>273</v>
      </c>
      <c r="N28">
        <f t="shared" ca="1" si="10"/>
        <v>10</v>
      </c>
      <c r="O28">
        <f t="shared" ca="1" si="11"/>
        <v>31</v>
      </c>
      <c r="P28" t="str">
        <f>IF(AND(C28="No", OR(C26="Single dev", C26="Small multisig (≤3)")),"Review Required","No Review")</f>
        <v>No Review</v>
      </c>
      <c r="Q28" t="s">
        <v>285</v>
      </c>
      <c r="R28" t="s">
        <v>286</v>
      </c>
    </row>
    <row r="29" spans="1:18" x14ac:dyDescent="0.2">
      <c r="A29" t="s">
        <v>287</v>
      </c>
      <c r="B29" t="s">
        <v>288</v>
      </c>
      <c r="C29" t="s">
        <v>259</v>
      </c>
      <c r="D29" t="s">
        <v>197</v>
      </c>
      <c r="E29">
        <f>IF(C29="Yes",10,IF(C29="No",0,IF(C29="Unknown",5,"")))</f>
        <v>0</v>
      </c>
      <c r="F29">
        <f t="shared" si="6"/>
        <v>0.05</v>
      </c>
      <c r="G29">
        <f t="shared" si="7"/>
        <v>0</v>
      </c>
      <c r="H29" t="s">
        <v>289</v>
      </c>
      <c r="I29" t="s">
        <v>290</v>
      </c>
      <c r="J29" t="s">
        <v>166</v>
      </c>
      <c r="K29" s="24">
        <f t="shared" si="8"/>
        <v>45580</v>
      </c>
      <c r="L29">
        <f t="shared" ca="1" si="9"/>
        <v>424</v>
      </c>
      <c r="M29" t="s">
        <v>273</v>
      </c>
      <c r="N29">
        <f t="shared" ca="1" si="10"/>
        <v>10</v>
      </c>
      <c r="O29">
        <f t="shared" ca="1" si="11"/>
        <v>10</v>
      </c>
      <c r="P29" t="s">
        <v>168</v>
      </c>
      <c r="R29" t="s">
        <v>291</v>
      </c>
    </row>
    <row r="30" spans="1:18" x14ac:dyDescent="0.2">
      <c r="A30" t="s">
        <v>292</v>
      </c>
      <c r="B30" t="s">
        <v>293</v>
      </c>
      <c r="C30" t="s">
        <v>259</v>
      </c>
      <c r="D30" t="s">
        <v>163</v>
      </c>
      <c r="E30">
        <f>IF(C30="Yes",0,IF(C30="No",20,IF(C30="Unknown",10,"")))</f>
        <v>20</v>
      </c>
      <c r="F30">
        <f t="shared" si="6"/>
        <v>0</v>
      </c>
      <c r="G30">
        <f t="shared" si="7"/>
        <v>20</v>
      </c>
      <c r="H30" t="s">
        <v>294</v>
      </c>
      <c r="I30" t="s">
        <v>295</v>
      </c>
      <c r="J30" t="s">
        <v>296</v>
      </c>
      <c r="K30" s="24">
        <f t="shared" si="8"/>
        <v>45597</v>
      </c>
      <c r="L30">
        <f t="shared" ca="1" si="9"/>
        <v>407</v>
      </c>
      <c r="M30" t="s">
        <v>184</v>
      </c>
      <c r="N30">
        <f t="shared" ca="1" si="10"/>
        <v>6</v>
      </c>
      <c r="O30">
        <f t="shared" ca="1" si="11"/>
        <v>26</v>
      </c>
      <c r="P30" t="s">
        <v>168</v>
      </c>
      <c r="R30" t="s">
        <v>297</v>
      </c>
    </row>
    <row r="31" spans="1:18" x14ac:dyDescent="0.2">
      <c r="A31" t="s">
        <v>298</v>
      </c>
      <c r="B31" t="s">
        <v>299</v>
      </c>
      <c r="C31" t="s">
        <v>300</v>
      </c>
      <c r="D31" t="s">
        <v>197</v>
      </c>
      <c r="E31">
        <f>IF(C31="","",
 IF(C31="Binding",0,
 IF(C31="Advisory",10,
 IF(C31="No DAO",20,
 IF(C31="Unknown",10,"")))))</f>
        <v>0</v>
      </c>
      <c r="F31">
        <f t="shared" si="6"/>
        <v>0.05</v>
      </c>
      <c r="G31">
        <f t="shared" si="7"/>
        <v>0</v>
      </c>
      <c r="H31" t="s">
        <v>301</v>
      </c>
      <c r="I31" t="s">
        <v>302</v>
      </c>
      <c r="J31" t="s">
        <v>166</v>
      </c>
      <c r="K31" s="24">
        <f t="shared" si="8"/>
        <v>45078</v>
      </c>
      <c r="L31">
        <f t="shared" ca="1" si="9"/>
        <v>926</v>
      </c>
      <c r="M31" t="s">
        <v>303</v>
      </c>
      <c r="N31">
        <f t="shared" ca="1" si="10"/>
        <v>4</v>
      </c>
      <c r="O31">
        <f t="shared" ca="1" si="11"/>
        <v>4</v>
      </c>
      <c r="P31" t="s">
        <v>168</v>
      </c>
      <c r="R31" t="s">
        <v>304</v>
      </c>
    </row>
    <row r="32" spans="1:18" x14ac:dyDescent="0.2">
      <c r="A32" t="s">
        <v>305</v>
      </c>
      <c r="B32" t="s">
        <v>306</v>
      </c>
      <c r="C32" t="s">
        <v>209</v>
      </c>
      <c r="D32" t="s">
        <v>163</v>
      </c>
      <c r="E32">
        <f>IF(C32="No",0,IF(C32="Yes",10,IF(C32="Unknown",5,"")))</f>
        <v>10</v>
      </c>
      <c r="F32">
        <f t="shared" si="6"/>
        <v>0</v>
      </c>
      <c r="G32">
        <f t="shared" si="7"/>
        <v>10</v>
      </c>
      <c r="H32" t="s">
        <v>307</v>
      </c>
      <c r="I32" t="s">
        <v>308</v>
      </c>
      <c r="J32" t="s">
        <v>176</v>
      </c>
      <c r="K32" s="24">
        <f t="shared" si="8"/>
        <v>45345</v>
      </c>
      <c r="L32">
        <f t="shared" ca="1" si="9"/>
        <v>659</v>
      </c>
      <c r="M32" t="s">
        <v>184</v>
      </c>
      <c r="N32">
        <f t="shared" ca="1" si="10"/>
        <v>6</v>
      </c>
      <c r="O32">
        <f t="shared" ca="1" si="11"/>
        <v>16</v>
      </c>
      <c r="P32" t="s">
        <v>168</v>
      </c>
      <c r="R32" t="s">
        <v>309</v>
      </c>
    </row>
    <row r="33" spans="1:18" x14ac:dyDescent="0.2">
      <c r="A33" s="2"/>
      <c r="B33" s="44"/>
      <c r="C33" s="45"/>
      <c r="D33" s="45"/>
      <c r="E33" s="45"/>
      <c r="F33" s="45"/>
      <c r="G33" s="45"/>
      <c r="H33" s="45"/>
      <c r="I33" s="45"/>
      <c r="J33" s="45"/>
      <c r="K33" s="46"/>
      <c r="L33" s="45"/>
      <c r="M33" s="45"/>
      <c r="N33" s="45"/>
      <c r="O33" s="45"/>
      <c r="P33" s="45"/>
      <c r="Q33" s="45"/>
      <c r="R33" s="45"/>
    </row>
    <row r="34" spans="1:18" x14ac:dyDescent="0.2">
      <c r="A34" t="s">
        <v>310</v>
      </c>
      <c r="B34" t="s">
        <v>311</v>
      </c>
      <c r="C34" t="s">
        <v>312</v>
      </c>
      <c r="D34" t="s">
        <v>197</v>
      </c>
      <c r="E34">
        <f>IF(C34="DAO",0,IF(C34="≥4",10,IF(C34="≤3",20,IF(C34="Single",20,""))))</f>
        <v>20</v>
      </c>
      <c r="F34">
        <f t="shared" ref="F34:F39" si="12">IF(D34="High",0,IF(D34="Medium",0.05,IF(D34="Low",0.1,IF(D34="Unknown",0.15,""))))</f>
        <v>0.05</v>
      </c>
      <c r="G34">
        <f t="shared" ref="G34:G39" si="13">E34*(1+F34)</f>
        <v>21</v>
      </c>
      <c r="H34" t="s">
        <v>313</v>
      </c>
      <c r="I34" t="s">
        <v>314</v>
      </c>
      <c r="J34" t="s">
        <v>176</v>
      </c>
      <c r="K34" s="24">
        <f t="shared" ref="K34:K39" si="14">IF(I34="","",MAX(IFERROR(DATEVALUE(TRIM(MID(SUBSTITUTE(I34,";",REPT(" ",50)),1,50))),0),IFERROR(DATEVALUE(TRIM(MID(SUBSTITUTE(I34,";",REPT(" ",50)),51,50))),0),IFERROR(DATEVALUE(TRIM(MID(SUBSTITUTE(I34,";",REPT(" ",50)),101,50))),0),IFERROR(DATEVALUE(TRIM(MID(SUBSTITUTE(I34,";",REPT(" ",50)),151,50))),0),IFERROR(DATEVALUE(TRIM(MID(SUBSTITUTE(I34,";",REPT(" ",50)),201,50))),0),IFERROR(DATEVALUE(TRIM(MID(SUBSTITUTE(I34,";",REPT(" ",50)),251,50))),0),IFERROR(DATEVALUE(TRIM(MID(SUBSTITUTE(I34,";",REPT(" ",50)),301,50))),0),IFERROR(DATEVALUE(TRIM(MID(SUBSTITUTE(I34,";",REPT(" ",50)),351,50))),0),IFERROR(DATEVALUE(TRIM(MID(SUBSTITUTE(I34,";",REPT(" ",50)),401,50))),0),IFERROR(DATEVALUE(TRIM(MID(SUBSTITUTE(I34,";",REPT(" ",50)),451,50))),0)))</f>
        <v>45912</v>
      </c>
      <c r="L34">
        <f t="shared" ref="L34:L39" ca="1" si="15">IF(K34="","",TODAY()-K34)</f>
        <v>92</v>
      </c>
      <c r="M34" t="s">
        <v>273</v>
      </c>
      <c r="N34">
        <f t="shared" ref="N34:N39" ca="1" si="16">IF(M34="","",IF(L34="",INDEX($F$92:$F$95,MATCH(M34,$C$92:$C$95,0)),IF(L34&lt;=INDEX($D$92:$D$95,MATCH(M34,$C$92:$C$95,0)),0,IF(L34&lt;=INDEX($E$92:$E$95,MATCH(M34,$C$92:$C$95,0)),INDEX($F$92:$F$95,MATCH(M34,$C$92:$C$95,0)),INDEX($G$92:$G$95,MATCH(M34,$C$92:$C$95,0))))))</f>
        <v>5</v>
      </c>
      <c r="O34">
        <f t="shared" ref="O34:O39" ca="1" si="17">G34+N34</f>
        <v>26</v>
      </c>
      <c r="P34" t="str">
        <f>IF(OR(C34="Single",C34="≤3"),IF(OR(C35="No",C36="No",C37="No",C38="No",C39="Yes"),"Review Required","No Review"),"No Review")</f>
        <v>No Review</v>
      </c>
      <c r="Q34" t="s">
        <v>315</v>
      </c>
      <c r="R34" t="s">
        <v>316</v>
      </c>
    </row>
    <row r="35" spans="1:18" x14ac:dyDescent="0.2">
      <c r="A35" t="s">
        <v>317</v>
      </c>
      <c r="B35" t="s">
        <v>318</v>
      </c>
      <c r="C35" t="s">
        <v>319</v>
      </c>
      <c r="D35" t="s">
        <v>197</v>
      </c>
      <c r="E35">
        <f>IF(C35="Yes",0,IF(C35="No",20,IF(C35="Unknown",10,"")))</f>
        <v>10</v>
      </c>
      <c r="F35">
        <f t="shared" si="12"/>
        <v>0.05</v>
      </c>
      <c r="G35">
        <f t="shared" si="13"/>
        <v>10.5</v>
      </c>
      <c r="H35" t="s">
        <v>320</v>
      </c>
      <c r="I35" t="s">
        <v>321</v>
      </c>
      <c r="J35" t="s">
        <v>166</v>
      </c>
      <c r="K35" s="24">
        <f t="shared" si="14"/>
        <v>45047</v>
      </c>
      <c r="L35">
        <f t="shared" ca="1" si="15"/>
        <v>957</v>
      </c>
      <c r="M35" t="s">
        <v>167</v>
      </c>
      <c r="N35">
        <f t="shared" ca="1" si="16"/>
        <v>0</v>
      </c>
      <c r="O35">
        <f t="shared" ca="1" si="17"/>
        <v>10.5</v>
      </c>
      <c r="P35" t="s">
        <v>168</v>
      </c>
      <c r="R35" t="s">
        <v>322</v>
      </c>
    </row>
    <row r="36" spans="1:18" x14ac:dyDescent="0.2">
      <c r="A36" t="s">
        <v>323</v>
      </c>
      <c r="B36" t="s">
        <v>324</v>
      </c>
      <c r="C36" t="s">
        <v>181</v>
      </c>
      <c r="D36" t="s">
        <v>197</v>
      </c>
      <c r="E36">
        <f>IF(C36="Yes",0,IF(C36="Partial",10,IF(C36="No",20,"")))</f>
        <v>10</v>
      </c>
      <c r="F36">
        <f t="shared" si="12"/>
        <v>0.05</v>
      </c>
      <c r="G36">
        <f t="shared" si="13"/>
        <v>10.5</v>
      </c>
      <c r="H36" t="s">
        <v>325</v>
      </c>
      <c r="I36" t="s">
        <v>326</v>
      </c>
      <c r="J36" t="s">
        <v>166</v>
      </c>
      <c r="K36" s="24">
        <f t="shared" si="14"/>
        <v>45376</v>
      </c>
      <c r="L36">
        <f t="shared" ca="1" si="15"/>
        <v>628</v>
      </c>
      <c r="M36" t="s">
        <v>184</v>
      </c>
      <c r="N36">
        <f t="shared" ca="1" si="16"/>
        <v>6</v>
      </c>
      <c r="O36">
        <f t="shared" ca="1" si="17"/>
        <v>16.5</v>
      </c>
      <c r="P36" t="s">
        <v>168</v>
      </c>
      <c r="R36" t="s">
        <v>327</v>
      </c>
    </row>
    <row r="37" spans="1:18" x14ac:dyDescent="0.2">
      <c r="A37" t="s">
        <v>328</v>
      </c>
      <c r="B37" t="s">
        <v>329</v>
      </c>
      <c r="C37" t="s">
        <v>319</v>
      </c>
      <c r="D37" t="s">
        <v>330</v>
      </c>
      <c r="E37">
        <f>IF(C37="Yes",0,IF(C37="No",20,IF(C37="Unknown",10,"")))</f>
        <v>10</v>
      </c>
      <c r="F37">
        <f t="shared" si="12"/>
        <v>0.1</v>
      </c>
      <c r="G37">
        <f t="shared" si="13"/>
        <v>11</v>
      </c>
      <c r="K37" s="24" t="str">
        <f t="shared" si="14"/>
        <v/>
      </c>
      <c r="L37" t="str">
        <f t="shared" ca="1" si="15"/>
        <v/>
      </c>
      <c r="M37" t="s">
        <v>303</v>
      </c>
      <c r="N37">
        <f t="shared" ca="1" si="16"/>
        <v>2</v>
      </c>
      <c r="O37">
        <f t="shared" ca="1" si="17"/>
        <v>13</v>
      </c>
      <c r="P37" t="s">
        <v>168</v>
      </c>
      <c r="R37" t="s">
        <v>331</v>
      </c>
    </row>
    <row r="38" spans="1:18" x14ac:dyDescent="0.2">
      <c r="A38" t="s">
        <v>332</v>
      </c>
      <c r="B38" t="s">
        <v>333</v>
      </c>
      <c r="C38" t="s">
        <v>209</v>
      </c>
      <c r="D38" t="s">
        <v>197</v>
      </c>
      <c r="E38">
        <f>IF(C38="Yes",0,IF(C38="No",20,IF(C38="Unknown",10,"")))</f>
        <v>0</v>
      </c>
      <c r="F38">
        <f t="shared" si="12"/>
        <v>0.05</v>
      </c>
      <c r="G38">
        <f t="shared" si="13"/>
        <v>0</v>
      </c>
      <c r="H38" t="s">
        <v>334</v>
      </c>
      <c r="I38" t="s">
        <v>335</v>
      </c>
      <c r="J38" t="s">
        <v>166</v>
      </c>
      <c r="K38" s="24">
        <f t="shared" si="14"/>
        <v>45724</v>
      </c>
      <c r="L38">
        <f t="shared" ca="1" si="15"/>
        <v>280</v>
      </c>
      <c r="M38" t="s">
        <v>184</v>
      </c>
      <c r="N38">
        <f t="shared" ca="1" si="16"/>
        <v>3</v>
      </c>
      <c r="O38">
        <f t="shared" ca="1" si="17"/>
        <v>3</v>
      </c>
      <c r="P38" t="s">
        <v>168</v>
      </c>
      <c r="R38" t="s">
        <v>336</v>
      </c>
    </row>
    <row r="39" spans="1:18" x14ac:dyDescent="0.2">
      <c r="A39" t="s">
        <v>337</v>
      </c>
      <c r="B39" t="s">
        <v>338</v>
      </c>
      <c r="C39" t="s">
        <v>259</v>
      </c>
      <c r="D39" t="s">
        <v>197</v>
      </c>
      <c r="E39">
        <f>IF(C39="No",0,IF(C39="Yes",10,IF(C39="Unknown",5,"")))</f>
        <v>0</v>
      </c>
      <c r="F39">
        <f t="shared" si="12"/>
        <v>0.05</v>
      </c>
      <c r="G39">
        <f t="shared" si="13"/>
        <v>0</v>
      </c>
      <c r="H39" t="s">
        <v>339</v>
      </c>
      <c r="I39" t="s">
        <v>340</v>
      </c>
      <c r="J39" t="s">
        <v>176</v>
      </c>
      <c r="K39" s="24">
        <f t="shared" si="14"/>
        <v>45911</v>
      </c>
      <c r="L39">
        <f t="shared" ca="1" si="15"/>
        <v>93</v>
      </c>
      <c r="M39" t="s">
        <v>184</v>
      </c>
      <c r="N39">
        <f t="shared" ca="1" si="16"/>
        <v>0</v>
      </c>
      <c r="O39">
        <f t="shared" ca="1" si="17"/>
        <v>0</v>
      </c>
      <c r="P39" t="s">
        <v>168</v>
      </c>
      <c r="R39" t="s">
        <v>341</v>
      </c>
    </row>
    <row r="40" spans="1:18" x14ac:dyDescent="0.2">
      <c r="A40" s="2"/>
      <c r="B40" s="44"/>
      <c r="C40" s="45"/>
      <c r="D40" s="45"/>
      <c r="E40" s="45"/>
      <c r="F40" s="45"/>
      <c r="G40" s="45"/>
      <c r="H40" s="45"/>
      <c r="I40" s="45"/>
      <c r="J40" s="45"/>
      <c r="K40" s="46"/>
      <c r="L40" s="45"/>
      <c r="M40" s="45"/>
      <c r="N40" s="45"/>
      <c r="O40" s="45"/>
      <c r="P40" s="45"/>
      <c r="Q40" s="45"/>
      <c r="R40" s="45"/>
    </row>
    <row r="41" spans="1:18" x14ac:dyDescent="0.2">
      <c r="A41" t="s">
        <v>342</v>
      </c>
      <c r="B41" t="s">
        <v>343</v>
      </c>
      <c r="C41" t="s">
        <v>344</v>
      </c>
      <c r="D41" t="s">
        <v>197</v>
      </c>
      <c r="E41">
        <f>0</f>
        <v>0</v>
      </c>
      <c r="F41">
        <f>IF(D41="High",0,IF(D41="Medium",0.05,IF(D41="Low",0.1,IF(D41="Unknown",0.15,""))))</f>
        <v>0.05</v>
      </c>
      <c r="G41">
        <f>E41*(1+F41)</f>
        <v>0</v>
      </c>
      <c r="H41" t="s">
        <v>345</v>
      </c>
      <c r="I41" t="s">
        <v>346</v>
      </c>
      <c r="J41" t="s">
        <v>166</v>
      </c>
      <c r="K41" s="24">
        <f>IF(I41="","",MAX(IFERROR(DATEVALUE(TRIM(MID(SUBSTITUTE(I41,";",REPT(" ",50)),1,50))),0),IFERROR(DATEVALUE(TRIM(MID(SUBSTITUTE(I41,";",REPT(" ",50)),51,50))),0),IFERROR(DATEVALUE(TRIM(MID(SUBSTITUTE(I41,";",REPT(" ",50)),101,50))),0),IFERROR(DATEVALUE(TRIM(MID(SUBSTITUTE(I41,";",REPT(" ",50)),151,50))),0),IFERROR(DATEVALUE(TRIM(MID(SUBSTITUTE(I41,";",REPT(" ",50)),201,50))),0),IFERROR(DATEVALUE(TRIM(MID(SUBSTITUTE(I41,";",REPT(" ",50)),251,50))),0),IFERROR(DATEVALUE(TRIM(MID(SUBSTITUTE(I41,";",REPT(" ",50)),301,50))),0),IFERROR(DATEVALUE(TRIM(MID(SUBSTITUTE(I41,";",REPT(" ",50)),351,50))),0),IFERROR(DATEVALUE(TRIM(MID(SUBSTITUTE(I41,";",REPT(" ",50)),401,50))),0),IFERROR(DATEVALUE(TRIM(MID(SUBSTITUTE(I41,";",REPT(" ",50)),451,50))),0)))</f>
        <v>45306</v>
      </c>
      <c r="L41">
        <f ca="1">IF(K41="","",TODAY()-K41)</f>
        <v>698</v>
      </c>
      <c r="M41" t="s">
        <v>303</v>
      </c>
      <c r="N41">
        <f ca="1">IF(M41="","",IF(L41="",INDEX($F$92:$F$95,MATCH(M41,$C$92:$C$95,0)),IF(L41&lt;=INDEX($D$92:$D$95,MATCH(M41,$C$92:$C$95,0)),0,IF(L41&lt;=INDEX($E$92:$E$95,MATCH(M41,$C$92:$C$95,0)),INDEX($F$92:$F$95,MATCH(M41,$C$92:$C$95,0)),INDEX($G$92:$G$95,MATCH(M41,$C$92:$C$95,0))))))</f>
        <v>2</v>
      </c>
      <c r="O41">
        <f ca="1">G41+N41</f>
        <v>2</v>
      </c>
      <c r="P41" t="s">
        <v>168</v>
      </c>
      <c r="Q41" t="s">
        <v>347</v>
      </c>
      <c r="R41" t="s">
        <v>348</v>
      </c>
    </row>
    <row r="42" spans="1:18" x14ac:dyDescent="0.2">
      <c r="A42" t="s">
        <v>349</v>
      </c>
      <c r="B42" t="s">
        <v>350</v>
      </c>
      <c r="C42" t="s">
        <v>351</v>
      </c>
      <c r="D42" t="s">
        <v>197</v>
      </c>
      <c r="E42">
        <f>IF(C42="Yes",0,IF(C42="Unclear",10,IF(C42="No",20,"")))</f>
        <v>10</v>
      </c>
      <c r="F42">
        <f>IF(D42="High",0,IF(D42="Medium",0.05,IF(D42="Low",0.1,IF(D42="Unknown",0.15,""))))</f>
        <v>0.05</v>
      </c>
      <c r="G42">
        <f>E42*(1+F42)</f>
        <v>10.5</v>
      </c>
      <c r="H42" t="s">
        <v>352</v>
      </c>
      <c r="I42" t="s">
        <v>353</v>
      </c>
      <c r="J42" t="s">
        <v>166</v>
      </c>
      <c r="K42" s="24">
        <f>IF(I42="","",MAX(IFERROR(DATEVALUE(TRIM(MID(SUBSTITUTE(I42,";",REPT(" ",50)),1,50))),0),IFERROR(DATEVALUE(TRIM(MID(SUBSTITUTE(I42,";",REPT(" ",50)),51,50))),0),IFERROR(DATEVALUE(TRIM(MID(SUBSTITUTE(I42,";",REPT(" ",50)),101,50))),0),IFERROR(DATEVALUE(TRIM(MID(SUBSTITUTE(I42,";",REPT(" ",50)),151,50))),0),IFERROR(DATEVALUE(TRIM(MID(SUBSTITUTE(I42,";",REPT(" ",50)),201,50))),0),IFERROR(DATEVALUE(TRIM(MID(SUBSTITUTE(I42,";",REPT(" ",50)),251,50))),0),IFERROR(DATEVALUE(TRIM(MID(SUBSTITUTE(I42,";",REPT(" ",50)),301,50))),0),IFERROR(DATEVALUE(TRIM(MID(SUBSTITUTE(I42,";",REPT(" ",50)),351,50))),0),IFERROR(DATEVALUE(TRIM(MID(SUBSTITUTE(I42,";",REPT(" ",50)),401,50))),0),IFERROR(DATEVALUE(TRIM(MID(SUBSTITUTE(I42,";",REPT(" ",50)),451,50))),0)))</f>
        <v>45931</v>
      </c>
      <c r="L42">
        <f ca="1">IF(K42="","",TODAY()-K42)</f>
        <v>73</v>
      </c>
      <c r="M42" t="s">
        <v>184</v>
      </c>
      <c r="N42">
        <f ca="1">IF(M42="","",IF(L42="",INDEX($F$92:$F$95,MATCH(M42,$C$92:$C$95,0)),IF(L42&lt;=INDEX($D$92:$D$95,MATCH(M42,$C$92:$C$95,0)),0,IF(L42&lt;=INDEX($E$92:$E$95,MATCH(M42,$C$92:$C$95,0)),INDEX($F$92:$F$95,MATCH(M42,$C$92:$C$95,0)),INDEX($G$92:$G$95,MATCH(M42,$C$92:$C$95,0))))))</f>
        <v>0</v>
      </c>
      <c r="O42">
        <f ca="1">G42+N42</f>
        <v>10.5</v>
      </c>
      <c r="P42" t="s">
        <v>168</v>
      </c>
      <c r="Q42" t="s">
        <v>347</v>
      </c>
      <c r="R42" t="s">
        <v>354</v>
      </c>
    </row>
    <row r="43" spans="1:18" x14ac:dyDescent="0.2">
      <c r="A43" s="4"/>
      <c r="B43" s="5" t="s">
        <v>355</v>
      </c>
      <c r="C43" s="4"/>
      <c r="D43" s="4"/>
      <c r="E43" s="4"/>
      <c r="F43" s="4"/>
      <c r="G43" s="4"/>
      <c r="H43" s="4"/>
      <c r="I43" s="4"/>
      <c r="J43" s="4"/>
      <c r="K43" s="23" t="str">
        <f>IF(I43="","",MAX(IFERROR(DATEVALUE(TRIM(MID(SUBSTITUTE(I43,";",REPT(" ",50)),1,50))),0),IFERROR(DATEVALUE(TRIM(MID(SUBSTITUTE(I43,";",REPT(" ",50)),51,50))),0),IFERROR(DATEVALUE(TRIM(MID(SUBSTITUTE(I43,";",REPT(" ",50)),101,50))),0),IFERROR(DATEVALUE(TRIM(MID(SUBSTITUTE(I43,";",REPT(" ",50)),151,50))),0),IFERROR(DATEVALUE(TRIM(MID(SUBSTITUTE(I43,";",REPT(" ",50)),201,50))),0),IFERROR(DATEVALUE(TRIM(MID(SUBSTITUTE(I43,";",REPT(" ",50)),251,50))),0),IFERROR(DATEVALUE(TRIM(MID(SUBSTITUTE(I43,";",REPT(" ",50)),301,50))),0),IFERROR(DATEVALUE(TRIM(MID(SUBSTITUTE(I43,";",REPT(" ",50)),351,50))),0),IFERROR(DATEVALUE(TRIM(MID(SUBSTITUTE(I43,";",REPT(" ",50)),401,50))),0),IFERROR(DATEVALUE(TRIM(MID(SUBSTITUTE(I43,";",REPT(" ",50)),451,50))),0)))</f>
        <v/>
      </c>
      <c r="L43" s="4"/>
      <c r="M43" s="4"/>
      <c r="N43" s="4" t="str">
        <f>IF(M43="","",IF(L43="",INDEX($F$92:$F$95,MATCH(M43,$C$92:$C$95,0)),IF(L43&lt;=INDEX($D$92:$D$95,MATCH(M43,$C$92:$C$95,0)),0,IF(L43&lt;=INDEX($E$92:$E$95,MATCH(M43,$C$92:$C$95,0)),INDEX($F$92:$F$95,MATCH(M43,$C$92:$C$95,0)),INDEX($G$92:$G$95,MATCH(M43,$C$92:$C$95,0))))))</f>
        <v/>
      </c>
      <c r="O43" s="4"/>
      <c r="P43" s="4"/>
      <c r="Q43" s="4"/>
      <c r="R43" s="4"/>
    </row>
    <row r="44" spans="1:18" x14ac:dyDescent="0.2">
      <c r="A44" s="2"/>
      <c r="B44" s="44"/>
      <c r="C44" s="45"/>
      <c r="D44" s="45"/>
      <c r="E44" s="45"/>
      <c r="F44" s="45"/>
      <c r="G44" s="45"/>
      <c r="H44" s="45"/>
      <c r="I44" s="45"/>
      <c r="J44" s="45"/>
      <c r="K44" s="46"/>
      <c r="L44" s="45"/>
      <c r="M44" s="45"/>
      <c r="N44" s="45"/>
      <c r="O44" s="45"/>
      <c r="P44" s="45"/>
      <c r="Q44" s="45"/>
      <c r="R44" s="45"/>
    </row>
    <row r="45" spans="1:18" x14ac:dyDescent="0.2">
      <c r="A45" t="s">
        <v>356</v>
      </c>
      <c r="B45" t="s">
        <v>357</v>
      </c>
      <c r="C45" t="s">
        <v>209</v>
      </c>
      <c r="D45" t="s">
        <v>163</v>
      </c>
      <c r="E45">
        <f>IF(C45="No",0,IF(C45="Limited",10,IF(C45="Unclear",10,IF(C45="Yes",10,""))))</f>
        <v>10</v>
      </c>
      <c r="F45">
        <f t="shared" ref="F45:F51" si="18">IF(D45="High",0,IF(D45="Medium",0.05,IF(D45="Low",0.1,IF(D45="Unknown",0.15,""))))</f>
        <v>0</v>
      </c>
      <c r="G45">
        <f t="shared" ref="G45:G51" si="19">E45*(1+F45)</f>
        <v>10</v>
      </c>
      <c r="H45" t="s">
        <v>215</v>
      </c>
      <c r="I45" t="s">
        <v>358</v>
      </c>
      <c r="J45" t="s">
        <v>166</v>
      </c>
      <c r="K45" s="24">
        <f t="shared" ref="K45:K52" si="20">IF(I45="","",MAX(IFERROR(DATEVALUE(TRIM(MID(SUBSTITUTE(I45,";",REPT(" ",50)),1,50))),0),IFERROR(DATEVALUE(TRIM(MID(SUBSTITUTE(I45,";",REPT(" ",50)),51,50))),0),IFERROR(DATEVALUE(TRIM(MID(SUBSTITUTE(I45,";",REPT(" ",50)),101,50))),0),IFERROR(DATEVALUE(TRIM(MID(SUBSTITUTE(I45,";",REPT(" ",50)),151,50))),0),IFERROR(DATEVALUE(TRIM(MID(SUBSTITUTE(I45,";",REPT(" ",50)),201,50))),0),IFERROR(DATEVALUE(TRIM(MID(SUBSTITUTE(I45,";",REPT(" ",50)),251,50))),0),IFERROR(DATEVALUE(TRIM(MID(SUBSTITUTE(I45,";",REPT(" ",50)),301,50))),0),IFERROR(DATEVALUE(TRIM(MID(SUBSTITUTE(I45,";",REPT(" ",50)),351,50))),0),IFERROR(DATEVALUE(TRIM(MID(SUBSTITUTE(I45,";",REPT(" ",50)),401,50))),0),IFERROR(DATEVALUE(TRIM(MID(SUBSTITUTE(I45,";",REPT(" ",50)),451,50))),0)))</f>
        <v>45139</v>
      </c>
      <c r="L45">
        <f t="shared" ref="L45:L51" ca="1" si="21">IF(K45="","",TODAY()-K45)</f>
        <v>865</v>
      </c>
      <c r="M45" t="s">
        <v>167</v>
      </c>
      <c r="N45">
        <f t="shared" ref="N45:N52" ca="1" si="22">IF(M45="","",IF(L45="",INDEX($F$92:$F$95,MATCH(M45,$C$92:$C$95,0)),IF(L45&lt;=INDEX($D$92:$D$95,MATCH(M45,$C$92:$C$95,0)),0,IF(L45&lt;=INDEX($E$92:$E$95,MATCH(M45,$C$92:$C$95,0)),INDEX($F$92:$F$95,MATCH(M45,$C$92:$C$95,0)),INDEX($G$92:$G$95,MATCH(M45,$C$92:$C$95,0))))))</f>
        <v>0</v>
      </c>
      <c r="O45">
        <f t="shared" ref="O45:O51" ca="1" si="23">G45+N45</f>
        <v>10</v>
      </c>
      <c r="P45" t="s">
        <v>168</v>
      </c>
      <c r="R45" t="s">
        <v>359</v>
      </c>
    </row>
    <row r="46" spans="1:18" x14ac:dyDescent="0.2">
      <c r="A46" t="s">
        <v>360</v>
      </c>
      <c r="B46" t="s">
        <v>361</v>
      </c>
      <c r="C46" t="s">
        <v>209</v>
      </c>
      <c r="D46" t="s">
        <v>163</v>
      </c>
      <c r="E46">
        <f>IF(C46="No",0,IF(C46="Indirect",10,IF(C46="Unclear",10,IF(C46="Yes",20,""))))</f>
        <v>20</v>
      </c>
      <c r="F46">
        <f t="shared" si="18"/>
        <v>0</v>
      </c>
      <c r="G46">
        <f t="shared" si="19"/>
        <v>20</v>
      </c>
      <c r="H46" t="s">
        <v>362</v>
      </c>
      <c r="I46" t="s">
        <v>363</v>
      </c>
      <c r="J46" t="s">
        <v>166</v>
      </c>
      <c r="K46" s="24">
        <f t="shared" si="20"/>
        <v>45566</v>
      </c>
      <c r="L46">
        <f t="shared" ca="1" si="21"/>
        <v>438</v>
      </c>
      <c r="M46" t="s">
        <v>167</v>
      </c>
      <c r="N46">
        <f t="shared" ca="1" si="22"/>
        <v>0</v>
      </c>
      <c r="O46">
        <f t="shared" ca="1" si="23"/>
        <v>20</v>
      </c>
      <c r="P46" t="str">
        <f>IF(C46="Yes","Review Required","No Review")</f>
        <v>Review Required</v>
      </c>
      <c r="Q46" t="s">
        <v>364</v>
      </c>
      <c r="R46" t="s">
        <v>365</v>
      </c>
    </row>
    <row r="47" spans="1:18" x14ac:dyDescent="0.2">
      <c r="A47" t="s">
        <v>366</v>
      </c>
      <c r="B47" t="s">
        <v>367</v>
      </c>
      <c r="C47" t="s">
        <v>259</v>
      </c>
      <c r="D47" t="s">
        <v>197</v>
      </c>
      <c r="E47">
        <f>IF(C47="No",0,IF(C47="Unclear",10,IF(C47="Yes",20,"")))</f>
        <v>0</v>
      </c>
      <c r="F47">
        <f t="shared" si="18"/>
        <v>0.05</v>
      </c>
      <c r="G47">
        <f t="shared" si="19"/>
        <v>0</v>
      </c>
      <c r="H47" t="s">
        <v>368</v>
      </c>
      <c r="I47" t="s">
        <v>369</v>
      </c>
      <c r="J47" t="s">
        <v>166</v>
      </c>
      <c r="K47" s="24">
        <f t="shared" si="20"/>
        <v>45139</v>
      </c>
      <c r="L47">
        <f t="shared" ca="1" si="21"/>
        <v>865</v>
      </c>
      <c r="M47" t="s">
        <v>167</v>
      </c>
      <c r="N47">
        <f t="shared" ca="1" si="22"/>
        <v>0</v>
      </c>
      <c r="O47">
        <f t="shared" ca="1" si="23"/>
        <v>0</v>
      </c>
      <c r="P47" t="str">
        <f>IF(C47="Yes","Review","No Review")</f>
        <v>No Review</v>
      </c>
      <c r="Q47" t="s">
        <v>370</v>
      </c>
      <c r="R47" t="s">
        <v>371</v>
      </c>
    </row>
    <row r="48" spans="1:18" x14ac:dyDescent="0.2">
      <c r="A48" t="s">
        <v>372</v>
      </c>
      <c r="B48" t="s">
        <v>373</v>
      </c>
      <c r="C48" t="s">
        <v>163</v>
      </c>
      <c r="D48" t="s">
        <v>197</v>
      </c>
      <c r="E48">
        <f>IF(C48="Low",0,IF(C48="Moderate",10,IF(C48="High",20,"")))</f>
        <v>20</v>
      </c>
      <c r="F48">
        <f t="shared" si="18"/>
        <v>0.05</v>
      </c>
      <c r="G48">
        <f t="shared" si="19"/>
        <v>21</v>
      </c>
      <c r="H48" t="s">
        <v>374</v>
      </c>
      <c r="I48" t="s">
        <v>358</v>
      </c>
      <c r="J48" t="s">
        <v>166</v>
      </c>
      <c r="K48" s="24">
        <f t="shared" si="20"/>
        <v>45139</v>
      </c>
      <c r="L48">
        <f t="shared" ca="1" si="21"/>
        <v>865</v>
      </c>
      <c r="M48" t="s">
        <v>167</v>
      </c>
      <c r="N48">
        <f t="shared" ca="1" si="22"/>
        <v>0</v>
      </c>
      <c r="O48">
        <f t="shared" ca="1" si="23"/>
        <v>21</v>
      </c>
      <c r="P48" t="s">
        <v>168</v>
      </c>
      <c r="R48" t="s">
        <v>375</v>
      </c>
    </row>
    <row r="49" spans="1:18" x14ac:dyDescent="0.2">
      <c r="A49" t="s">
        <v>376</v>
      </c>
      <c r="B49" t="s">
        <v>377</v>
      </c>
      <c r="C49" t="s">
        <v>209</v>
      </c>
      <c r="D49" t="s">
        <v>163</v>
      </c>
      <c r="E49">
        <f>IF(C49="No",0,IF(C49="Partial",10,IF(C49="Yes",10,"")))</f>
        <v>10</v>
      </c>
      <c r="F49">
        <f t="shared" si="18"/>
        <v>0</v>
      </c>
      <c r="G49">
        <f t="shared" si="19"/>
        <v>10</v>
      </c>
      <c r="H49" t="s">
        <v>378</v>
      </c>
      <c r="I49" t="s">
        <v>379</v>
      </c>
      <c r="J49" t="s">
        <v>166</v>
      </c>
      <c r="K49" s="24">
        <f t="shared" si="20"/>
        <v>45078</v>
      </c>
      <c r="L49">
        <f t="shared" ca="1" si="21"/>
        <v>926</v>
      </c>
      <c r="M49" t="s">
        <v>167</v>
      </c>
      <c r="N49">
        <f t="shared" ca="1" si="22"/>
        <v>0</v>
      </c>
      <c r="O49">
        <f t="shared" ca="1" si="23"/>
        <v>10</v>
      </c>
      <c r="P49" t="s">
        <v>168</v>
      </c>
      <c r="R49" t="s">
        <v>380</v>
      </c>
    </row>
    <row r="50" spans="1:18" x14ac:dyDescent="0.2">
      <c r="A50" t="s">
        <v>381</v>
      </c>
      <c r="B50" t="s">
        <v>382</v>
      </c>
      <c r="C50" t="s">
        <v>351</v>
      </c>
      <c r="D50" t="s">
        <v>330</v>
      </c>
      <c r="E50">
        <f>IF(C50="No",0,IF(C50="Unclear",10,IF(C50="Yes",20,"")))</f>
        <v>10</v>
      </c>
      <c r="F50">
        <f t="shared" si="18"/>
        <v>0.1</v>
      </c>
      <c r="G50">
        <f t="shared" si="19"/>
        <v>11</v>
      </c>
      <c r="H50" t="s">
        <v>383</v>
      </c>
      <c r="I50" t="s">
        <v>384</v>
      </c>
      <c r="J50" t="s">
        <v>166</v>
      </c>
      <c r="K50" s="24">
        <f t="shared" si="20"/>
        <v>45413</v>
      </c>
      <c r="L50">
        <f t="shared" ca="1" si="21"/>
        <v>591</v>
      </c>
      <c r="M50" t="s">
        <v>167</v>
      </c>
      <c r="N50">
        <f t="shared" ca="1" si="22"/>
        <v>0</v>
      </c>
      <c r="O50">
        <f t="shared" ca="1" si="23"/>
        <v>11</v>
      </c>
      <c r="P50" t="s">
        <v>168</v>
      </c>
      <c r="R50" t="s">
        <v>385</v>
      </c>
    </row>
    <row r="51" spans="1:18" x14ac:dyDescent="0.2">
      <c r="A51" t="s">
        <v>386</v>
      </c>
      <c r="B51" t="s">
        <v>387</v>
      </c>
      <c r="C51" t="s">
        <v>388</v>
      </c>
      <c r="D51" t="s">
        <v>197</v>
      </c>
      <c r="E51">
        <f>0</f>
        <v>0</v>
      </c>
      <c r="F51">
        <f t="shared" si="18"/>
        <v>0.05</v>
      </c>
      <c r="G51">
        <f t="shared" si="19"/>
        <v>0</v>
      </c>
      <c r="H51" t="s">
        <v>389</v>
      </c>
      <c r="I51" t="s">
        <v>390</v>
      </c>
      <c r="J51" t="s">
        <v>176</v>
      </c>
      <c r="K51" s="24">
        <f t="shared" si="20"/>
        <v>45931</v>
      </c>
      <c r="L51">
        <f t="shared" ca="1" si="21"/>
        <v>73</v>
      </c>
      <c r="M51" t="s">
        <v>167</v>
      </c>
      <c r="N51">
        <f t="shared" ca="1" si="22"/>
        <v>0</v>
      </c>
      <c r="O51">
        <f t="shared" ca="1" si="23"/>
        <v>0</v>
      </c>
      <c r="P51" t="s">
        <v>168</v>
      </c>
      <c r="Q51" t="s">
        <v>347</v>
      </c>
      <c r="R51" t="s">
        <v>391</v>
      </c>
    </row>
    <row r="52" spans="1:18" x14ac:dyDescent="0.2">
      <c r="A52" s="4"/>
      <c r="B52" s="5" t="s">
        <v>392</v>
      </c>
      <c r="C52" s="4"/>
      <c r="D52" s="4"/>
      <c r="E52" s="4"/>
      <c r="F52" s="4"/>
      <c r="G52" s="4"/>
      <c r="H52" s="4"/>
      <c r="I52" s="4"/>
      <c r="J52" s="4"/>
      <c r="K52" s="23" t="str">
        <f t="shared" si="20"/>
        <v/>
      </c>
      <c r="L52" s="4"/>
      <c r="M52" s="4"/>
      <c r="N52" s="4" t="str">
        <f t="shared" si="22"/>
        <v/>
      </c>
      <c r="O52" s="4"/>
      <c r="P52" s="4"/>
      <c r="Q52" s="4"/>
      <c r="R52" s="4"/>
    </row>
    <row r="53" spans="1:18" x14ac:dyDescent="0.2">
      <c r="A53" s="3"/>
      <c r="B53" s="44"/>
      <c r="C53" s="45"/>
      <c r="D53" s="45"/>
      <c r="E53" s="45"/>
      <c r="F53" s="45"/>
      <c r="G53" s="45"/>
      <c r="H53" s="45"/>
      <c r="I53" s="45"/>
      <c r="J53" s="45"/>
      <c r="K53" s="46"/>
      <c r="L53" s="45"/>
      <c r="M53" s="45"/>
      <c r="N53" s="45"/>
      <c r="O53" s="45"/>
      <c r="P53" s="45"/>
      <c r="Q53" s="45"/>
      <c r="R53" s="45"/>
    </row>
    <row r="54" spans="1:18" x14ac:dyDescent="0.2">
      <c r="A54" t="s">
        <v>393</v>
      </c>
      <c r="B54" t="s">
        <v>394</v>
      </c>
      <c r="C54" t="s">
        <v>209</v>
      </c>
      <c r="D54" t="s">
        <v>163</v>
      </c>
      <c r="E54">
        <f>IF(C54="Yes",0,IF(C54="Outdated",10,IF(C54="Unclear",10,IF(C54="No",20,""))))</f>
        <v>0</v>
      </c>
      <c r="F54">
        <f t="shared" ref="F54:F61" si="24">IF(D54="High",0,IF(D54="Medium",0.05,IF(D54="Low",0.1,IF(D54="Unknown",0.15,""))))</f>
        <v>0</v>
      </c>
      <c r="G54">
        <f t="shared" ref="G54:G61" si="25">E54*(1+F54)</f>
        <v>0</v>
      </c>
      <c r="H54" t="s">
        <v>395</v>
      </c>
      <c r="I54" t="s">
        <v>396</v>
      </c>
      <c r="J54" t="s">
        <v>176</v>
      </c>
      <c r="K54" s="24">
        <f t="shared" ref="K54:K62" si="26">IF(I54="","",MAX(IFERROR(DATEVALUE(TRIM(MID(SUBSTITUTE(I54,";",REPT(" ",50)),1,50))),0),IFERROR(DATEVALUE(TRIM(MID(SUBSTITUTE(I54,";",REPT(" ",50)),51,50))),0),IFERROR(DATEVALUE(TRIM(MID(SUBSTITUTE(I54,";",REPT(" ",50)),101,50))),0),IFERROR(DATEVALUE(TRIM(MID(SUBSTITUTE(I54,";",REPT(" ",50)),151,50))),0),IFERROR(DATEVALUE(TRIM(MID(SUBSTITUTE(I54,";",REPT(" ",50)),201,50))),0),IFERROR(DATEVALUE(TRIM(MID(SUBSTITUTE(I54,";",REPT(" ",50)),251,50))),0),IFERROR(DATEVALUE(TRIM(MID(SUBSTITUTE(I54,";",REPT(" ",50)),301,50))),0),IFERROR(DATEVALUE(TRIM(MID(SUBSTITUTE(I54,";",REPT(" ",50)),351,50))),0),IFERROR(DATEVALUE(TRIM(MID(SUBSTITUTE(I54,";",REPT(" ",50)),401,50))),0),IFERROR(DATEVALUE(TRIM(MID(SUBSTITUTE(I54,";",REPT(" ",50)),451,50))),0)))</f>
        <v>45621</v>
      </c>
      <c r="L54">
        <f t="shared" ref="L54:L61" ca="1" si="27">IF(K54="","",TODAY()-K54)</f>
        <v>383</v>
      </c>
      <c r="M54" t="s">
        <v>303</v>
      </c>
      <c r="N54">
        <f t="shared" ref="N54:N62" ca="1" si="28">IF(M54="","",IF(L54="",INDEX($F$92:$F$95,MATCH(M54,$C$92:$C$95,0)),IF(L54&lt;=INDEX($D$92:$D$95,MATCH(M54,$C$92:$C$95,0)),0,IF(L54&lt;=INDEX($E$92:$E$95,MATCH(M54,$C$92:$C$95,0)),INDEX($F$92:$F$95,MATCH(M54,$C$92:$C$95,0)),INDEX($G$92:$G$95,MATCH(M54,$C$92:$C$95,0))))))</f>
        <v>2</v>
      </c>
      <c r="O54">
        <f t="shared" ref="O54:O61" ca="1" si="29">G54+N54</f>
        <v>2</v>
      </c>
      <c r="P54" t="str">
        <f>IF(C54="No","Review","No Review")</f>
        <v>No Review</v>
      </c>
      <c r="Q54" t="s">
        <v>397</v>
      </c>
      <c r="R54" t="s">
        <v>398</v>
      </c>
    </row>
    <row r="55" spans="1:18" x14ac:dyDescent="0.2">
      <c r="A55" t="s">
        <v>399</v>
      </c>
      <c r="B55" t="s">
        <v>400</v>
      </c>
      <c r="C55" t="s">
        <v>209</v>
      </c>
      <c r="D55" t="s">
        <v>163</v>
      </c>
      <c r="E55">
        <f>IF(C55="Yes",0,IF(C55="Partially",10,IF(C55="No",20,"")))</f>
        <v>0</v>
      </c>
      <c r="F55">
        <f t="shared" si="24"/>
        <v>0</v>
      </c>
      <c r="G55">
        <f t="shared" si="25"/>
        <v>0</v>
      </c>
      <c r="H55" t="s">
        <v>401</v>
      </c>
      <c r="I55" t="s">
        <v>402</v>
      </c>
      <c r="J55" t="s">
        <v>176</v>
      </c>
      <c r="K55" s="24">
        <f t="shared" si="26"/>
        <v>45444</v>
      </c>
      <c r="L55">
        <f t="shared" ca="1" si="27"/>
        <v>560</v>
      </c>
      <c r="M55" t="s">
        <v>167</v>
      </c>
      <c r="N55">
        <f t="shared" ca="1" si="28"/>
        <v>0</v>
      </c>
      <c r="O55">
        <f t="shared" ca="1" si="29"/>
        <v>0</v>
      </c>
      <c r="P55" t="s">
        <v>168</v>
      </c>
      <c r="R55" t="s">
        <v>403</v>
      </c>
    </row>
    <row r="56" spans="1:18" x14ac:dyDescent="0.2">
      <c r="A56" t="s">
        <v>404</v>
      </c>
      <c r="B56" t="s">
        <v>405</v>
      </c>
      <c r="C56" t="s">
        <v>209</v>
      </c>
      <c r="D56" t="s">
        <v>163</v>
      </c>
      <c r="E56">
        <f>IF(C56="Yes",0,IF(C56="Partially",10,IF(C56="No",20,"")))</f>
        <v>0</v>
      </c>
      <c r="F56">
        <f t="shared" si="24"/>
        <v>0</v>
      </c>
      <c r="G56">
        <f t="shared" si="25"/>
        <v>0</v>
      </c>
      <c r="H56" t="s">
        <v>406</v>
      </c>
      <c r="I56" t="s">
        <v>407</v>
      </c>
      <c r="J56" t="s">
        <v>176</v>
      </c>
      <c r="K56" s="24">
        <f t="shared" si="26"/>
        <v>45536</v>
      </c>
      <c r="L56">
        <f t="shared" ca="1" si="27"/>
        <v>468</v>
      </c>
      <c r="M56" t="s">
        <v>167</v>
      </c>
      <c r="N56">
        <f t="shared" ca="1" si="28"/>
        <v>0</v>
      </c>
      <c r="O56">
        <f t="shared" ca="1" si="29"/>
        <v>0</v>
      </c>
      <c r="P56" t="s">
        <v>168</v>
      </c>
      <c r="R56" t="s">
        <v>408</v>
      </c>
    </row>
    <row r="57" spans="1:18" x14ac:dyDescent="0.2">
      <c r="A57" t="s">
        <v>409</v>
      </c>
      <c r="B57" t="s">
        <v>410</v>
      </c>
      <c r="C57" t="s">
        <v>209</v>
      </c>
      <c r="D57" t="s">
        <v>163</v>
      </c>
      <c r="E57">
        <f>IF(C57="Yes",0,IF(C57="Partial",10,IF(C57="Unclear",10,IF(C57="No",20,""))))</f>
        <v>0</v>
      </c>
      <c r="F57">
        <f t="shared" si="24"/>
        <v>0</v>
      </c>
      <c r="G57">
        <f t="shared" si="25"/>
        <v>0</v>
      </c>
      <c r="H57" t="s">
        <v>411</v>
      </c>
      <c r="I57" t="s">
        <v>412</v>
      </c>
      <c r="J57" t="s">
        <v>176</v>
      </c>
      <c r="K57" s="24">
        <f t="shared" si="26"/>
        <v>45444</v>
      </c>
      <c r="L57">
        <f t="shared" ca="1" si="27"/>
        <v>560</v>
      </c>
      <c r="M57" t="s">
        <v>167</v>
      </c>
      <c r="N57">
        <f t="shared" ca="1" si="28"/>
        <v>0</v>
      </c>
      <c r="O57">
        <f t="shared" ca="1" si="29"/>
        <v>0</v>
      </c>
      <c r="P57" t="str">
        <f>IF(C57="No","Review","No Review")</f>
        <v>No Review</v>
      </c>
      <c r="Q57" t="s">
        <v>413</v>
      </c>
      <c r="R57" t="s">
        <v>414</v>
      </c>
    </row>
    <row r="58" spans="1:18" x14ac:dyDescent="0.2">
      <c r="A58" t="s">
        <v>415</v>
      </c>
      <c r="B58" t="s">
        <v>416</v>
      </c>
      <c r="C58" t="s">
        <v>209</v>
      </c>
      <c r="D58" t="s">
        <v>163</v>
      </c>
      <c r="E58">
        <f>IF(C58="Yes",0,IF(C58="Minimal",10,IF(C58="Missing",20,IF(C58="No",20,""))))</f>
        <v>0</v>
      </c>
      <c r="F58">
        <f t="shared" si="24"/>
        <v>0</v>
      </c>
      <c r="G58">
        <f t="shared" si="25"/>
        <v>0</v>
      </c>
      <c r="H58" t="s">
        <v>417</v>
      </c>
      <c r="I58" t="s">
        <v>418</v>
      </c>
      <c r="J58" t="s">
        <v>176</v>
      </c>
      <c r="K58" s="24">
        <f t="shared" si="26"/>
        <v>45962</v>
      </c>
      <c r="L58">
        <f t="shared" ca="1" si="27"/>
        <v>42</v>
      </c>
      <c r="M58" t="s">
        <v>167</v>
      </c>
      <c r="N58">
        <f t="shared" ca="1" si="28"/>
        <v>0</v>
      </c>
      <c r="O58">
        <f t="shared" ca="1" si="29"/>
        <v>0</v>
      </c>
      <c r="P58" t="s">
        <v>168</v>
      </c>
      <c r="R58" t="s">
        <v>419</v>
      </c>
    </row>
    <row r="59" spans="1:18" x14ac:dyDescent="0.2">
      <c r="A59" t="s">
        <v>420</v>
      </c>
      <c r="B59" t="s">
        <v>421</v>
      </c>
      <c r="C59" t="s">
        <v>209</v>
      </c>
      <c r="D59" t="s">
        <v>163</v>
      </c>
      <c r="E59">
        <f>IF(C59="Yes",0,IF(C59="Limited",10,IF(C59="Unclear",10,IF(C59="No",20,""))))</f>
        <v>0</v>
      </c>
      <c r="F59">
        <f t="shared" si="24"/>
        <v>0</v>
      </c>
      <c r="G59">
        <f t="shared" si="25"/>
        <v>0</v>
      </c>
      <c r="H59" t="s">
        <v>422</v>
      </c>
      <c r="I59" t="s">
        <v>423</v>
      </c>
      <c r="J59" t="s">
        <v>176</v>
      </c>
      <c r="K59" s="24">
        <f t="shared" si="26"/>
        <v>45713</v>
      </c>
      <c r="L59">
        <f t="shared" ca="1" si="27"/>
        <v>291</v>
      </c>
      <c r="M59" t="s">
        <v>167</v>
      </c>
      <c r="N59">
        <f t="shared" ca="1" si="28"/>
        <v>0</v>
      </c>
      <c r="O59">
        <f t="shared" ca="1" si="29"/>
        <v>0</v>
      </c>
      <c r="P59" t="s">
        <v>168</v>
      </c>
      <c r="R59" t="s">
        <v>424</v>
      </c>
    </row>
    <row r="60" spans="1:18" x14ac:dyDescent="0.2">
      <c r="A60" t="s">
        <v>425</v>
      </c>
      <c r="B60" t="s">
        <v>426</v>
      </c>
      <c r="C60" t="s">
        <v>209</v>
      </c>
      <c r="D60" t="s">
        <v>163</v>
      </c>
      <c r="E60">
        <f>IF(C60="Yes",0,IF(C60="Unclear",10,IF(C60="No",20,"")))</f>
        <v>0</v>
      </c>
      <c r="F60">
        <f t="shared" si="24"/>
        <v>0</v>
      </c>
      <c r="G60">
        <f t="shared" si="25"/>
        <v>0</v>
      </c>
      <c r="H60" t="s">
        <v>427</v>
      </c>
      <c r="I60" t="s">
        <v>428</v>
      </c>
      <c r="J60" t="s">
        <v>166</v>
      </c>
      <c r="K60" s="24">
        <f t="shared" si="26"/>
        <v>45158</v>
      </c>
      <c r="L60">
        <f t="shared" ca="1" si="27"/>
        <v>846</v>
      </c>
      <c r="M60" t="s">
        <v>167</v>
      </c>
      <c r="N60">
        <f t="shared" ca="1" si="28"/>
        <v>0</v>
      </c>
      <c r="O60">
        <f t="shared" ca="1" si="29"/>
        <v>0</v>
      </c>
      <c r="P60" t="s">
        <v>168</v>
      </c>
      <c r="R60" t="s">
        <v>429</v>
      </c>
    </row>
    <row r="61" spans="1:18" x14ac:dyDescent="0.2">
      <c r="A61" t="s">
        <v>430</v>
      </c>
      <c r="B61" t="s">
        <v>431</v>
      </c>
      <c r="C61" t="s">
        <v>432</v>
      </c>
      <c r="D61" t="s">
        <v>197</v>
      </c>
      <c r="E61">
        <f>0</f>
        <v>0</v>
      </c>
      <c r="F61">
        <f t="shared" si="24"/>
        <v>0.05</v>
      </c>
      <c r="G61">
        <f t="shared" si="25"/>
        <v>0</v>
      </c>
      <c r="H61" t="s">
        <v>433</v>
      </c>
      <c r="I61" t="s">
        <v>434</v>
      </c>
      <c r="J61" t="s">
        <v>166</v>
      </c>
      <c r="K61" s="24">
        <f t="shared" si="26"/>
        <v>45566</v>
      </c>
      <c r="L61">
        <f t="shared" ca="1" si="27"/>
        <v>438</v>
      </c>
      <c r="M61" t="s">
        <v>167</v>
      </c>
      <c r="N61">
        <f t="shared" ca="1" si="28"/>
        <v>0</v>
      </c>
      <c r="O61">
        <f t="shared" ca="1" si="29"/>
        <v>0</v>
      </c>
      <c r="P61" t="s">
        <v>168</v>
      </c>
      <c r="Q61" t="s">
        <v>435</v>
      </c>
      <c r="R61" t="s">
        <v>436</v>
      </c>
    </row>
    <row r="62" spans="1:18" x14ac:dyDescent="0.2">
      <c r="A62" s="4"/>
      <c r="B62" s="5" t="s">
        <v>437</v>
      </c>
      <c r="C62" s="4"/>
      <c r="D62" s="4"/>
      <c r="E62" s="4"/>
      <c r="F62" s="4"/>
      <c r="G62" s="4"/>
      <c r="H62" s="4"/>
      <c r="I62" s="4"/>
      <c r="J62" s="4"/>
      <c r="K62" s="23" t="str">
        <f t="shared" si="26"/>
        <v/>
      </c>
      <c r="L62" s="4"/>
      <c r="M62" s="4"/>
      <c r="N62" s="4" t="str">
        <f t="shared" si="28"/>
        <v/>
      </c>
      <c r="O62" s="4"/>
      <c r="P62" s="4"/>
      <c r="Q62" s="4"/>
      <c r="R62" s="4"/>
    </row>
    <row r="63" spans="1:18" x14ac:dyDescent="0.2">
      <c r="A63" s="3"/>
      <c r="B63" s="44"/>
      <c r="C63" s="45"/>
      <c r="D63" s="45"/>
      <c r="E63" s="45"/>
      <c r="F63" s="45"/>
      <c r="G63" s="45"/>
      <c r="H63" s="45"/>
      <c r="I63" s="45"/>
      <c r="J63" s="45"/>
      <c r="K63" s="46"/>
      <c r="L63" s="45"/>
      <c r="M63" s="45"/>
      <c r="N63" s="45"/>
      <c r="O63" s="45"/>
      <c r="P63" s="45"/>
      <c r="Q63" s="45"/>
      <c r="R63" s="45"/>
    </row>
    <row r="64" spans="1:18" x14ac:dyDescent="0.2">
      <c r="A64" t="s">
        <v>438</v>
      </c>
      <c r="B64" t="s">
        <v>439</v>
      </c>
      <c r="C64" t="s">
        <v>440</v>
      </c>
      <c r="D64" t="s">
        <v>163</v>
      </c>
      <c r="E64">
        <v>0</v>
      </c>
      <c r="F64">
        <f>IF(D64="High",0,IF(D64="Medium",0.05,IF(D64="Low",0.1,IF(D64="Unknown",0.15,""))))</f>
        <v>0</v>
      </c>
      <c r="G64">
        <f>E64*(1+F64)</f>
        <v>0</v>
      </c>
      <c r="H64" t="s">
        <v>441</v>
      </c>
      <c r="I64" t="s">
        <v>442</v>
      </c>
      <c r="J64" t="s">
        <v>166</v>
      </c>
      <c r="K64" s="24">
        <f>IF(I64="","",MAX(IFERROR(DATEVALUE(TRIM(MID(SUBSTITUTE(I64,";",REPT(" ",50)),1,50))),0),IFERROR(DATEVALUE(TRIM(MID(SUBSTITUTE(I64,";",REPT(" ",50)),51,50))),0),IFERROR(DATEVALUE(TRIM(MID(SUBSTITUTE(I64,";",REPT(" ",50)),101,50))),0),IFERROR(DATEVALUE(TRIM(MID(SUBSTITUTE(I64,";",REPT(" ",50)),151,50))),0),IFERROR(DATEVALUE(TRIM(MID(SUBSTITUTE(I64,";",REPT(" ",50)),201,50))),0),IFERROR(DATEVALUE(TRIM(MID(SUBSTITUTE(I64,";",REPT(" ",50)),251,50))),0),IFERROR(DATEVALUE(TRIM(MID(SUBSTITUTE(I64,";",REPT(" ",50)),301,50))),0),IFERROR(DATEVALUE(TRIM(MID(SUBSTITUTE(I64,";",REPT(" ",50)),351,50))),0),IFERROR(DATEVALUE(TRIM(MID(SUBSTITUTE(I64,";",REPT(" ",50)),401,50))),0),IFERROR(DATEVALUE(TRIM(MID(SUBSTITUTE(I64,";",REPT(" ",50)),451,50))),0)))</f>
        <v>45616</v>
      </c>
      <c r="L64">
        <f ca="1">IF(K64="","",TODAY()-K64)</f>
        <v>388</v>
      </c>
      <c r="M64" t="s">
        <v>167</v>
      </c>
      <c r="N64">
        <f ca="1">IF(M64="","",IF(L64="",INDEX($F$92:$F$95,MATCH(M64,$C$92:$C$95,0)),IF(L64&lt;=INDEX($D$92:$D$95,MATCH(M64,$C$92:$C$95,0)),0,IF(L64&lt;=INDEX($E$92:$E$95,MATCH(M64,$C$92:$C$95,0)),INDEX($F$92:$F$95,MATCH(M64,$C$92:$C$95,0)),INDEX($G$92:$G$95,MATCH(M64,$C$92:$C$95,0))))))</f>
        <v>0</v>
      </c>
      <c r="O64">
        <f ca="1">G64+N64</f>
        <v>0</v>
      </c>
      <c r="P64" t="s">
        <v>168</v>
      </c>
      <c r="Q64" t="s">
        <v>443</v>
      </c>
      <c r="R64" t="s">
        <v>444</v>
      </c>
    </row>
    <row r="65" spans="1:18" x14ac:dyDescent="0.2">
      <c r="A65" t="s">
        <v>445</v>
      </c>
      <c r="B65" t="s">
        <v>446</v>
      </c>
      <c r="C65" t="s">
        <v>447</v>
      </c>
      <c r="D65" t="s">
        <v>163</v>
      </c>
      <c r="E65">
        <f>IF(C65="Fixed",0,IF(C65="Capped",0,IF(C65="Inflationary",10,IF(C65="Unknown",20,""))))</f>
        <v>0</v>
      </c>
      <c r="F65">
        <f>IF(D65="High",0,IF(D65="Medium",0.05,IF(D65="Low",0.1,IF(D65="Unknown",0.15,""))))</f>
        <v>0</v>
      </c>
      <c r="G65">
        <f>E65*(1+F65)</f>
        <v>0</v>
      </c>
      <c r="H65" t="s">
        <v>448</v>
      </c>
      <c r="I65" t="s">
        <v>449</v>
      </c>
      <c r="J65" t="s">
        <v>166</v>
      </c>
      <c r="K65" s="24">
        <f>IF(I65="","",MAX(IFERROR(DATEVALUE(TRIM(MID(SUBSTITUTE(I65,";",REPT(" ",50)),1,50))),0),IFERROR(DATEVALUE(TRIM(MID(SUBSTITUTE(I65,";",REPT(" ",50)),51,50))),0),IFERROR(DATEVALUE(TRIM(MID(SUBSTITUTE(I65,";",REPT(" ",50)),101,50))),0),IFERROR(DATEVALUE(TRIM(MID(SUBSTITUTE(I65,";",REPT(" ",50)),151,50))),0),IFERROR(DATEVALUE(TRIM(MID(SUBSTITUTE(I65,";",REPT(" ",50)),201,50))),0),IFERROR(DATEVALUE(TRIM(MID(SUBSTITUTE(I65,";",REPT(" ",50)),251,50))),0),IFERROR(DATEVALUE(TRIM(MID(SUBSTITUTE(I65,";",REPT(" ",50)),301,50))),0),IFERROR(DATEVALUE(TRIM(MID(SUBSTITUTE(I65,";",REPT(" ",50)),351,50))),0),IFERROR(DATEVALUE(TRIM(MID(SUBSTITUTE(I65,";",REPT(" ",50)),401,50))),0),IFERROR(DATEVALUE(TRIM(MID(SUBSTITUTE(I65,";",REPT(" ",50)),451,50))),0)))</f>
        <v>45976</v>
      </c>
      <c r="L65">
        <f ca="1">IF(K65="","",TODAY()-K65)</f>
        <v>28</v>
      </c>
      <c r="M65" t="s">
        <v>167</v>
      </c>
      <c r="N65">
        <f ca="1">IF(M65="","",IF(L65="",INDEX($F$92:$F$95,MATCH(M65,$C$92:$C$95,0)),IF(L65&lt;=INDEX($D$92:$D$95,MATCH(M65,$C$92:$C$95,0)),0,IF(L65&lt;=INDEX($E$92:$E$95,MATCH(M65,$C$92:$C$95,0)),INDEX($F$92:$F$95,MATCH(M65,$C$92:$C$95,0)),INDEX($G$92:$G$95,MATCH(M65,$C$92:$C$95,0))))))</f>
        <v>0</v>
      </c>
      <c r="O65">
        <f ca="1">G65+N65</f>
        <v>0</v>
      </c>
      <c r="P65" t="s">
        <v>168</v>
      </c>
      <c r="R65" t="s">
        <v>450</v>
      </c>
    </row>
    <row r="66" spans="1:18" x14ac:dyDescent="0.2">
      <c r="A66" t="s">
        <v>451</v>
      </c>
      <c r="B66" t="s">
        <v>452</v>
      </c>
      <c r="C66" t="s">
        <v>209</v>
      </c>
      <c r="D66" t="s">
        <v>163</v>
      </c>
      <c r="E66">
        <f>IF(C66="Yes",0,IF(C66="Partial",10,IF(C66="No",20,"")))</f>
        <v>0</v>
      </c>
      <c r="F66">
        <f>IF(D66="High",0,IF(D66="Medium",0.05,IF(D66="Low",0.1,IF(D66="Unknown",0.15,""))))</f>
        <v>0</v>
      </c>
      <c r="G66">
        <f>E66*(1+F66)</f>
        <v>0</v>
      </c>
      <c r="H66" t="s">
        <v>453</v>
      </c>
      <c r="I66" t="s">
        <v>454</v>
      </c>
      <c r="J66" t="s">
        <v>176</v>
      </c>
      <c r="K66" s="24">
        <f>IF(I66="","",MAX(IFERROR(DATEVALUE(TRIM(MID(SUBSTITUTE(I66,";",REPT(" ",50)),1,50))),0),IFERROR(DATEVALUE(TRIM(MID(SUBSTITUTE(I66,";",REPT(" ",50)),51,50))),0),IFERROR(DATEVALUE(TRIM(MID(SUBSTITUTE(I66,";",REPT(" ",50)),101,50))),0),IFERROR(DATEVALUE(TRIM(MID(SUBSTITUTE(I66,";",REPT(" ",50)),151,50))),0),IFERROR(DATEVALUE(TRIM(MID(SUBSTITUTE(I66,";",REPT(" ",50)),201,50))),0),IFERROR(DATEVALUE(TRIM(MID(SUBSTITUTE(I66,";",REPT(" ",50)),251,50))),0),IFERROR(DATEVALUE(TRIM(MID(SUBSTITUTE(I66,";",REPT(" ",50)),301,50))),0),IFERROR(DATEVALUE(TRIM(MID(SUBSTITUTE(I66,";",REPT(" ",50)),351,50))),0),IFERROR(DATEVALUE(TRIM(MID(SUBSTITUTE(I66,";",REPT(" ",50)),401,50))),0),IFERROR(DATEVALUE(TRIM(MID(SUBSTITUTE(I66,";",REPT(" ",50)),451,50))),0)))</f>
        <v>45976</v>
      </c>
      <c r="L66">
        <f ca="1">IF(K66="","",TODAY()-K66)</f>
        <v>28</v>
      </c>
      <c r="M66" t="s">
        <v>167</v>
      </c>
      <c r="N66">
        <f ca="1">IF(M66="","",IF(L66="",INDEX($F$92:$F$95,MATCH(M66,$C$92:$C$95,0)),IF(L66&lt;=INDEX($D$92:$D$95,MATCH(M66,$C$92:$C$95,0)),0,IF(L66&lt;=INDEX($E$92:$E$95,MATCH(M66,$C$92:$C$95,0)),INDEX($F$92:$F$95,MATCH(M66,$C$92:$C$95,0)),INDEX($G$92:$G$95,MATCH(M66,$C$92:$C$95,0))))))</f>
        <v>0</v>
      </c>
      <c r="O66">
        <f ca="1">G66+N66</f>
        <v>0</v>
      </c>
      <c r="P66" t="s">
        <v>168</v>
      </c>
      <c r="R66" t="s">
        <v>455</v>
      </c>
    </row>
    <row r="67" spans="1:18" x14ac:dyDescent="0.2">
      <c r="A67" t="s">
        <v>456</v>
      </c>
      <c r="B67" t="s">
        <v>457</v>
      </c>
      <c r="C67" t="s">
        <v>259</v>
      </c>
      <c r="D67" t="s">
        <v>163</v>
      </c>
      <c r="E67">
        <f>IF(C67="No",0,IF(C67="Unclear",10,IF(C67="Yes",20,"")))</f>
        <v>0</v>
      </c>
      <c r="F67">
        <f>IF(D67="High",0,IF(D67="Medium",0.05,IF(D67="Low",0.1,IF(D67="Unknown",0.15,""))))</f>
        <v>0</v>
      </c>
      <c r="G67">
        <f>E67*(1+F67)</f>
        <v>0</v>
      </c>
      <c r="H67" t="s">
        <v>458</v>
      </c>
      <c r="I67" t="s">
        <v>459</v>
      </c>
      <c r="J67" t="s">
        <v>176</v>
      </c>
      <c r="K67" s="24">
        <f>IF(I67="","",MAX(IFERROR(DATEVALUE(TRIM(MID(SUBSTITUTE(I67,";",REPT(" ",50)),1,50))),0),IFERROR(DATEVALUE(TRIM(MID(SUBSTITUTE(I67,";",REPT(" ",50)),51,50))),0),IFERROR(DATEVALUE(TRIM(MID(SUBSTITUTE(I67,";",REPT(" ",50)),101,50))),0),IFERROR(DATEVALUE(TRIM(MID(SUBSTITUTE(I67,";",REPT(" ",50)),151,50))),0),IFERROR(DATEVALUE(TRIM(MID(SUBSTITUTE(I67,";",REPT(" ",50)),201,50))),0),IFERROR(DATEVALUE(TRIM(MID(SUBSTITUTE(I67,";",REPT(" ",50)),251,50))),0),IFERROR(DATEVALUE(TRIM(MID(SUBSTITUTE(I67,";",REPT(" ",50)),301,50))),0),IFERROR(DATEVALUE(TRIM(MID(SUBSTITUTE(I67,";",REPT(" ",50)),351,50))),0),IFERROR(DATEVALUE(TRIM(MID(SUBSTITUTE(I67,";",REPT(" ",50)),401,50))),0),IFERROR(DATEVALUE(TRIM(MID(SUBSTITUTE(I67,";",REPT(" ",50)),451,50))),0)))</f>
        <v>45931</v>
      </c>
      <c r="L67">
        <f ca="1">IF(K67="","",TODAY()-K67)</f>
        <v>73</v>
      </c>
      <c r="M67" t="s">
        <v>167</v>
      </c>
      <c r="N67">
        <f ca="1">IF(M67="","",IF(L67="",INDEX($F$92:$F$95,MATCH(M67,$C$92:$C$95,0)),IF(L67&lt;=INDEX($D$92:$D$95,MATCH(M67,$C$92:$C$95,0)),0,IF(L67&lt;=INDEX($E$92:$E$95,MATCH(M67,$C$92:$C$95,0)),INDEX($F$92:$F$95,MATCH(M67,$C$92:$C$95,0)),INDEX($G$92:$G$95,MATCH(M67,$C$92:$C$95,0))))))</f>
        <v>0</v>
      </c>
      <c r="O67">
        <f ca="1">G67+N67</f>
        <v>0</v>
      </c>
      <c r="P67" t="s">
        <v>168</v>
      </c>
      <c r="R67" t="s">
        <v>460</v>
      </c>
    </row>
    <row r="68" spans="1:18" x14ac:dyDescent="0.2">
      <c r="A68" t="s">
        <v>461</v>
      </c>
      <c r="B68" t="s">
        <v>462</v>
      </c>
      <c r="C68" t="s">
        <v>463</v>
      </c>
      <c r="D68" t="s">
        <v>163</v>
      </c>
      <c r="E68">
        <v>0</v>
      </c>
      <c r="F68">
        <f>IF(D68="High",0,IF(D68="Medium",0.05,IF(D68="Low",0.1,IF(D68="Unknown",0.15,""))))</f>
        <v>0</v>
      </c>
      <c r="G68">
        <f>E68*(1+F68)</f>
        <v>0</v>
      </c>
      <c r="H68" t="s">
        <v>464</v>
      </c>
      <c r="I68" t="s">
        <v>465</v>
      </c>
      <c r="J68" t="s">
        <v>176</v>
      </c>
      <c r="K68" s="24">
        <f>IF(I68="","",MAX(IFERROR(DATEVALUE(TRIM(MID(SUBSTITUTE(I68,";",REPT(" ",50)),1,50))),0),IFERROR(DATEVALUE(TRIM(MID(SUBSTITUTE(I68,";",REPT(" ",50)),51,50))),0),IFERROR(DATEVALUE(TRIM(MID(SUBSTITUTE(I68,";",REPT(" ",50)),101,50))),0),IFERROR(DATEVALUE(TRIM(MID(SUBSTITUTE(I68,";",REPT(" ",50)),151,50))),0),IFERROR(DATEVALUE(TRIM(MID(SUBSTITUTE(I68,";",REPT(" ",50)),201,50))),0),IFERROR(DATEVALUE(TRIM(MID(SUBSTITUTE(I68,";",REPT(" ",50)),251,50))),0),IFERROR(DATEVALUE(TRIM(MID(SUBSTITUTE(I68,";",REPT(" ",50)),301,50))),0),IFERROR(DATEVALUE(TRIM(MID(SUBSTITUTE(I68,";",REPT(" ",50)),351,50))),0),IFERROR(DATEVALUE(TRIM(MID(SUBSTITUTE(I68,";",REPT(" ",50)),401,50))),0),IFERROR(DATEVALUE(TRIM(MID(SUBSTITUTE(I68,";",REPT(" ",50)),451,50))),0)))</f>
        <v>45962</v>
      </c>
      <c r="L68">
        <f ca="1">IF(K68="","",TODAY()-K68)</f>
        <v>42</v>
      </c>
      <c r="M68" t="s">
        <v>167</v>
      </c>
      <c r="N68">
        <f ca="1">IF(M68="","",IF(L68="",INDEX($F$92:$F$95,MATCH(M68,$C$92:$C$95,0)),IF(L68&lt;=INDEX($D$92:$D$95,MATCH(M68,$C$92:$C$95,0)),0,IF(L68&lt;=INDEX($E$92:$E$95,MATCH(M68,$C$92:$C$95,0)),INDEX($F$92:$F$95,MATCH(M68,$C$92:$C$95,0)),INDEX($G$92:$G$95,MATCH(M68,$C$92:$C$95,0))))))</f>
        <v>0</v>
      </c>
      <c r="O68">
        <f ca="1">G68+N68</f>
        <v>0</v>
      </c>
      <c r="P68" t="s">
        <v>168</v>
      </c>
      <c r="Q68" t="s">
        <v>347</v>
      </c>
      <c r="R68" t="s">
        <v>466</v>
      </c>
    </row>
    <row r="69" spans="1:18" x14ac:dyDescent="0.2">
      <c r="A69" s="3"/>
      <c r="B69" s="44"/>
      <c r="C69" s="45"/>
      <c r="D69" s="45"/>
      <c r="E69" s="45"/>
      <c r="F69" s="45"/>
      <c r="G69" s="45"/>
      <c r="H69" s="45"/>
      <c r="I69" s="45"/>
      <c r="J69" s="45"/>
      <c r="K69" s="46"/>
      <c r="L69" s="45"/>
      <c r="M69" s="45"/>
      <c r="N69" s="45"/>
      <c r="O69" s="45"/>
      <c r="P69" s="45"/>
      <c r="Q69" s="45"/>
      <c r="R69" s="45"/>
    </row>
    <row r="70" spans="1:18" x14ac:dyDescent="0.2">
      <c r="A70" t="s">
        <v>467</v>
      </c>
      <c r="B70" t="s">
        <v>468</v>
      </c>
      <c r="C70" t="s">
        <v>469</v>
      </c>
      <c r="D70" t="s">
        <v>163</v>
      </c>
      <c r="E70">
        <f>IF($AA$1="BTC",0,IFERROR(IF(C70="Unknown",20,IF(VALUE(SUBSTITUTE(C70,"%",""))&lt;=15,0,IF(VALUE(SUBSTITUTE(C70,"%",""))&lt;=30,10,20))),""))</f>
        <v>0</v>
      </c>
      <c r="F70">
        <f t="shared" ref="F70:F75" si="30">IF(D70="High",0,IF(D70="Medium",0.05,IF(D70="Low",0.1,IF(D70="Unknown",0.15,""))))</f>
        <v>0</v>
      </c>
      <c r="G70">
        <f t="shared" ref="G70:G75" si="31">E70*(1+F70)</f>
        <v>0</v>
      </c>
      <c r="H70" t="s">
        <v>470</v>
      </c>
      <c r="I70" t="s">
        <v>471</v>
      </c>
      <c r="J70" t="s">
        <v>176</v>
      </c>
      <c r="K70" s="24">
        <f t="shared" ref="K70:K75" si="32">IF(I70="","",MAX(IFERROR(DATEVALUE(TRIM(MID(SUBSTITUTE(I70,";",REPT(" ",50)),1,50))),0),IFERROR(DATEVALUE(TRIM(MID(SUBSTITUTE(I70,";",REPT(" ",50)),51,50))),0),IFERROR(DATEVALUE(TRIM(MID(SUBSTITUTE(I70,";",REPT(" ",50)),101,50))),0),IFERROR(DATEVALUE(TRIM(MID(SUBSTITUTE(I70,";",REPT(" ",50)),151,50))),0),IFERROR(DATEVALUE(TRIM(MID(SUBSTITUTE(I70,";",REPT(" ",50)),201,50))),0),IFERROR(DATEVALUE(TRIM(MID(SUBSTITUTE(I70,";",REPT(" ",50)),251,50))),0),IFERROR(DATEVALUE(TRIM(MID(SUBSTITUTE(I70,";",REPT(" ",50)),301,50))),0),IFERROR(DATEVALUE(TRIM(MID(SUBSTITUTE(I70,";",REPT(" ",50)),351,50))),0),IFERROR(DATEVALUE(TRIM(MID(SUBSTITUTE(I70,";",REPT(" ",50)),401,50))),0),IFERROR(DATEVALUE(TRIM(MID(SUBSTITUTE(I70,";",REPT(" ",50)),451,50))),0)))</f>
        <v>45981</v>
      </c>
      <c r="L70">
        <f t="shared" ref="L70:L75" ca="1" si="33">IF(K70="","",TODAY()-K70)</f>
        <v>23</v>
      </c>
      <c r="M70" t="s">
        <v>167</v>
      </c>
      <c r="N70">
        <f t="shared" ref="N70:N75" ca="1" si="34">IF(M70="","",IF(L70="",INDEX($F$92:$F$95,MATCH(M70,$C$92:$C$95,0)),IF(L70&lt;=INDEX($D$92:$D$95,MATCH(M70,$C$92:$C$95,0)),0,IF(L70&lt;=INDEX($E$92:$E$95,MATCH(M70,$C$92:$C$95,0)),INDEX($F$92:$F$95,MATCH(M70,$C$92:$C$95,0)),INDEX($G$92:$G$95,MATCH(M70,$C$92:$C$95,0))))))</f>
        <v>0</v>
      </c>
      <c r="O70">
        <f t="shared" ref="O70:O75" ca="1" si="35">G70+N70</f>
        <v>0</v>
      </c>
      <c r="P70" t="str">
        <f>IF($AA$1="BTC","No Review","No Review")</f>
        <v>No Review</v>
      </c>
      <c r="R70" t="s">
        <v>472</v>
      </c>
    </row>
    <row r="71" spans="1:18" x14ac:dyDescent="0.2">
      <c r="A71" t="s">
        <v>473</v>
      </c>
      <c r="B71" t="s">
        <v>474</v>
      </c>
      <c r="C71" t="s">
        <v>475</v>
      </c>
      <c r="D71" t="s">
        <v>197</v>
      </c>
      <c r="E71">
        <f>IF($AA$1="BTC",0,IFERROR(IF(C71="Unknown",20,IF(VALUE(SUBSTITUTE(C71,"%",""))&lt;=20,0,IF(VALUE(SUBSTITUTE(C71,"%",""))&lt;=40,10,20))),""))</f>
        <v>0</v>
      </c>
      <c r="F71">
        <f t="shared" si="30"/>
        <v>0.05</v>
      </c>
      <c r="G71">
        <f t="shared" si="31"/>
        <v>0</v>
      </c>
      <c r="H71" t="s">
        <v>476</v>
      </c>
      <c r="I71" t="s">
        <v>477</v>
      </c>
      <c r="J71" t="s">
        <v>166</v>
      </c>
      <c r="K71" s="24">
        <f t="shared" si="32"/>
        <v>45139</v>
      </c>
      <c r="L71">
        <f t="shared" ca="1" si="33"/>
        <v>865</v>
      </c>
      <c r="M71" t="s">
        <v>167</v>
      </c>
      <c r="N71">
        <f t="shared" ca="1" si="34"/>
        <v>0</v>
      </c>
      <c r="O71">
        <f t="shared" ca="1" si="35"/>
        <v>0</v>
      </c>
      <c r="P71" t="str">
        <f>IF($AA$1="BTC","No Review","No Review")</f>
        <v>No Review</v>
      </c>
      <c r="R71" t="s">
        <v>478</v>
      </c>
    </row>
    <row r="72" spans="1:18" x14ac:dyDescent="0.2">
      <c r="A72" t="s">
        <v>479</v>
      </c>
      <c r="B72" t="s">
        <v>480</v>
      </c>
      <c r="C72" t="s">
        <v>481</v>
      </c>
      <c r="D72" t="s">
        <v>163</v>
      </c>
      <c r="E72">
        <f>IF($AA$1="BTC",0,IFERROR(IF(C72="Unknown",10,IF(VALUE(SUBSTITUTE(C72,"%",""))&lt;=15,0,IF(VALUE(SUBSTITUTE(C72,"%",""))&lt;=30,10,20))),""))</f>
        <v>0</v>
      </c>
      <c r="F72">
        <f t="shared" si="30"/>
        <v>0</v>
      </c>
      <c r="G72">
        <f t="shared" si="31"/>
        <v>0</v>
      </c>
      <c r="H72" t="s">
        <v>482</v>
      </c>
      <c r="I72" t="s">
        <v>483</v>
      </c>
      <c r="J72" t="s">
        <v>166</v>
      </c>
      <c r="K72" s="24">
        <f t="shared" si="32"/>
        <v>45536</v>
      </c>
      <c r="L72">
        <f t="shared" ca="1" si="33"/>
        <v>468</v>
      </c>
      <c r="M72" t="s">
        <v>167</v>
      </c>
      <c r="N72">
        <f t="shared" ca="1" si="34"/>
        <v>0</v>
      </c>
      <c r="O72">
        <f t="shared" ca="1" si="35"/>
        <v>0</v>
      </c>
      <c r="P72" t="str">
        <f>IF($AA$1="BTC","No Review","No Review")</f>
        <v>No Review</v>
      </c>
      <c r="R72" t="s">
        <v>484</v>
      </c>
    </row>
    <row r="73" spans="1:18" x14ac:dyDescent="0.2">
      <c r="A73" t="s">
        <v>485</v>
      </c>
      <c r="B73" t="s">
        <v>486</v>
      </c>
      <c r="C73" t="s">
        <v>209</v>
      </c>
      <c r="D73" t="s">
        <v>163</v>
      </c>
      <c r="E73">
        <f t="array" ref="E73">IF($AA$1="BTC",0,IF(C73="Yes",0,IF(C73="Partial",10,IF(C73="No",20,""))))</f>
        <v>0</v>
      </c>
      <c r="F73">
        <f t="shared" si="30"/>
        <v>0</v>
      </c>
      <c r="G73">
        <f t="shared" si="31"/>
        <v>0</v>
      </c>
      <c r="H73" t="s">
        <v>487</v>
      </c>
      <c r="I73" t="s">
        <v>488</v>
      </c>
      <c r="J73" t="s">
        <v>176</v>
      </c>
      <c r="K73" s="24">
        <f t="shared" si="32"/>
        <v>45611</v>
      </c>
      <c r="L73">
        <f t="shared" ca="1" si="33"/>
        <v>393</v>
      </c>
      <c r="M73" t="s">
        <v>167</v>
      </c>
      <c r="N73">
        <f t="shared" ca="1" si="34"/>
        <v>0</v>
      </c>
      <c r="O73">
        <f t="shared" ca="1" si="35"/>
        <v>0</v>
      </c>
      <c r="P73" t="str">
        <f>IF($AA$1="BTC","No Review","No Review")</f>
        <v>No Review</v>
      </c>
      <c r="R73" t="s">
        <v>489</v>
      </c>
    </row>
    <row r="74" spans="1:18" x14ac:dyDescent="0.2">
      <c r="A74" t="s">
        <v>490</v>
      </c>
      <c r="B74" t="s">
        <v>491</v>
      </c>
      <c r="C74" t="s">
        <v>492</v>
      </c>
      <c r="D74" t="s">
        <v>197</v>
      </c>
      <c r="E74">
        <f>IF($AA$1="BTC",0,IFERROR(IF(C74="Unknown",10,IF(VALUE(SUBSTITUTE(C74,"%",""))&lt;=5,0,IF(VALUE(SUBSTITUTE(C74,"%",""))&lt;=15,10,20))),""))</f>
        <v>0</v>
      </c>
      <c r="F74">
        <f t="shared" si="30"/>
        <v>0.05</v>
      </c>
      <c r="G74">
        <f t="shared" si="31"/>
        <v>0</v>
      </c>
      <c r="H74" t="s">
        <v>493</v>
      </c>
      <c r="I74" t="s">
        <v>494</v>
      </c>
      <c r="J74" t="s">
        <v>166</v>
      </c>
      <c r="K74" s="24">
        <f t="shared" si="32"/>
        <v>46002</v>
      </c>
      <c r="L74">
        <f t="shared" ca="1" si="33"/>
        <v>2</v>
      </c>
      <c r="M74" t="s">
        <v>273</v>
      </c>
      <c r="N74">
        <f t="shared" ca="1" si="34"/>
        <v>0</v>
      </c>
      <c r="O74">
        <f t="shared" ca="1" si="35"/>
        <v>0</v>
      </c>
      <c r="P74" t="str">
        <f>IF($AA$1="BTC","No Review",IF(AND(IFERROR(VALUE(SUBSTITUTE(#REF!,"%","")),0)+IFERROR(VALUE(SUBSTITUTE(#REF!,"%","")),0)&gt;45,IFERROR(VALUE(SUBSTITUTE($C$19,"%","")),0)&gt;15),"Review","No Review"))</f>
        <v>No Review</v>
      </c>
      <c r="Q74" t="s">
        <v>495</v>
      </c>
      <c r="R74" t="s">
        <v>496</v>
      </c>
    </row>
    <row r="75" spans="1:18" x14ac:dyDescent="0.2">
      <c r="A75" t="s">
        <v>497</v>
      </c>
      <c r="B75" t="s">
        <v>498</v>
      </c>
      <c r="C75" t="s">
        <v>499</v>
      </c>
      <c r="D75" t="s">
        <v>163</v>
      </c>
      <c r="E75">
        <f>IF($AA$1="BTC",0,0)</f>
        <v>0</v>
      </c>
      <c r="F75">
        <f t="shared" si="30"/>
        <v>0</v>
      </c>
      <c r="G75">
        <f t="shared" si="31"/>
        <v>0</v>
      </c>
      <c r="H75" t="s">
        <v>500</v>
      </c>
      <c r="I75" t="s">
        <v>501</v>
      </c>
      <c r="J75" t="s">
        <v>176</v>
      </c>
      <c r="K75" s="24">
        <f t="shared" si="32"/>
        <v>45932</v>
      </c>
      <c r="L75">
        <f t="shared" ca="1" si="33"/>
        <v>72</v>
      </c>
      <c r="M75" t="s">
        <v>184</v>
      </c>
      <c r="N75">
        <f t="shared" ca="1" si="34"/>
        <v>0</v>
      </c>
      <c r="O75">
        <f t="shared" ca="1" si="35"/>
        <v>0</v>
      </c>
      <c r="P75" t="str">
        <f>IF($AA$1="BTC","No Review","No Review")</f>
        <v>No Review</v>
      </c>
      <c r="Q75" t="s">
        <v>347</v>
      </c>
      <c r="R75" t="s">
        <v>502</v>
      </c>
    </row>
    <row r="76" spans="1:18" x14ac:dyDescent="0.2">
      <c r="A76" s="3"/>
      <c r="B76" s="44"/>
      <c r="C76" s="45"/>
      <c r="D76" s="45"/>
      <c r="E76" s="45"/>
      <c r="F76" s="45"/>
      <c r="G76" s="45"/>
      <c r="H76" s="45"/>
      <c r="I76" s="45"/>
      <c r="J76" s="45"/>
      <c r="K76" s="46"/>
      <c r="L76" s="45"/>
      <c r="M76" s="45"/>
      <c r="N76" s="45"/>
      <c r="O76" s="45"/>
      <c r="P76" s="45"/>
      <c r="Q76" s="45"/>
      <c r="R76" s="45"/>
    </row>
    <row r="77" spans="1:18" x14ac:dyDescent="0.2">
      <c r="A77" t="s">
        <v>503</v>
      </c>
      <c r="B77" t="s">
        <v>504</v>
      </c>
      <c r="C77" t="s">
        <v>505</v>
      </c>
      <c r="D77" t="s">
        <v>197</v>
      </c>
      <c r="E77">
        <f>IFERROR(
  IF(C77="Unknown",10,
    IF(OR($C$64="L1",$C$64="L2"),
       IF(VALUE(SUBSTITUTE(C77,"%",""))&lt;=4,0,
          IF(VALUE(SUBSTITUTE(C77,"%",""))&lt;=8,10,20)),
       IF(VALUE(SUBSTITUTE(C77,"%",""))&lt;=3,0,
          IF(VALUE(SUBSTITUTE(C77,"%",""))&lt;=6,10,20))
    )
  ),
"")</f>
        <v>10</v>
      </c>
      <c r="F77">
        <f>IF(D77="High",0,IF(D77="Medium",0.05,IF(D77="Low",0.1,IF(D77="Unknown",0.15,""))))</f>
        <v>0.05</v>
      </c>
      <c r="G77">
        <f>E77*(1+F77)</f>
        <v>10.5</v>
      </c>
      <c r="H77" t="s">
        <v>506</v>
      </c>
      <c r="I77" t="s">
        <v>507</v>
      </c>
      <c r="J77" t="s">
        <v>166</v>
      </c>
      <c r="K77" s="24">
        <f>IF(I77="","",MAX(IFERROR(DATEVALUE(TRIM(MID(SUBSTITUTE(I77,";",REPT(" ",50)),1,50))),0),IFERROR(DATEVALUE(TRIM(MID(SUBSTITUTE(I77,";",REPT(" ",50)),51,50))),0),IFERROR(DATEVALUE(TRIM(MID(SUBSTITUTE(I77,";",REPT(" ",50)),101,50))),0),IFERROR(DATEVALUE(TRIM(MID(SUBSTITUTE(I77,";",REPT(" ",50)),151,50))),0),IFERROR(DATEVALUE(TRIM(MID(SUBSTITUTE(I77,";",REPT(" ",50)),201,50))),0),IFERROR(DATEVALUE(TRIM(MID(SUBSTITUTE(I77,";",REPT(" ",50)),251,50))),0),IFERROR(DATEVALUE(TRIM(MID(SUBSTITUTE(I77,";",REPT(" ",50)),301,50))),0),IFERROR(DATEVALUE(TRIM(MID(SUBSTITUTE(I77,";",REPT(" ",50)),351,50))),0),IFERROR(DATEVALUE(TRIM(MID(SUBSTITUTE(I77,";",REPT(" ",50)),401,50))),0),IFERROR(DATEVALUE(TRIM(MID(SUBSTITUTE(I77,";",REPT(" ",50)),451,50))),0)))</f>
        <v>45474</v>
      </c>
      <c r="L77">
        <f ca="1">IF(K77="","",TODAY()-K77)</f>
        <v>530</v>
      </c>
      <c r="M77" t="s">
        <v>184</v>
      </c>
      <c r="N77">
        <f ca="1">IF(M77="","",IF(L77="",INDEX($F$92:$F$95,MATCH(M77,$C$92:$C$95,0)),IF(L77&lt;=INDEX($D$92:$D$95,MATCH(M77,$C$92:$C$95,0)),0,IF(L77&lt;=INDEX($E$92:$E$95,MATCH(M77,$C$92:$C$95,0)),INDEX($F$92:$F$95,MATCH(M77,$C$92:$C$95,0)),INDEX($G$92:$G$95,MATCH(M77,$C$92:$C$95,0))))))</f>
        <v>6</v>
      </c>
      <c r="O77">
        <f ca="1">G77+N77</f>
        <v>16.5</v>
      </c>
      <c r="P77" t="str">
        <f>IF($AA$1="BTC","No Review",IF(OR(AND(OR(C64="L1",C64="L2"), IFERROR(VALUE(SUBSTITUTE($C$22,"%","")),0)&gt;8),AND(NOT(OR(C64="L1",C64="L2")), IFERROR(VALUE(SUBSTITUTE($C$22,"%","")),0)&gt;6)),"Review","No Review"))</f>
        <v>No Review</v>
      </c>
      <c r="Q77" t="s">
        <v>508</v>
      </c>
      <c r="R77" t="s">
        <v>509</v>
      </c>
    </row>
    <row r="78" spans="1:18" x14ac:dyDescent="0.2">
      <c r="A78" t="s">
        <v>510</v>
      </c>
      <c r="B78" t="s">
        <v>511</v>
      </c>
      <c r="C78" t="s">
        <v>512</v>
      </c>
      <c r="D78" t="s">
        <v>163</v>
      </c>
      <c r="E78">
        <f t="array" ref="E78">IF($AA$1="BTC",0,IF(C78="Gradual",0,IF(C78="Mixed",10,IF(C78="Cliff",20,IF(C78="Unknown",10,"")))))</f>
        <v>0</v>
      </c>
      <c r="F78">
        <f>IF(D78="High",0,IF(D78="Medium",0.05,IF(D78="Low",0.1,IF(D78="Unknown",0.15,""))))</f>
        <v>0</v>
      </c>
      <c r="G78">
        <f>E78*(1+F78)</f>
        <v>0</v>
      </c>
      <c r="H78" t="s">
        <v>513</v>
      </c>
      <c r="I78" t="s">
        <v>514</v>
      </c>
      <c r="J78" t="s">
        <v>166</v>
      </c>
      <c r="K78" s="24">
        <f>IF(I78="","",MAX(IFERROR(DATEVALUE(TRIM(MID(SUBSTITUTE(I78,";",REPT(" ",50)),1,50))),0),IFERROR(DATEVALUE(TRIM(MID(SUBSTITUTE(I78,";",REPT(" ",50)),51,50))),0),IFERROR(DATEVALUE(TRIM(MID(SUBSTITUTE(I78,";",REPT(" ",50)),101,50))),0),IFERROR(DATEVALUE(TRIM(MID(SUBSTITUTE(I78,";",REPT(" ",50)),151,50))),0),IFERROR(DATEVALUE(TRIM(MID(SUBSTITUTE(I78,";",REPT(" ",50)),201,50))),0),IFERROR(DATEVALUE(TRIM(MID(SUBSTITUTE(I78,";",REPT(" ",50)),251,50))),0),IFERROR(DATEVALUE(TRIM(MID(SUBSTITUTE(I78,";",REPT(" ",50)),301,50))),0),IFERROR(DATEVALUE(TRIM(MID(SUBSTITUTE(I78,";",REPT(" ",50)),351,50))),0),IFERROR(DATEVALUE(TRIM(MID(SUBSTITUTE(I78,";",REPT(" ",50)),401,50))),0),IFERROR(DATEVALUE(TRIM(MID(SUBSTITUTE(I78,";",REPT(" ",50)),451,50))),0)))</f>
        <v>44531</v>
      </c>
      <c r="L78">
        <f ca="1">IF(K78="","",TODAY()-K78)</f>
        <v>1473</v>
      </c>
      <c r="M78" t="s">
        <v>167</v>
      </c>
      <c r="N78">
        <f ca="1">IF(M78="","",IF(L78="",INDEX($F$92:$F$95,MATCH(M78,$C$92:$C$95,0)),IF(L78&lt;=INDEX($D$92:$D$95,MATCH(M78,$C$92:$C$95,0)),0,IF(L78&lt;=INDEX($E$92:$E$95,MATCH(M78,$C$92:$C$95,0)),INDEX($F$92:$F$95,MATCH(M78,$C$92:$C$95,0)),INDEX($G$92:$G$95,MATCH(M78,$C$92:$C$95,0))))))</f>
        <v>0</v>
      </c>
      <c r="O78">
        <f ca="1">G78+N78</f>
        <v>0</v>
      </c>
      <c r="P78" t="str">
        <f>IF($AA$1="BTC","No Review","No Review")</f>
        <v>No Review</v>
      </c>
      <c r="R78" t="s">
        <v>515</v>
      </c>
    </row>
    <row r="79" spans="1:18" x14ac:dyDescent="0.2">
      <c r="A79" t="s">
        <v>516</v>
      </c>
      <c r="B79" t="s">
        <v>517</v>
      </c>
      <c r="C79" t="s">
        <v>259</v>
      </c>
      <c r="D79" t="s">
        <v>163</v>
      </c>
      <c r="E79">
        <f t="array" ref="E79">IF($AA$1="BTC",0,IF(C79="Yes",0,IF(C79="Unclear",10,IF(C79="No",20,""))))</f>
        <v>20</v>
      </c>
      <c r="F79">
        <f>IF(D79="High",0,IF(D79="Medium",0.05,IF(D79="Low",0.1,IF(D79="Unknown",0.15,""))))</f>
        <v>0</v>
      </c>
      <c r="G79">
        <f>E79*(1+F79)</f>
        <v>20</v>
      </c>
      <c r="H79" t="s">
        <v>518</v>
      </c>
      <c r="I79" t="s">
        <v>519</v>
      </c>
      <c r="J79" t="s">
        <v>176</v>
      </c>
      <c r="K79" s="24">
        <f>IF(I79="","",MAX(IFERROR(DATEVALUE(TRIM(MID(SUBSTITUTE(I79,";",REPT(" ",50)),1,50))),0),IFERROR(DATEVALUE(TRIM(MID(SUBSTITUTE(I79,";",REPT(" ",50)),51,50))),0),IFERROR(DATEVALUE(TRIM(MID(SUBSTITUTE(I79,";",REPT(" ",50)),101,50))),0),IFERROR(DATEVALUE(TRIM(MID(SUBSTITUTE(I79,";",REPT(" ",50)),151,50))),0),IFERROR(DATEVALUE(TRIM(MID(SUBSTITUTE(I79,";",REPT(" ",50)),201,50))),0),IFERROR(DATEVALUE(TRIM(MID(SUBSTITUTE(I79,";",REPT(" ",50)),251,50))),0),IFERROR(DATEVALUE(TRIM(MID(SUBSTITUTE(I79,";",REPT(" ",50)),301,50))),0),IFERROR(DATEVALUE(TRIM(MID(SUBSTITUTE(I79,";",REPT(" ",50)),351,50))),0),IFERROR(DATEVALUE(TRIM(MID(SUBSTITUTE(I79,";",REPT(" ",50)),401,50))),0),IFERROR(DATEVALUE(TRIM(MID(SUBSTITUTE(I79,";",REPT(" ",50)),451,50))),0)))</f>
        <v>45616</v>
      </c>
      <c r="L79">
        <f ca="1">IF(K79="","",TODAY()-K79)</f>
        <v>388</v>
      </c>
      <c r="M79" t="s">
        <v>167</v>
      </c>
      <c r="N79">
        <f ca="1">IF(M79="","",IF(L79="",INDEX($F$92:$F$95,MATCH(M79,$C$92:$C$95,0)),IF(L79&lt;=INDEX($D$92:$D$95,MATCH(M79,$C$92:$C$95,0)),0,IF(L79&lt;=INDEX($E$92:$E$95,MATCH(M79,$C$92:$C$95,0)),INDEX($F$92:$F$95,MATCH(M79,$C$92:$C$95,0)),INDEX($G$92:$G$95,MATCH(M79,$C$92:$C$95,0))))))</f>
        <v>0</v>
      </c>
      <c r="O79">
        <f ca="1">G79+N79</f>
        <v>20</v>
      </c>
      <c r="P79" t="str">
        <f>IF($AA$1="BTC","No Review","No Review")</f>
        <v>No Review</v>
      </c>
      <c r="R79" t="s">
        <v>520</v>
      </c>
    </row>
    <row r="80" spans="1:18" x14ac:dyDescent="0.2">
      <c r="A80" t="s">
        <v>521</v>
      </c>
      <c r="B80" t="s">
        <v>522</v>
      </c>
      <c r="C80" t="s">
        <v>523</v>
      </c>
      <c r="D80" t="s">
        <v>163</v>
      </c>
      <c r="E80">
        <f>IF($AA$1="BTC",0,0)</f>
        <v>0</v>
      </c>
      <c r="F80">
        <f>IF(D80="High",0,IF(D80="Medium",0.05,IF(D80="Low",0.1,IF(D80="Unknown",0.15,""))))</f>
        <v>0</v>
      </c>
      <c r="G80">
        <f>E80*(1+F80)</f>
        <v>0</v>
      </c>
      <c r="H80" t="s">
        <v>524</v>
      </c>
      <c r="I80" t="s">
        <v>525</v>
      </c>
      <c r="J80" t="s">
        <v>176</v>
      </c>
      <c r="K80" s="24">
        <f>IF(I80="","",MAX(IFERROR(DATEVALUE(TRIM(MID(SUBSTITUTE(I80,";",REPT(" ",50)),1,50))),0),IFERROR(DATEVALUE(TRIM(MID(SUBSTITUTE(I80,";",REPT(" ",50)),51,50))),0),IFERROR(DATEVALUE(TRIM(MID(SUBSTITUTE(I80,";",REPT(" ",50)),101,50))),0),IFERROR(DATEVALUE(TRIM(MID(SUBSTITUTE(I80,";",REPT(" ",50)),151,50))),0),IFERROR(DATEVALUE(TRIM(MID(SUBSTITUTE(I80,";",REPT(" ",50)),201,50))),0),IFERROR(DATEVALUE(TRIM(MID(SUBSTITUTE(I80,";",REPT(" ",50)),251,50))),0),IFERROR(DATEVALUE(TRIM(MID(SUBSTITUTE(I80,";",REPT(" ",50)),301,50))),0),IFERROR(DATEVALUE(TRIM(MID(SUBSTITUTE(I80,";",REPT(" ",50)),351,50))),0),IFERROR(DATEVALUE(TRIM(MID(SUBSTITUTE(I80,";",REPT(" ",50)),401,50))),0),IFERROR(DATEVALUE(TRIM(MID(SUBSTITUTE(I80,";",REPT(" ",50)),451,50))),0)))</f>
        <v>45566</v>
      </c>
      <c r="L80">
        <f ca="1">IF(K80="","",TODAY()-K80)</f>
        <v>438</v>
      </c>
      <c r="M80" t="s">
        <v>184</v>
      </c>
      <c r="N80">
        <f ca="1">IF(M80="","",IF(L80="",INDEX($F$92:$F$95,MATCH(M80,$C$92:$C$95,0)),IF(L80&lt;=INDEX($D$92:$D$95,MATCH(M80,$C$92:$C$95,0)),0,IF(L80&lt;=INDEX($E$92:$E$95,MATCH(M80,$C$92:$C$95,0)),INDEX($F$92:$F$95,MATCH(M80,$C$92:$C$95,0)),INDEX($G$92:$G$95,MATCH(M80,$C$92:$C$95,0))))))</f>
        <v>6</v>
      </c>
      <c r="O80">
        <f ca="1">G80+N80</f>
        <v>6</v>
      </c>
      <c r="P80" t="str">
        <f>IF($AA$1="BTC","No Review","No Review")</f>
        <v>No Review</v>
      </c>
      <c r="Q80" t="s">
        <v>347</v>
      </c>
      <c r="R80" t="s">
        <v>526</v>
      </c>
    </row>
    <row r="81" spans="1:18" x14ac:dyDescent="0.2">
      <c r="A81" s="3"/>
      <c r="B81" s="44"/>
      <c r="C81" s="45"/>
      <c r="D81" s="45"/>
      <c r="E81" s="45"/>
      <c r="F81" s="45"/>
      <c r="G81" s="45"/>
      <c r="H81" s="45"/>
      <c r="I81" s="45"/>
      <c r="J81" s="45"/>
      <c r="K81" s="46"/>
      <c r="L81" s="45"/>
      <c r="M81" s="45"/>
      <c r="N81" s="45"/>
      <c r="O81" s="45"/>
      <c r="P81" s="45"/>
      <c r="Q81" s="45"/>
      <c r="R81" s="45"/>
    </row>
    <row r="82" spans="1:18" x14ac:dyDescent="0.2">
      <c r="A82" t="s">
        <v>527</v>
      </c>
      <c r="B82" t="s">
        <v>528</v>
      </c>
      <c r="C82" t="s">
        <v>529</v>
      </c>
      <c r="D82" t="s">
        <v>197</v>
      </c>
      <c r="E82">
        <f>IF(C82="Fee",0,IF(C82="Mix",10,IF(C82="Emissions",20,IF(C82="Unknown",10,""))))</f>
        <v>10</v>
      </c>
      <c r="F82">
        <f>IF(D82="High",0,IF(D82="Medium",0.05,IF(D82="Low",0.1,IF(D82="Unknown",0.15,""))))</f>
        <v>0.05</v>
      </c>
      <c r="G82">
        <f>E82*(1+F82)</f>
        <v>10.5</v>
      </c>
      <c r="H82" t="s">
        <v>530</v>
      </c>
      <c r="I82" t="s">
        <v>531</v>
      </c>
      <c r="J82" t="s">
        <v>166</v>
      </c>
      <c r="K82" s="24">
        <f>IF(I82="","",MAX(IFERROR(DATEVALUE(TRIM(MID(SUBSTITUTE(I82,";",REPT(" ",50)),1,50))),0),IFERROR(DATEVALUE(TRIM(MID(SUBSTITUTE(I82,";",REPT(" ",50)),51,50))),0),IFERROR(DATEVALUE(TRIM(MID(SUBSTITUTE(I82,";",REPT(" ",50)),101,50))),0),IFERROR(DATEVALUE(TRIM(MID(SUBSTITUTE(I82,";",REPT(" ",50)),151,50))),0),IFERROR(DATEVALUE(TRIM(MID(SUBSTITUTE(I82,";",REPT(" ",50)),201,50))),0),IFERROR(DATEVALUE(TRIM(MID(SUBSTITUTE(I82,";",REPT(" ",50)),251,50))),0),IFERROR(DATEVALUE(TRIM(MID(SUBSTITUTE(I82,";",REPT(" ",50)),301,50))),0),IFERROR(DATEVALUE(TRIM(MID(SUBSTITUTE(I82,";",REPT(" ",50)),351,50))),0),IFERROR(DATEVALUE(TRIM(MID(SUBSTITUTE(I82,";",REPT(" ",50)),401,50))),0),IFERROR(DATEVALUE(TRIM(MID(SUBSTITUTE(I82,";",REPT(" ",50)),451,50))),0)))</f>
        <v>45078</v>
      </c>
      <c r="L82">
        <f ca="1">IF(K82="","",TODAY()-K82)</f>
        <v>926</v>
      </c>
      <c r="M82" t="s">
        <v>167</v>
      </c>
      <c r="N82">
        <f ca="1">IF(M82="","",IF(L82="",INDEX($F$92:$F$95,MATCH(M82,$C$92:$C$95,0)),IF(L82&lt;=INDEX($D$92:$D$95,MATCH(M82,$C$92:$C$95,0)),0,IF(L82&lt;=INDEX($E$92:$E$95,MATCH(M82,$C$92:$C$95,0)),INDEX($F$92:$F$95,MATCH(M82,$C$92:$C$95,0)),INDEX($G$92:$G$95,MATCH(M82,$C$92:$C$95,0))))))</f>
        <v>0</v>
      </c>
      <c r="O82">
        <f ca="1">G82+N82</f>
        <v>10.5</v>
      </c>
      <c r="P82" t="s">
        <v>168</v>
      </c>
      <c r="Q82" t="s">
        <v>532</v>
      </c>
      <c r="R82" t="s">
        <v>533</v>
      </c>
    </row>
    <row r="83" spans="1:18" x14ac:dyDescent="0.2">
      <c r="A83" t="s">
        <v>534</v>
      </c>
      <c r="B83" t="s">
        <v>535</v>
      </c>
      <c r="C83" t="s">
        <v>536</v>
      </c>
      <c r="D83" t="s">
        <v>197</v>
      </c>
      <c r="E83">
        <f>IFERROR(IF(C83="Unknown",10,IF(VALUE(SUBSTITUTE(C83,"%",""))&lt;=10,0,IF(VALUE(SUBSTITUTE(C83,"%",""))&lt;=20,10,20))),"")</f>
        <v>0</v>
      </c>
      <c r="F83">
        <f>IF(D83="High",0,IF(D83="Medium",0.05,IF(D83="Low",0.1,IF(D83="Unknown",0.15,""))))</f>
        <v>0.05</v>
      </c>
      <c r="G83">
        <f>E83*(1+F83)</f>
        <v>0</v>
      </c>
      <c r="H83" t="s">
        <v>537</v>
      </c>
      <c r="I83" t="s">
        <v>538</v>
      </c>
      <c r="J83" t="s">
        <v>166</v>
      </c>
      <c r="K83" s="24">
        <f>IF(I83="","",MAX(IFERROR(DATEVALUE(TRIM(MID(SUBSTITUTE(I83,";",REPT(" ",50)),1,50))),0),IFERROR(DATEVALUE(TRIM(MID(SUBSTITUTE(I83,";",REPT(" ",50)),51,50))),0),IFERROR(DATEVALUE(TRIM(MID(SUBSTITUTE(I83,";",REPT(" ",50)),101,50))),0),IFERROR(DATEVALUE(TRIM(MID(SUBSTITUTE(I83,";",REPT(" ",50)),151,50))),0),IFERROR(DATEVALUE(TRIM(MID(SUBSTITUTE(I83,";",REPT(" ",50)),201,50))),0),IFERROR(DATEVALUE(TRIM(MID(SUBSTITUTE(I83,";",REPT(" ",50)),251,50))),0),IFERROR(DATEVALUE(TRIM(MID(SUBSTITUTE(I83,";",REPT(" ",50)),301,50))),0),IFERROR(DATEVALUE(TRIM(MID(SUBSTITUTE(I83,";",REPT(" ",50)),351,50))),0),IFERROR(DATEVALUE(TRIM(MID(SUBSTITUTE(I83,";",REPT(" ",50)),401,50))),0),IFERROR(DATEVALUE(TRIM(MID(SUBSTITUTE(I83,";",REPT(" ",50)),451,50))),0)))</f>
        <v>45986</v>
      </c>
      <c r="L83">
        <f ca="1">IF(K83="","",TODAY()-K83)</f>
        <v>18</v>
      </c>
      <c r="M83" t="s">
        <v>273</v>
      </c>
      <c r="N83">
        <f ca="1">IF(M83="","",IF(L83="",INDEX($F$92:$F$95,MATCH(M83,$C$92:$C$95,0)),IF(L83&lt;=INDEX($D$92:$D$95,MATCH(M83,$C$92:$C$95,0)),0,IF(L83&lt;=INDEX($E$92:$E$95,MATCH(M83,$C$92:$C$95,0)),INDEX($F$92:$F$95,MATCH(M83,$C$92:$C$95,0)),INDEX($G$92:$G$95,MATCH(M83,$C$92:$C$95,0))))))</f>
        <v>0</v>
      </c>
      <c r="O83">
        <f ca="1">G83+N83</f>
        <v>0</v>
      </c>
      <c r="P83" t="str">
        <f>IF(AND($C$27="Emissions", IFERROR(VALUE(SUBSTITUTE(C83,"%","")),0)&gt;20),"Review","No Review")</f>
        <v>No Review</v>
      </c>
      <c r="Q83" t="s">
        <v>539</v>
      </c>
      <c r="R83" t="s">
        <v>540</v>
      </c>
    </row>
    <row r="84" spans="1:18" x14ac:dyDescent="0.2">
      <c r="A84" t="s">
        <v>541</v>
      </c>
      <c r="B84" t="s">
        <v>542</v>
      </c>
      <c r="C84" t="s">
        <v>259</v>
      </c>
      <c r="D84" t="s">
        <v>197</v>
      </c>
      <c r="E84">
        <f>IF(C84="Yes",0,IF(C84="Unclear",10,IF(C84="No",20,"")))</f>
        <v>20</v>
      </c>
      <c r="F84">
        <f>IF(D84="High",0,IF(D84="Medium",0.05,IF(D84="Low",0.1,IF(D84="Unknown",0.15,""))))</f>
        <v>0.05</v>
      </c>
      <c r="G84">
        <f>E84*(1+F84)</f>
        <v>21</v>
      </c>
      <c r="H84" t="s">
        <v>543</v>
      </c>
      <c r="I84" t="s">
        <v>544</v>
      </c>
      <c r="J84" t="s">
        <v>166</v>
      </c>
      <c r="K84" s="24">
        <f>IF(I84="","",MAX(IFERROR(DATEVALUE(TRIM(MID(SUBSTITUTE(I84,";",REPT(" ",50)),1,50))),0),IFERROR(DATEVALUE(TRIM(MID(SUBSTITUTE(I84,";",REPT(" ",50)),51,50))),0),IFERROR(DATEVALUE(TRIM(MID(SUBSTITUTE(I84,";",REPT(" ",50)),101,50))),0),IFERROR(DATEVALUE(TRIM(MID(SUBSTITUTE(I84,";",REPT(" ",50)),151,50))),0),IFERROR(DATEVALUE(TRIM(MID(SUBSTITUTE(I84,";",REPT(" ",50)),201,50))),0),IFERROR(DATEVALUE(TRIM(MID(SUBSTITUTE(I84,";",REPT(" ",50)),251,50))),0),IFERROR(DATEVALUE(TRIM(MID(SUBSTITUTE(I84,";",REPT(" ",50)),301,50))),0),IFERROR(DATEVALUE(TRIM(MID(SUBSTITUTE(I84,";",REPT(" ",50)),351,50))),0),IFERROR(DATEVALUE(TRIM(MID(SUBSTITUTE(I84,";",REPT(" ",50)),401,50))),0),IFERROR(DATEVALUE(TRIM(MID(SUBSTITUTE(I84,";",REPT(" ",50)),451,50))),0)))</f>
        <v>45139</v>
      </c>
      <c r="L84">
        <f ca="1">IF(K84="","",TODAY()-K84)</f>
        <v>865</v>
      </c>
      <c r="M84" t="s">
        <v>167</v>
      </c>
      <c r="N84">
        <f ca="1">IF(M84="","",IF(L84="",INDEX($F$92:$F$95,MATCH(M84,$C$92:$C$95,0)),IF(L84&lt;=INDEX($D$92:$D$95,MATCH(M84,$C$92:$C$95,0)),0,IF(L84&lt;=INDEX($E$92:$E$95,MATCH(M84,$C$92:$C$95,0)),INDEX($F$92:$F$95,MATCH(M84,$C$92:$C$95,0)),INDEX($G$92:$G$95,MATCH(M84,$C$92:$C$95,0))))))</f>
        <v>0</v>
      </c>
      <c r="O84">
        <f ca="1">G84+N84</f>
        <v>21</v>
      </c>
      <c r="P84" t="s">
        <v>168</v>
      </c>
      <c r="R84" t="s">
        <v>545</v>
      </c>
    </row>
    <row r="85" spans="1:18" x14ac:dyDescent="0.2">
      <c r="A85" t="s">
        <v>546</v>
      </c>
      <c r="B85" t="s">
        <v>547</v>
      </c>
      <c r="C85" t="s">
        <v>548</v>
      </c>
      <c r="D85" t="s">
        <v>197</v>
      </c>
      <c r="E85">
        <v>0</v>
      </c>
      <c r="F85">
        <f>IF(D85="High",0,IF(D85="Medium",0.05,IF(D85="Low",0.1,IF(D85="Unknown",0.15,""))))</f>
        <v>0.05</v>
      </c>
      <c r="G85">
        <f>E85*(1+F85)</f>
        <v>0</v>
      </c>
      <c r="H85" t="s">
        <v>549</v>
      </c>
      <c r="I85" t="s">
        <v>550</v>
      </c>
      <c r="J85" t="s">
        <v>166</v>
      </c>
      <c r="K85" s="24">
        <f>IF(I85="","",MAX(IFERROR(DATEVALUE(TRIM(MID(SUBSTITUTE(I85,";",REPT(" ",50)),1,50))),0),IFERROR(DATEVALUE(TRIM(MID(SUBSTITUTE(I85,";",REPT(" ",50)),51,50))),0),IFERROR(DATEVALUE(TRIM(MID(SUBSTITUTE(I85,";",REPT(" ",50)),101,50))),0),IFERROR(DATEVALUE(TRIM(MID(SUBSTITUTE(I85,";",REPT(" ",50)),151,50))),0),IFERROR(DATEVALUE(TRIM(MID(SUBSTITUTE(I85,";",REPT(" ",50)),201,50))),0),IFERROR(DATEVALUE(TRIM(MID(SUBSTITUTE(I85,";",REPT(" ",50)),251,50))),0),IFERROR(DATEVALUE(TRIM(MID(SUBSTITUTE(I85,";",REPT(" ",50)),301,50))),0),IFERROR(DATEVALUE(TRIM(MID(SUBSTITUTE(I85,";",REPT(" ",50)),351,50))),0),IFERROR(DATEVALUE(TRIM(MID(SUBSTITUTE(I85,";",REPT(" ",50)),401,50))),0),IFERROR(DATEVALUE(TRIM(MID(SUBSTITUTE(I85,";",REPT(" ",50)),451,50))),0)))</f>
        <v>45413</v>
      </c>
      <c r="L85">
        <f ca="1">IF(K85="","",TODAY()-K85)</f>
        <v>591</v>
      </c>
      <c r="M85" t="s">
        <v>184</v>
      </c>
      <c r="N85">
        <f ca="1">IF(M85="","",IF(L85="",INDEX($F$92:$F$95,MATCH(M85,$C$92:$C$95,0)),IF(L85&lt;=INDEX($D$92:$D$95,MATCH(M85,$C$92:$C$95,0)),0,IF(L85&lt;=INDEX($E$92:$E$95,MATCH(M85,$C$92:$C$95,0)),INDEX($F$92:$F$95,MATCH(M85,$C$92:$C$95,0)),INDEX($G$92:$G$95,MATCH(M85,$C$92:$C$95,0))))))</f>
        <v>6</v>
      </c>
      <c r="O85">
        <f ca="1">G85+N85</f>
        <v>6</v>
      </c>
      <c r="P85" t="s">
        <v>168</v>
      </c>
      <c r="Q85" t="s">
        <v>347</v>
      </c>
      <c r="R85" t="s">
        <v>551</v>
      </c>
    </row>
    <row r="90" spans="1:18" x14ac:dyDescent="0.2">
      <c r="C90" s="51" t="s">
        <v>552</v>
      </c>
      <c r="D90" s="41"/>
      <c r="E90" s="41"/>
      <c r="F90" s="41"/>
      <c r="G90" s="42"/>
    </row>
    <row r="91" spans="1:18" x14ac:dyDescent="0.2">
      <c r="C91" s="30" t="s">
        <v>152</v>
      </c>
      <c r="D91" s="30" t="s">
        <v>553</v>
      </c>
      <c r="E91" s="30" t="s">
        <v>554</v>
      </c>
      <c r="F91" s="30" t="s">
        <v>555</v>
      </c>
      <c r="G91" s="28" t="s">
        <v>556</v>
      </c>
    </row>
    <row r="92" spans="1:18" x14ac:dyDescent="0.2">
      <c r="C92" s="7" t="s">
        <v>273</v>
      </c>
      <c r="D92" s="27">
        <v>90</v>
      </c>
      <c r="E92" s="27">
        <v>180</v>
      </c>
      <c r="F92" s="27">
        <v>5</v>
      </c>
      <c r="G92" s="29">
        <v>10</v>
      </c>
    </row>
    <row r="93" spans="1:18" x14ac:dyDescent="0.2">
      <c r="C93" s="8" t="s">
        <v>184</v>
      </c>
      <c r="D93">
        <v>180</v>
      </c>
      <c r="E93">
        <v>365</v>
      </c>
      <c r="F93">
        <v>3</v>
      </c>
      <c r="G93" s="14">
        <v>6</v>
      </c>
    </row>
    <row r="94" spans="1:18" x14ac:dyDescent="0.2">
      <c r="C94" s="8" t="s">
        <v>303</v>
      </c>
      <c r="D94">
        <v>365</v>
      </c>
      <c r="E94">
        <v>730</v>
      </c>
      <c r="F94">
        <v>2</v>
      </c>
      <c r="G94" s="14">
        <v>4</v>
      </c>
    </row>
    <row r="95" spans="1:18" x14ac:dyDescent="0.2">
      <c r="C95" s="9" t="s">
        <v>167</v>
      </c>
      <c r="D95" s="16">
        <v>9999</v>
      </c>
      <c r="E95" s="16">
        <v>9999</v>
      </c>
      <c r="F95" s="16">
        <v>0</v>
      </c>
      <c r="G95" s="17">
        <v>0</v>
      </c>
    </row>
    <row r="99" spans="3:5" ht="16" customHeight="1" thickBot="1" x14ac:dyDescent="0.25"/>
    <row r="100" spans="3:5" ht="16" customHeight="1" thickBot="1" x14ac:dyDescent="0.25">
      <c r="C100" s="52" t="s">
        <v>557</v>
      </c>
      <c r="D100" s="53"/>
      <c r="E100" s="54"/>
    </row>
    <row r="101" spans="3:5" x14ac:dyDescent="0.2">
      <c r="C101" s="47" t="s">
        <v>558</v>
      </c>
      <c r="D101" s="48"/>
      <c r="E101" s="8">
        <f ca="1">IF(COUNTIFS($A$4:$A$85,"A*",$C$4:$C$85,"&lt;&gt;")=0,"",AVERAGEIFS($O$4:$O$85,$A$4:$A$85,"A*",$C$4:$C$85,"&lt;&gt;"))</f>
        <v>5.208333333333333</v>
      </c>
    </row>
    <row r="102" spans="3:5" x14ac:dyDescent="0.2">
      <c r="C102" s="47" t="s">
        <v>559</v>
      </c>
      <c r="D102" s="48"/>
      <c r="E102" s="8">
        <f ca="1">IF(COUNTIFS($A$4:$A$85,"B*",$C$4:$C$85,"&lt;&gt;")=0,"",AVERAGEIFS($O$4:$O$85,$A$4:$A$85,"B*",$C$4:$C$85,"&lt;&gt;"))</f>
        <v>9.9749999999999996</v>
      </c>
    </row>
    <row r="103" spans="3:5" x14ac:dyDescent="0.2">
      <c r="C103" s="47" t="s">
        <v>560</v>
      </c>
      <c r="D103" s="48"/>
      <c r="E103" s="8">
        <f ca="1">IF(COUNTIFS($A$4:$A$85,"C*",$C$4:$C$85,"&lt;&gt;")=0,"",AVERAGEIFS($O$4:$O$85,$A$4:$A$85,"C*",$C$4:$C$85,"&lt;&gt;"))</f>
        <v>10.285714285714286</v>
      </c>
    </row>
    <row r="104" spans="3:5" x14ac:dyDescent="0.2">
      <c r="C104" s="47" t="s">
        <v>561</v>
      </c>
      <c r="D104" s="48"/>
      <c r="E104" s="8">
        <f ca="1">IF(COUNTIFS($A$4:$A$85,"D*",$C$4:$C$85,"&lt;&gt;")=0,"",AVERAGEIFS($O$4:$O$85,$A$4:$A$85,"D*",$C$4:$C$85,"&lt;&gt;"))</f>
        <v>0.25</v>
      </c>
    </row>
    <row r="105" spans="3:5" x14ac:dyDescent="0.2">
      <c r="C105" s="47" t="s">
        <v>562</v>
      </c>
      <c r="D105" s="48"/>
      <c r="E105" s="8">
        <f ca="1">IF(COUNTIFS($A$4:$A$85,"E*",$C$4:$C$85,"&lt;&gt;")=0,"",AVERAGEIFS($O$4:$O$85,$A$4:$A$85,"E*",$C$4:$C$85,"&lt;&gt;"))</f>
        <v>4.2105263157894735</v>
      </c>
    </row>
    <row r="106" spans="3:5" x14ac:dyDescent="0.2">
      <c r="C106" s="47" t="s">
        <v>563</v>
      </c>
      <c r="D106" s="48"/>
      <c r="E106" s="8">
        <f ca="1">IF(COUNTIF($C$4:$C$85,"&lt;&gt;")=0,"",AVERAGEIFS($O$4:$O$85,$C$4:$C$85,"&lt;&gt;"))</f>
        <v>6.3030303030303028</v>
      </c>
    </row>
    <row r="107" spans="3:5" x14ac:dyDescent="0.2">
      <c r="C107" s="47" t="s">
        <v>564</v>
      </c>
      <c r="D107" s="48"/>
      <c r="E107" s="8" t="str">
        <f ca="1">IF(E106="","",IF(E106&lt;3,"Very Low",IF(E106&lt;6,"Low",IF(E106&lt;9,"Medium",IF(E106&lt;12,"Medium-High","High")))))</f>
        <v>Medium</v>
      </c>
    </row>
    <row r="108" spans="3:5" x14ac:dyDescent="0.2">
      <c r="C108" s="49" t="s">
        <v>565</v>
      </c>
      <c r="D108" s="50"/>
      <c r="E108" s="9" t="str">
        <f ca="1">IF(COUNT($E$101:$E$105)=0,"",IF($E$101=MIN($E$101:$E$105),"A",IF($E$102=MIN($E$101:$E$105),"B",IF($E$103=MIN($E$101:$E$105),"C",IF($E$104=MIN($E$101:$E$105),"D","E")))))</f>
        <v>D</v>
      </c>
    </row>
  </sheetData>
  <mergeCells count="23">
    <mergeCell ref="B63:R63"/>
    <mergeCell ref="B25:R25"/>
    <mergeCell ref="B3:R3"/>
    <mergeCell ref="C103:D103"/>
    <mergeCell ref="C105:D105"/>
    <mergeCell ref="C90:G90"/>
    <mergeCell ref="B44:R44"/>
    <mergeCell ref="B53:R53"/>
    <mergeCell ref="B69:R69"/>
    <mergeCell ref="B10:R10"/>
    <mergeCell ref="B19:R19"/>
    <mergeCell ref="B40:R40"/>
    <mergeCell ref="B15:R15"/>
    <mergeCell ref="B33:R33"/>
    <mergeCell ref="C102:D102"/>
    <mergeCell ref="C100:E100"/>
    <mergeCell ref="B76:R76"/>
    <mergeCell ref="C101:D101"/>
    <mergeCell ref="C108:D108"/>
    <mergeCell ref="C104:D104"/>
    <mergeCell ref="C107:D107"/>
    <mergeCell ref="B81:R81"/>
    <mergeCell ref="C106:D106"/>
  </mergeCells>
  <conditionalFormatting sqref="O3:O205">
    <cfRule type="colorScale" priority="1">
      <colorScale>
        <cfvo type="num" val="0"/>
        <cfvo type="percentile" val="50"/>
        <cfvo type="num" val="25"/>
        <color rgb="FF73FB79"/>
        <color rgb="FFFFFD78"/>
        <color rgb="FFFF2600"/>
      </colorScale>
    </cfRule>
  </conditionalFormatting>
  <conditionalFormatting sqref="P4:P85">
    <cfRule type="cellIs" dxfId="23" priority="8" operator="equal">
      <formula>"No Review"</formula>
    </cfRule>
    <cfRule type="cellIs" dxfId="22" priority="9" operator="equal">
      <formula>"Review Required"</formula>
    </cfRule>
  </conditionalFormatting>
  <dataValidations disablePrompts="1" count="1">
    <dataValidation type="list" showInputMessage="1" showErrorMessage="1" sqref="M3:M17 M19:M42 M44:M51 M54:M61 M63:M85" xr:uid="{00000000-0002-0000-0100-000000000000}">
      <formula1>"Critical–Fast,Operational–Medium,Background–Slow,Evergreen–No Penalty"</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85"/>
  <sheetViews>
    <sheetView topLeftCell="K34" workbookViewId="0">
      <selection activeCell="R6" sqref="R6"/>
    </sheetView>
  </sheetViews>
  <sheetFormatPr baseColWidth="10" defaultColWidth="8.83203125" defaultRowHeight="15" x14ac:dyDescent="0.2"/>
  <cols>
    <col min="1" max="1" width="16.33203125" customWidth="1"/>
    <col min="2" max="2" width="164.33203125" customWidth="1"/>
    <col min="3" max="6" width="16.33203125" customWidth="1"/>
    <col min="7" max="7" width="23.5" customWidth="1"/>
    <col min="8" max="10" width="16.33203125" customWidth="1"/>
    <col min="11" max="11" width="24.5" style="24" customWidth="1"/>
    <col min="12" max="12" width="16.33203125" style="24" customWidth="1"/>
    <col min="13" max="13" width="21.1640625" customWidth="1"/>
    <col min="14" max="15" width="16.33203125" customWidth="1"/>
    <col min="16" max="16" width="22.6640625" customWidth="1"/>
    <col min="17" max="17" width="95.83203125" customWidth="1"/>
    <col min="18" max="18" width="52.33203125" customWidth="1"/>
    <col min="20" max="24" width="17" customWidth="1"/>
  </cols>
  <sheetData>
    <row r="1" spans="1:19" x14ac:dyDescent="0.2">
      <c r="A1" s="1" t="s">
        <v>140</v>
      </c>
      <c r="B1" s="1" t="s">
        <v>141</v>
      </c>
      <c r="C1" s="1" t="s">
        <v>142</v>
      </c>
      <c r="D1" s="1" t="s">
        <v>143</v>
      </c>
      <c r="E1" s="1" t="s">
        <v>144</v>
      </c>
      <c r="F1" s="1" t="s">
        <v>145</v>
      </c>
      <c r="G1" s="1" t="s">
        <v>146</v>
      </c>
      <c r="H1" s="1" t="s">
        <v>147</v>
      </c>
      <c r="I1" s="1" t="s">
        <v>148</v>
      </c>
      <c r="J1" s="1" t="s">
        <v>149</v>
      </c>
      <c r="K1" s="22" t="s">
        <v>150</v>
      </c>
      <c r="L1" s="22" t="s">
        <v>151</v>
      </c>
      <c r="M1" s="1" t="s">
        <v>152</v>
      </c>
      <c r="N1" s="1" t="s">
        <v>153</v>
      </c>
      <c r="O1" s="1" t="s">
        <v>154</v>
      </c>
      <c r="P1" s="1" t="s">
        <v>155</v>
      </c>
      <c r="Q1" s="1" t="s">
        <v>156</v>
      </c>
      <c r="R1" s="1" t="s">
        <v>157</v>
      </c>
      <c r="S1" t="s">
        <v>158</v>
      </c>
    </row>
    <row r="2" spans="1:19" x14ac:dyDescent="0.2">
      <c r="A2" s="4"/>
      <c r="B2" s="5" t="s">
        <v>566</v>
      </c>
      <c r="C2" s="4"/>
      <c r="D2" s="4"/>
      <c r="E2" s="4"/>
      <c r="F2" s="4"/>
      <c r="G2" s="4"/>
      <c r="H2" s="4"/>
      <c r="I2" s="4"/>
      <c r="J2" s="4"/>
      <c r="K2" s="23"/>
      <c r="L2" s="23"/>
      <c r="M2" s="4"/>
      <c r="N2" s="4"/>
      <c r="O2" s="4"/>
      <c r="P2" s="4"/>
      <c r="Q2" s="4"/>
      <c r="R2" s="4"/>
    </row>
    <row r="3" spans="1:19" x14ac:dyDescent="0.2">
      <c r="A3" s="3"/>
      <c r="B3" s="44"/>
      <c r="C3" s="45"/>
      <c r="D3" s="45"/>
      <c r="E3" s="45"/>
      <c r="F3" s="45"/>
      <c r="G3" s="45"/>
      <c r="H3" s="45"/>
      <c r="I3" s="45"/>
      <c r="J3" s="45"/>
      <c r="K3" s="46"/>
      <c r="L3" s="46"/>
      <c r="M3" s="45"/>
      <c r="N3" s="45"/>
      <c r="O3" s="45"/>
      <c r="P3" s="45"/>
      <c r="Q3" s="45"/>
      <c r="R3" s="45"/>
    </row>
    <row r="4" spans="1:19" x14ac:dyDescent="0.2">
      <c r="A4" t="s">
        <v>160</v>
      </c>
      <c r="B4" t="s">
        <v>567</v>
      </c>
      <c r="C4" t="s">
        <v>568</v>
      </c>
      <c r="D4" t="s">
        <v>163</v>
      </c>
      <c r="E4">
        <f>IF(C4="Functional",0,IF(C4="Mixed",10,IF(C4="Speculative",20,IF(C4="Unknown",10,""))))</f>
        <v>0</v>
      </c>
      <c r="F4">
        <f>IF(D4="High",0,IF(D4="Medium",0.05,IF(D4="Low",0.1,IF(D4="Unknown",0.15,""))))</f>
        <v>0</v>
      </c>
      <c r="G4">
        <f>E4*(1+F4)</f>
        <v>0</v>
      </c>
      <c r="H4" t="s">
        <v>569</v>
      </c>
      <c r="I4" t="s">
        <v>570</v>
      </c>
      <c r="J4" t="s">
        <v>176</v>
      </c>
      <c r="K4" s="24">
        <f t="shared" ref="K4:K9" si="0">IF(I4="","",MAX(IFERROR(DATEVALUE(TRIM(MID(SUBSTITUTE(I4,";",REPT(" ",50)),1,50))),0),IFERROR(DATEVALUE(TRIM(MID(SUBSTITUTE(I4,";",REPT(" ",50)),51,50))),0),IFERROR(DATEVALUE(TRIM(MID(SUBSTITUTE(I4,";",REPT(" ",50)),101,50))),0),IFERROR(DATEVALUE(TRIM(MID(SUBSTITUTE(I4,";",REPT(" ",50)),151,50))),0),IFERROR(DATEVALUE(TRIM(MID(SUBSTITUTE(I4,";",REPT(" ",50)),201,50))),0),IFERROR(DATEVALUE(TRIM(MID(SUBSTITUTE(I4,";",REPT(" ",50)),251,50))),0),IFERROR(DATEVALUE(TRIM(MID(SUBSTITUTE(I4,";",REPT(" ",50)),301,50))),0),IFERROR(DATEVALUE(TRIM(MID(SUBSTITUTE(I4,";",REPT(" ",50)),351,50))),0),IFERROR(DATEVALUE(TRIM(MID(SUBSTITUTE(I4,";",REPT(" ",50)),401,50))),0),IFERROR(DATEVALUE(TRIM(MID(SUBSTITUTE(I4,";",REPT(" ",50)),451,50))),0)))</f>
        <v>45597</v>
      </c>
      <c r="L4" s="24">
        <f ca="1">IF(K4="","",TODAY()-K4)</f>
        <v>407</v>
      </c>
      <c r="M4" t="s">
        <v>184</v>
      </c>
      <c r="N4">
        <f t="shared" ref="N4:N9" ca="1" si="1">IF(M4="","",IF(L4="",INDEX($F$69:$F$72,MATCH(M4,$C$69:$C$72,0)),IF(L4&lt;=INDEX($D$69:$D$72,MATCH(M4,$C$69:$C$72,0)),0,IF(L4&lt;=INDEX($E$69:$E$72,MATCH(M4,$C$69:$C$72,0)),INDEX($F$69:$F$72,MATCH(M4,$C$69:$C$72,0)),INDEX($G$69:$G$72,MATCH(M4,$C$69:$C$72,0))))))</f>
        <v>6</v>
      </c>
      <c r="O4">
        <f ca="1">G4+N4</f>
        <v>6</v>
      </c>
      <c r="P4" t="s">
        <v>168</v>
      </c>
      <c r="R4" t="s">
        <v>571</v>
      </c>
    </row>
    <row r="5" spans="1:19" x14ac:dyDescent="0.2">
      <c r="A5" t="s">
        <v>171</v>
      </c>
      <c r="B5" t="s">
        <v>572</v>
      </c>
      <c r="C5" t="s">
        <v>181</v>
      </c>
      <c r="D5" t="s">
        <v>197</v>
      </c>
      <c r="E5">
        <f>IF(C5="Good",0,IF(C5="Partial",10,IF(C5="Poor",20,IF(C5="Unknown",10,""))))</f>
        <v>10</v>
      </c>
      <c r="F5">
        <f>IF(D5="High",0,IF(D5="Medium",0.05,IF(D5="Low",0.1,IF(D5="Unknown",0.15,""))))</f>
        <v>0.05</v>
      </c>
      <c r="G5">
        <f>E5*(1+F5)</f>
        <v>10.5</v>
      </c>
      <c r="H5" t="s">
        <v>573</v>
      </c>
      <c r="I5" t="s">
        <v>574</v>
      </c>
      <c r="J5" t="s">
        <v>176</v>
      </c>
      <c r="K5" s="24">
        <f t="shared" si="0"/>
        <v>45597</v>
      </c>
      <c r="L5" s="24">
        <f ca="1">IF(K5="","",TODAY()-K5)</f>
        <v>407</v>
      </c>
      <c r="M5" t="s">
        <v>184</v>
      </c>
      <c r="N5">
        <f t="shared" ca="1" si="1"/>
        <v>6</v>
      </c>
      <c r="O5">
        <f ca="1">G5+N5</f>
        <v>16.5</v>
      </c>
      <c r="P5" t="s">
        <v>168</v>
      </c>
      <c r="R5" t="s">
        <v>575</v>
      </c>
    </row>
    <row r="6" spans="1:19" x14ac:dyDescent="0.2">
      <c r="A6" t="s">
        <v>179</v>
      </c>
      <c r="B6" t="s">
        <v>576</v>
      </c>
      <c r="C6" t="s">
        <v>259</v>
      </c>
      <c r="D6" t="s">
        <v>163</v>
      </c>
      <c r="E6">
        <f>IF(C6="Yes",0,IF(C6="No",20,IF(C6="Ambiguous",20,IF(C6="Unknown",10,""))))</f>
        <v>20</v>
      </c>
      <c r="F6">
        <f>IF(D6="High",0,IF(D6="Medium",0.05,IF(D6="Low",0.1,IF(D6="Unknown",0.15,""))))</f>
        <v>0</v>
      </c>
      <c r="G6">
        <f>E6*(1+F6)</f>
        <v>20</v>
      </c>
      <c r="H6" t="s">
        <v>577</v>
      </c>
      <c r="I6" t="s">
        <v>578</v>
      </c>
      <c r="J6" t="s">
        <v>176</v>
      </c>
      <c r="K6" s="24">
        <f t="shared" si="0"/>
        <v>45981</v>
      </c>
      <c r="L6" s="24">
        <f ca="1">IF(K6="","",TODAY()-K6)</f>
        <v>23</v>
      </c>
      <c r="M6" t="s">
        <v>273</v>
      </c>
      <c r="N6">
        <f t="shared" ca="1" si="1"/>
        <v>0</v>
      </c>
      <c r="O6">
        <f ca="1">G6+N6</f>
        <v>20</v>
      </c>
      <c r="P6" t="str">
        <f>IF(OR(C6="No",C6="Ambiguous"),"Review Required","No Review")</f>
        <v>Review Required</v>
      </c>
      <c r="Q6" t="s">
        <v>579</v>
      </c>
      <c r="R6" t="s">
        <v>580</v>
      </c>
    </row>
    <row r="7" spans="1:19" x14ac:dyDescent="0.2">
      <c r="A7" t="s">
        <v>187</v>
      </c>
      <c r="B7" t="s">
        <v>581</v>
      </c>
      <c r="C7" t="s">
        <v>582</v>
      </c>
      <c r="D7" t="s">
        <v>163</v>
      </c>
      <c r="E7">
        <f>IF(C7="Aligned",0,IF(C7="Partially",10,IF(C7="Misaligned",20,IF(C7="Unknown",10,""))))</f>
        <v>0</v>
      </c>
      <c r="F7">
        <f>IF(D7="High",0,IF(D7="Medium",0.05,IF(D7="Low",0.1,IF(D7="Unknown",0.15,""))))</f>
        <v>0</v>
      </c>
      <c r="G7">
        <f>E7*(1+F7)</f>
        <v>0</v>
      </c>
      <c r="H7" t="s">
        <v>583</v>
      </c>
      <c r="I7" t="s">
        <v>584</v>
      </c>
      <c r="J7" t="s">
        <v>176</v>
      </c>
      <c r="K7" s="24">
        <f t="shared" si="0"/>
        <v>45566</v>
      </c>
      <c r="L7" s="24">
        <f ca="1">IF(K7="","",TODAY()-K7)</f>
        <v>438</v>
      </c>
      <c r="M7" t="s">
        <v>184</v>
      </c>
      <c r="N7">
        <f t="shared" ca="1" si="1"/>
        <v>6</v>
      </c>
      <c r="O7">
        <f ca="1">G7+N7</f>
        <v>6</v>
      </c>
      <c r="P7" t="s">
        <v>168</v>
      </c>
      <c r="R7" t="s">
        <v>585</v>
      </c>
    </row>
    <row r="8" spans="1:19" x14ac:dyDescent="0.2">
      <c r="A8" t="s">
        <v>194</v>
      </c>
      <c r="B8" t="s">
        <v>586</v>
      </c>
      <c r="C8" t="s">
        <v>229</v>
      </c>
      <c r="D8" t="s">
        <v>197</v>
      </c>
      <c r="E8">
        <f>IF(C8="Yes",0,IF(C8="Mixed",10,IF(C8="No",20,IF(C8="Unknown",10,""))))</f>
        <v>10</v>
      </c>
      <c r="F8">
        <f>IF(D8="High",0,IF(D8="Medium",0.05,IF(D8="Low",0.1,IF(D8="Unknown",0.15,""))))</f>
        <v>0.05</v>
      </c>
      <c r="G8">
        <f>E8*(1+F8)</f>
        <v>10.5</v>
      </c>
      <c r="H8" t="s">
        <v>587</v>
      </c>
      <c r="I8" t="s">
        <v>588</v>
      </c>
      <c r="J8" t="s">
        <v>176</v>
      </c>
      <c r="K8" s="24">
        <f t="shared" si="0"/>
        <v>45566</v>
      </c>
      <c r="L8" s="24">
        <f ca="1">IF(K8="","",TODAY()-K8)</f>
        <v>438</v>
      </c>
      <c r="M8" t="s">
        <v>184</v>
      </c>
      <c r="N8">
        <f t="shared" ca="1" si="1"/>
        <v>6</v>
      </c>
      <c r="O8">
        <f ca="1">G8+N8</f>
        <v>16.5</v>
      </c>
      <c r="P8" t="s">
        <v>168</v>
      </c>
      <c r="R8" t="s">
        <v>589</v>
      </c>
    </row>
    <row r="9" spans="1:19" x14ac:dyDescent="0.2">
      <c r="A9" s="4"/>
      <c r="B9" s="5" t="s">
        <v>590</v>
      </c>
      <c r="C9" s="4"/>
      <c r="D9" s="4"/>
      <c r="E9" s="4"/>
      <c r="F9" s="4"/>
      <c r="G9" s="4"/>
      <c r="H9" s="4"/>
      <c r="I9" s="4"/>
      <c r="J9" s="4"/>
      <c r="K9" s="23" t="str">
        <f t="shared" si="0"/>
        <v/>
      </c>
      <c r="L9" s="23"/>
      <c r="M9" s="4"/>
      <c r="N9" s="4" t="str">
        <f t="shared" si="1"/>
        <v/>
      </c>
      <c r="O9" s="4"/>
      <c r="P9" s="4"/>
      <c r="Q9" s="4"/>
      <c r="R9" s="4"/>
    </row>
    <row r="10" spans="1:19" x14ac:dyDescent="0.2">
      <c r="A10" s="3"/>
      <c r="B10" s="44"/>
      <c r="C10" s="45"/>
      <c r="D10" s="45"/>
      <c r="E10" s="45"/>
      <c r="F10" s="45"/>
      <c r="G10" s="45"/>
      <c r="H10" s="45"/>
      <c r="I10" s="45"/>
      <c r="J10" s="45"/>
      <c r="K10" s="46"/>
      <c r="L10" s="46"/>
      <c r="M10" s="45"/>
      <c r="N10" s="45"/>
      <c r="O10" s="45"/>
      <c r="P10" s="45"/>
      <c r="Q10" s="45"/>
      <c r="R10" s="45"/>
    </row>
    <row r="11" spans="1:19" x14ac:dyDescent="0.2">
      <c r="A11" t="s">
        <v>241</v>
      </c>
      <c r="B11" t="s">
        <v>591</v>
      </c>
      <c r="C11" t="s">
        <v>259</v>
      </c>
      <c r="D11" t="s">
        <v>163</v>
      </c>
      <c r="E11">
        <f>IF(C11="Yes",20,IF(C11="Partial",10,IF(C11="No",0,IF(C11="Unknown",10,""))))</f>
        <v>0</v>
      </c>
      <c r="F11">
        <f t="shared" ref="F11:F18" si="2">IF(D11="High",0,IF(D11="Medium",0.05,IF(D11="Low",0.1,IF(D11="Unknown",0.15,""))))</f>
        <v>0</v>
      </c>
      <c r="G11">
        <f t="shared" ref="G11:G18" si="3">E11*(1+F11)</f>
        <v>0</v>
      </c>
      <c r="H11" t="s">
        <v>592</v>
      </c>
      <c r="I11" t="s">
        <v>593</v>
      </c>
      <c r="J11" t="s">
        <v>166</v>
      </c>
      <c r="K11" s="24">
        <f t="shared" ref="K11:K29" si="4">IF(I11="","",MAX(IFERROR(DATEVALUE(TRIM(MID(SUBSTITUTE(I11,";",REPT(" ",50)),1,50))),0),IFERROR(DATEVALUE(TRIM(MID(SUBSTITUTE(I11,";",REPT(" ",50)),51,50))),0),IFERROR(DATEVALUE(TRIM(MID(SUBSTITUTE(I11,";",REPT(" ",50)),101,50))),0),IFERROR(DATEVALUE(TRIM(MID(SUBSTITUTE(I11,";",REPT(" ",50)),151,50))),0),IFERROR(DATEVALUE(TRIM(MID(SUBSTITUTE(I11,";",REPT(" ",50)),201,50))),0),IFERROR(DATEVALUE(TRIM(MID(SUBSTITUTE(I11,";",REPT(" ",50)),251,50))),0),IFERROR(DATEVALUE(TRIM(MID(SUBSTITUTE(I11,";",REPT(" ",50)),301,50))),0),IFERROR(DATEVALUE(TRIM(MID(SUBSTITUTE(I11,";",REPT(" ",50)),351,50))),0),IFERROR(DATEVALUE(TRIM(MID(SUBSTITUTE(I11,";",REPT(" ",50)),401,50))),0),IFERROR(DATEVALUE(TRIM(MID(SUBSTITUTE(I11,";",REPT(" ",50)),451,50))),0)))</f>
        <v>45413</v>
      </c>
      <c r="L11" s="24">
        <f t="shared" ref="L11:L18" ca="1" si="5">IF(K11="","",TODAY()-K11)</f>
        <v>591</v>
      </c>
      <c r="M11" t="s">
        <v>167</v>
      </c>
      <c r="N11">
        <f t="shared" ref="N11:N19" ca="1" si="6">IF(M11="","",IF(L11="",INDEX($F$69:$F$72,MATCH(M11,$C$69:$C$72,0)),IF(L11&lt;=INDEX($D$69:$D$72,MATCH(M11,$C$69:$C$72,0)),0,IF(L11&lt;=INDEX($E$69:$E$72,MATCH(M11,$C$69:$C$72,0)),INDEX($F$69:$F$72,MATCH(M11,$C$69:$C$72,0)),INDEX($G$69:$G$72,MATCH(M11,$C$69:$C$72,0))))))</f>
        <v>0</v>
      </c>
      <c r="O11">
        <f t="shared" ref="O11:O18" ca="1" si="7">G11+N11</f>
        <v>0</v>
      </c>
      <c r="P11" t="str">
        <f>IF(C11="Yes","Review Required","No Review")</f>
        <v>No Review</v>
      </c>
      <c r="Q11" t="s">
        <v>594</v>
      </c>
      <c r="R11" t="s">
        <v>595</v>
      </c>
    </row>
    <row r="12" spans="1:19" x14ac:dyDescent="0.2">
      <c r="A12" t="s">
        <v>247</v>
      </c>
      <c r="B12" t="s">
        <v>596</v>
      </c>
      <c r="C12" t="s">
        <v>163</v>
      </c>
      <c r="D12" t="s">
        <v>197</v>
      </c>
      <c r="E12">
        <f>IF(C12="High",20,IF(C12="Moderate",10,IF(C12="Low",0,IF(C12="None",0,IF(C12="Unknown",10,"")))))</f>
        <v>20</v>
      </c>
      <c r="F12">
        <f t="shared" si="2"/>
        <v>0.05</v>
      </c>
      <c r="G12">
        <f t="shared" si="3"/>
        <v>21</v>
      </c>
      <c r="H12" t="s">
        <v>597</v>
      </c>
      <c r="I12" t="s">
        <v>598</v>
      </c>
      <c r="J12" t="s">
        <v>176</v>
      </c>
      <c r="K12" s="24">
        <f t="shared" si="4"/>
        <v>45976</v>
      </c>
      <c r="L12" s="24">
        <f t="shared" ca="1" si="5"/>
        <v>28</v>
      </c>
      <c r="M12" t="s">
        <v>167</v>
      </c>
      <c r="N12">
        <f t="shared" ca="1" si="6"/>
        <v>0</v>
      </c>
      <c r="O12">
        <f t="shared" ca="1" si="7"/>
        <v>21</v>
      </c>
      <c r="P12" t="s">
        <v>168</v>
      </c>
      <c r="Q12" t="s">
        <v>599</v>
      </c>
      <c r="R12" t="s">
        <v>600</v>
      </c>
    </row>
    <row r="13" spans="1:19" x14ac:dyDescent="0.2">
      <c r="A13" t="s">
        <v>252</v>
      </c>
      <c r="B13" t="s">
        <v>601</v>
      </c>
      <c r="C13" t="s">
        <v>259</v>
      </c>
      <c r="D13" t="s">
        <v>163</v>
      </c>
      <c r="E13">
        <f>IF(C13="Yes",20,IF(C13="Conditional",10,IF(C13="No",0,IF(C13="Unknown",10,""))))</f>
        <v>0</v>
      </c>
      <c r="F13">
        <f t="shared" si="2"/>
        <v>0</v>
      </c>
      <c r="G13">
        <f t="shared" si="3"/>
        <v>0</v>
      </c>
      <c r="H13" t="s">
        <v>602</v>
      </c>
      <c r="I13" t="s">
        <v>603</v>
      </c>
      <c r="J13" t="s">
        <v>166</v>
      </c>
      <c r="K13" s="24">
        <f t="shared" si="4"/>
        <v>45078</v>
      </c>
      <c r="L13" s="24">
        <f t="shared" ca="1" si="5"/>
        <v>926</v>
      </c>
      <c r="M13" t="s">
        <v>167</v>
      </c>
      <c r="N13">
        <f t="shared" ca="1" si="6"/>
        <v>0</v>
      </c>
      <c r="O13">
        <f t="shared" ca="1" si="7"/>
        <v>0</v>
      </c>
      <c r="P13" t="str">
        <f>IF(C13="Yes","Review Required",IF(C13="Conditional","No Review","No Review"))</f>
        <v>No Review</v>
      </c>
      <c r="Q13" t="s">
        <v>604</v>
      </c>
      <c r="R13" t="s">
        <v>605</v>
      </c>
    </row>
    <row r="14" spans="1:19" x14ac:dyDescent="0.2">
      <c r="A14" t="s">
        <v>257</v>
      </c>
      <c r="B14" t="s">
        <v>606</v>
      </c>
      <c r="C14" t="s">
        <v>607</v>
      </c>
      <c r="D14" t="s">
        <v>163</v>
      </c>
      <c r="E14">
        <f>IF(C14="None",0,IF(C14="Some",10,IF(C14="Extensive",20,IF(C14="Unknown",10,""))))</f>
        <v>10</v>
      </c>
      <c r="F14">
        <f t="shared" si="2"/>
        <v>0</v>
      </c>
      <c r="G14">
        <f t="shared" si="3"/>
        <v>10</v>
      </c>
      <c r="H14" t="s">
        <v>608</v>
      </c>
      <c r="I14" t="s">
        <v>609</v>
      </c>
      <c r="J14" t="s">
        <v>166</v>
      </c>
      <c r="K14" s="24">
        <f t="shared" si="4"/>
        <v>45707</v>
      </c>
      <c r="L14" s="24">
        <f t="shared" ca="1" si="5"/>
        <v>297</v>
      </c>
      <c r="M14" t="s">
        <v>184</v>
      </c>
      <c r="N14">
        <f t="shared" ca="1" si="6"/>
        <v>3</v>
      </c>
      <c r="O14">
        <f t="shared" ca="1" si="7"/>
        <v>13</v>
      </c>
      <c r="P14" t="s">
        <v>168</v>
      </c>
      <c r="R14" t="s">
        <v>610</v>
      </c>
    </row>
    <row r="15" spans="1:19" x14ac:dyDescent="0.2">
      <c r="A15" t="s">
        <v>263</v>
      </c>
      <c r="B15" t="s">
        <v>611</v>
      </c>
      <c r="C15" t="s">
        <v>259</v>
      </c>
      <c r="D15" t="s">
        <v>197</v>
      </c>
      <c r="E15">
        <f>IF(C15="Enforcement",20,IF(C15="Soft-Guidance",10,IF(C15="No",0,IF(C15="Unknown",10,""))))</f>
        <v>0</v>
      </c>
      <c r="F15">
        <f t="shared" si="2"/>
        <v>0.05</v>
      </c>
      <c r="G15">
        <f t="shared" si="3"/>
        <v>0</v>
      </c>
      <c r="H15" t="s">
        <v>612</v>
      </c>
      <c r="I15" t="s">
        <v>613</v>
      </c>
      <c r="J15" t="s">
        <v>166</v>
      </c>
      <c r="K15" s="24">
        <f t="shared" si="4"/>
        <v>46001</v>
      </c>
      <c r="L15" s="24">
        <f t="shared" ca="1" si="5"/>
        <v>3</v>
      </c>
      <c r="M15" t="s">
        <v>273</v>
      </c>
      <c r="N15">
        <f t="shared" ca="1" si="6"/>
        <v>0</v>
      </c>
      <c r="O15">
        <f t="shared" ca="1" si="7"/>
        <v>0</v>
      </c>
      <c r="P15" t="str">
        <f>IF(C15="Enforcement","Review Required","No Review")</f>
        <v>No Review</v>
      </c>
      <c r="Q15" t="s">
        <v>614</v>
      </c>
      <c r="R15" t="s">
        <v>615</v>
      </c>
    </row>
    <row r="16" spans="1:19" x14ac:dyDescent="0.2">
      <c r="A16" t="s">
        <v>616</v>
      </c>
      <c r="B16" t="s">
        <v>617</v>
      </c>
      <c r="C16" t="s">
        <v>259</v>
      </c>
      <c r="D16" t="s">
        <v>197</v>
      </c>
      <c r="E16">
        <f>IF(C16="Yes",20,IF(C16="Implied",10,IF(C16="No",0,IF(C16="Unknown",10,""))))</f>
        <v>0</v>
      </c>
      <c r="F16">
        <f t="shared" si="2"/>
        <v>0.05</v>
      </c>
      <c r="G16">
        <f t="shared" si="3"/>
        <v>0</v>
      </c>
      <c r="H16" t="s">
        <v>618</v>
      </c>
      <c r="I16" t="s">
        <v>619</v>
      </c>
      <c r="J16" t="s">
        <v>166</v>
      </c>
      <c r="K16" s="24">
        <f t="shared" si="4"/>
        <v>45971</v>
      </c>
      <c r="L16" s="24">
        <f t="shared" ca="1" si="5"/>
        <v>33</v>
      </c>
      <c r="M16" t="s">
        <v>184</v>
      </c>
      <c r="N16">
        <f t="shared" ca="1" si="6"/>
        <v>0</v>
      </c>
      <c r="O16">
        <f t="shared" ca="1" si="7"/>
        <v>0</v>
      </c>
      <c r="P16" t="s">
        <v>168</v>
      </c>
      <c r="R16" t="s">
        <v>620</v>
      </c>
    </row>
    <row r="17" spans="1:18" x14ac:dyDescent="0.2">
      <c r="A17" t="s">
        <v>621</v>
      </c>
      <c r="B17" t="s">
        <v>622</v>
      </c>
      <c r="C17" t="s">
        <v>623</v>
      </c>
      <c r="D17" t="s">
        <v>197</v>
      </c>
      <c r="E17">
        <f>IF(C17="Weak",20,IF(C17="Partial",10,IF(C17="Strong",0,IF(C17="Unknown",10,""))))</f>
        <v>0</v>
      </c>
      <c r="F17">
        <f t="shared" si="2"/>
        <v>0.05</v>
      </c>
      <c r="G17">
        <f t="shared" si="3"/>
        <v>0</v>
      </c>
      <c r="H17" t="s">
        <v>624</v>
      </c>
      <c r="I17" t="s">
        <v>625</v>
      </c>
      <c r="J17" t="s">
        <v>176</v>
      </c>
      <c r="K17" s="24">
        <f t="shared" si="4"/>
        <v>45969</v>
      </c>
      <c r="L17" s="24">
        <f t="shared" ca="1" si="5"/>
        <v>35</v>
      </c>
      <c r="M17" t="s">
        <v>167</v>
      </c>
      <c r="N17">
        <f t="shared" ca="1" si="6"/>
        <v>0</v>
      </c>
      <c r="O17">
        <f t="shared" ca="1" si="7"/>
        <v>0</v>
      </c>
      <c r="P17" t="s">
        <v>168</v>
      </c>
      <c r="R17" t="s">
        <v>626</v>
      </c>
    </row>
    <row r="18" spans="1:18" x14ac:dyDescent="0.2">
      <c r="A18" t="s">
        <v>627</v>
      </c>
      <c r="B18" t="s">
        <v>628</v>
      </c>
      <c r="C18" t="s">
        <v>629</v>
      </c>
      <c r="D18" t="s">
        <v>163</v>
      </c>
      <c r="E18">
        <v>0</v>
      </c>
      <c r="F18">
        <f t="shared" si="2"/>
        <v>0</v>
      </c>
      <c r="G18">
        <f t="shared" si="3"/>
        <v>0</v>
      </c>
      <c r="H18" t="s">
        <v>630</v>
      </c>
      <c r="I18" t="s">
        <v>631</v>
      </c>
      <c r="J18" t="s">
        <v>166</v>
      </c>
      <c r="K18" s="24">
        <f t="shared" si="4"/>
        <v>45611</v>
      </c>
      <c r="L18" s="24">
        <f t="shared" ca="1" si="5"/>
        <v>393</v>
      </c>
      <c r="M18" t="s">
        <v>167</v>
      </c>
      <c r="N18">
        <f t="shared" ca="1" si="6"/>
        <v>0</v>
      </c>
      <c r="O18">
        <f t="shared" ca="1" si="7"/>
        <v>0</v>
      </c>
      <c r="P18" t="s">
        <v>168</v>
      </c>
      <c r="R18" t="s">
        <v>632</v>
      </c>
    </row>
    <row r="19" spans="1:18" x14ac:dyDescent="0.2">
      <c r="A19" s="4"/>
      <c r="B19" s="5" t="s">
        <v>633</v>
      </c>
      <c r="C19" s="4"/>
      <c r="D19" s="4"/>
      <c r="E19" s="4"/>
      <c r="F19" s="4"/>
      <c r="G19" s="4"/>
      <c r="H19" s="4"/>
      <c r="I19" s="4"/>
      <c r="J19" s="4"/>
      <c r="K19" s="23" t="str">
        <f t="shared" si="4"/>
        <v/>
      </c>
      <c r="L19" s="23"/>
      <c r="M19" s="4"/>
      <c r="N19" s="4" t="str">
        <f t="shared" si="6"/>
        <v/>
      </c>
      <c r="O19" s="4"/>
      <c r="P19" s="4"/>
      <c r="Q19" s="4"/>
      <c r="R19" s="4"/>
    </row>
    <row r="20" spans="1:18" x14ac:dyDescent="0.2">
      <c r="A20" s="3"/>
      <c r="B20" s="44"/>
      <c r="C20" s="45"/>
      <c r="D20" s="45"/>
      <c r="E20" s="3"/>
      <c r="F20" s="3"/>
      <c r="G20" s="3"/>
      <c r="H20" s="3"/>
      <c r="I20" s="3"/>
      <c r="J20" s="3"/>
      <c r="K20" s="25" t="str">
        <f t="shared" si="4"/>
        <v/>
      </c>
      <c r="L20" s="25"/>
      <c r="M20" s="3"/>
      <c r="N20" s="3"/>
      <c r="O20" s="3"/>
      <c r="P20" s="3"/>
      <c r="Q20" s="3"/>
      <c r="R20" s="3"/>
    </row>
    <row r="21" spans="1:18" x14ac:dyDescent="0.2">
      <c r="A21" t="s">
        <v>634</v>
      </c>
      <c r="B21" t="s">
        <v>635</v>
      </c>
      <c r="C21" t="s">
        <v>319</v>
      </c>
      <c r="D21" t="s">
        <v>197</v>
      </c>
      <c r="E21">
        <f>IF(C21="DAO w/ quorum &amp; timelock",0,IF(C21="Multisig (≥M-of-N) w/ timelock",0,IF(C21="Multisig without timelock",10,IF(C21="Single key",20,IF(C21="Unknown",10,"")))))</f>
        <v>10</v>
      </c>
      <c r="F21">
        <f t="shared" ref="F21:F28" si="8">IF(D21="High",0,IF(D21="Medium",0.05,IF(D21="Low",0.1,IF(D21="Unknown",0.15,""))))</f>
        <v>0.05</v>
      </c>
      <c r="G21">
        <f t="shared" ref="G21:G28" si="9">E21*(1+F21)</f>
        <v>10.5</v>
      </c>
      <c r="H21" t="s">
        <v>636</v>
      </c>
      <c r="I21" t="s">
        <v>637</v>
      </c>
      <c r="J21" t="s">
        <v>176</v>
      </c>
      <c r="K21" s="24">
        <f t="shared" si="4"/>
        <v>45959</v>
      </c>
      <c r="L21" s="24">
        <f t="shared" ref="L21:L28" ca="1" si="10">IF(K21="","",TODAY()-K21)</f>
        <v>45</v>
      </c>
      <c r="M21" t="s">
        <v>273</v>
      </c>
      <c r="N21">
        <f t="shared" ref="N21:N29" ca="1" si="11">IF(M21="","",IF(L21="",INDEX($F$69:$F$72,MATCH(M21,$C$69:$C$72,0)),IF(L21&lt;=INDEX($D$69:$D$72,MATCH(M21,$C$69:$C$72,0)),0,IF(L21&lt;=INDEX($E$69:$E$72,MATCH(M21,$C$69:$C$72,0)),INDEX($F$69:$F$72,MATCH(M21,$C$69:$C$72,0)),INDEX($G$69:$G$72,MATCH(M21,$C$69:$C$72,0))))))</f>
        <v>0</v>
      </c>
      <c r="O21">
        <f t="shared" ref="O21:O28" ca="1" si="12">G21+N21</f>
        <v>10.5</v>
      </c>
      <c r="P21" t="str">
        <f>IF(C21="Single key","Review Required","No Review")</f>
        <v>No Review</v>
      </c>
      <c r="Q21" t="s">
        <v>638</v>
      </c>
      <c r="R21" t="s">
        <v>639</v>
      </c>
    </row>
    <row r="22" spans="1:18" x14ac:dyDescent="0.2">
      <c r="A22" t="s">
        <v>640</v>
      </c>
      <c r="B22" t="s">
        <v>641</v>
      </c>
      <c r="C22" t="s">
        <v>259</v>
      </c>
      <c r="D22" t="s">
        <v>197</v>
      </c>
      <c r="E22">
        <f>IF(C22="Yes",0,IF(C22="Partial",10,IF(C22="No",20,IF(C22="Unknown",10,""))))</f>
        <v>20</v>
      </c>
      <c r="F22">
        <f t="shared" si="8"/>
        <v>0.05</v>
      </c>
      <c r="G22">
        <f t="shared" si="9"/>
        <v>21</v>
      </c>
      <c r="H22" t="s">
        <v>642</v>
      </c>
      <c r="I22" t="s">
        <v>643</v>
      </c>
      <c r="J22" t="s">
        <v>166</v>
      </c>
      <c r="K22" s="24">
        <f t="shared" si="4"/>
        <v>45951</v>
      </c>
      <c r="L22" s="24">
        <f t="shared" ca="1" si="10"/>
        <v>53</v>
      </c>
      <c r="M22" t="s">
        <v>273</v>
      </c>
      <c r="N22">
        <f t="shared" ca="1" si="11"/>
        <v>0</v>
      </c>
      <c r="O22">
        <f t="shared" ca="1" si="12"/>
        <v>21</v>
      </c>
      <c r="P22" t="s">
        <v>168</v>
      </c>
      <c r="R22" t="s">
        <v>644</v>
      </c>
    </row>
    <row r="23" spans="1:18" x14ac:dyDescent="0.2">
      <c r="A23" t="s">
        <v>645</v>
      </c>
      <c r="B23" t="s">
        <v>646</v>
      </c>
      <c r="C23" t="s">
        <v>319</v>
      </c>
      <c r="D23" t="s">
        <v>330</v>
      </c>
      <c r="E23">
        <f>IF(C23="Strong",0,IF(C23="Partial",10,IF(C23="Weak",20,IF(C23="Unknown",10,""))))</f>
        <v>10</v>
      </c>
      <c r="F23">
        <f t="shared" si="8"/>
        <v>0.1</v>
      </c>
      <c r="G23">
        <f t="shared" si="9"/>
        <v>11</v>
      </c>
      <c r="H23" t="s">
        <v>647</v>
      </c>
      <c r="I23" t="s">
        <v>648</v>
      </c>
      <c r="J23" t="s">
        <v>166</v>
      </c>
      <c r="K23" s="24">
        <f t="shared" si="4"/>
        <v>45911</v>
      </c>
      <c r="L23" s="24">
        <f t="shared" ca="1" si="10"/>
        <v>93</v>
      </c>
      <c r="M23" t="s">
        <v>273</v>
      </c>
      <c r="N23">
        <f t="shared" ca="1" si="11"/>
        <v>5</v>
      </c>
      <c r="O23">
        <f t="shared" ca="1" si="12"/>
        <v>16</v>
      </c>
      <c r="P23" t="s">
        <v>168</v>
      </c>
      <c r="R23" t="s">
        <v>649</v>
      </c>
    </row>
    <row r="24" spans="1:18" x14ac:dyDescent="0.2">
      <c r="A24" t="s">
        <v>650</v>
      </c>
      <c r="B24" t="s">
        <v>651</v>
      </c>
      <c r="C24" t="s">
        <v>181</v>
      </c>
      <c r="D24" t="s">
        <v>197</v>
      </c>
      <c r="E24">
        <f>IF(C24="Good",0,IF(C24="Partial",10,IF(C24="Poor",20,IF(C24="Unknown",10,""))))</f>
        <v>10</v>
      </c>
      <c r="F24">
        <f t="shared" si="8"/>
        <v>0.05</v>
      </c>
      <c r="G24">
        <f t="shared" si="9"/>
        <v>10.5</v>
      </c>
      <c r="H24" t="s">
        <v>652</v>
      </c>
      <c r="I24" t="s">
        <v>653</v>
      </c>
      <c r="J24" t="s">
        <v>166</v>
      </c>
      <c r="K24" s="24">
        <f t="shared" si="4"/>
        <v>45628</v>
      </c>
      <c r="L24" s="24">
        <f t="shared" ca="1" si="10"/>
        <v>376</v>
      </c>
      <c r="M24" t="s">
        <v>184</v>
      </c>
      <c r="N24">
        <f t="shared" ca="1" si="11"/>
        <v>6</v>
      </c>
      <c r="O24">
        <f t="shared" ca="1" si="12"/>
        <v>16.5</v>
      </c>
      <c r="P24" t="s">
        <v>168</v>
      </c>
      <c r="R24" t="s">
        <v>654</v>
      </c>
    </row>
    <row r="25" spans="1:18" x14ac:dyDescent="0.2">
      <c r="A25" t="s">
        <v>655</v>
      </c>
      <c r="B25" t="s">
        <v>656</v>
      </c>
      <c r="C25" t="s">
        <v>259</v>
      </c>
      <c r="D25" t="s">
        <v>197</v>
      </c>
      <c r="E25">
        <f>IF(C25="No",0,IF(C25="Limited",10,IF(C25="Yes",20,IF(C25="Unknown",10,""))))</f>
        <v>0</v>
      </c>
      <c r="F25">
        <f t="shared" si="8"/>
        <v>0.05</v>
      </c>
      <c r="G25">
        <f t="shared" si="9"/>
        <v>0</v>
      </c>
      <c r="H25" t="s">
        <v>657</v>
      </c>
      <c r="I25" t="s">
        <v>658</v>
      </c>
      <c r="J25" t="s">
        <v>176</v>
      </c>
      <c r="K25" s="24">
        <f t="shared" si="4"/>
        <v>45626</v>
      </c>
      <c r="L25" s="24">
        <f t="shared" ca="1" si="10"/>
        <v>378</v>
      </c>
      <c r="M25" t="s">
        <v>273</v>
      </c>
      <c r="N25">
        <f t="shared" ca="1" si="11"/>
        <v>10</v>
      </c>
      <c r="O25">
        <f t="shared" ca="1" si="12"/>
        <v>10</v>
      </c>
      <c r="P25" t="str">
        <f>IF(C25="Yes","Review Required","No Review")</f>
        <v>No Review</v>
      </c>
      <c r="Q25" t="s">
        <v>659</v>
      </c>
      <c r="R25" t="s">
        <v>660</v>
      </c>
    </row>
    <row r="26" spans="1:18" x14ac:dyDescent="0.2">
      <c r="A26" t="s">
        <v>661</v>
      </c>
      <c r="B26" t="s">
        <v>662</v>
      </c>
      <c r="C26" t="s">
        <v>663</v>
      </c>
      <c r="D26" t="s">
        <v>197</v>
      </c>
      <c r="E26">
        <f>IF(C26="Strong",0,IF(C26="Mixed",10,IF(C26="Weak",20,IF(C26="Unknown",10,""))))</f>
        <v>20</v>
      </c>
      <c r="F26">
        <f t="shared" si="8"/>
        <v>0.05</v>
      </c>
      <c r="G26">
        <f t="shared" si="9"/>
        <v>21</v>
      </c>
      <c r="H26" t="s">
        <v>664</v>
      </c>
      <c r="I26" t="s">
        <v>665</v>
      </c>
      <c r="J26" t="s">
        <v>176</v>
      </c>
      <c r="K26" s="24">
        <f t="shared" si="4"/>
        <v>46001</v>
      </c>
      <c r="L26" s="24">
        <f t="shared" ca="1" si="10"/>
        <v>3</v>
      </c>
      <c r="M26" t="s">
        <v>184</v>
      </c>
      <c r="N26">
        <f t="shared" ca="1" si="11"/>
        <v>0</v>
      </c>
      <c r="O26">
        <f t="shared" ca="1" si="12"/>
        <v>21</v>
      </c>
      <c r="P26" t="s">
        <v>168</v>
      </c>
      <c r="R26" t="s">
        <v>666</v>
      </c>
    </row>
    <row r="27" spans="1:18" x14ac:dyDescent="0.2">
      <c r="A27" t="s">
        <v>667</v>
      </c>
      <c r="B27" t="s">
        <v>668</v>
      </c>
      <c r="C27" t="s">
        <v>181</v>
      </c>
      <c r="D27" t="s">
        <v>197</v>
      </c>
      <c r="E27">
        <f>IF(C27="Yes",0,IF(C27="Partial",10,IF(C27="No",20,IF(C27="Unknown",10,""))))</f>
        <v>10</v>
      </c>
      <c r="F27">
        <f t="shared" si="8"/>
        <v>0.05</v>
      </c>
      <c r="G27">
        <f t="shared" si="9"/>
        <v>10.5</v>
      </c>
      <c r="H27" t="s">
        <v>669</v>
      </c>
      <c r="I27" t="s">
        <v>670</v>
      </c>
      <c r="J27" t="s">
        <v>166</v>
      </c>
      <c r="K27" s="24">
        <f t="shared" si="4"/>
        <v>45911</v>
      </c>
      <c r="L27" s="24">
        <f t="shared" ca="1" si="10"/>
        <v>93</v>
      </c>
      <c r="M27" t="s">
        <v>303</v>
      </c>
      <c r="N27">
        <f t="shared" ca="1" si="11"/>
        <v>0</v>
      </c>
      <c r="O27">
        <f t="shared" ca="1" si="12"/>
        <v>10.5</v>
      </c>
      <c r="P27" t="s">
        <v>168</v>
      </c>
      <c r="R27" t="s">
        <v>671</v>
      </c>
    </row>
    <row r="28" spans="1:18" x14ac:dyDescent="0.2">
      <c r="A28" t="s">
        <v>672</v>
      </c>
      <c r="B28" t="s">
        <v>673</v>
      </c>
      <c r="C28" t="s">
        <v>674</v>
      </c>
      <c r="D28" t="s">
        <v>197</v>
      </c>
      <c r="E28">
        <v>0</v>
      </c>
      <c r="F28">
        <f t="shared" si="8"/>
        <v>0.05</v>
      </c>
      <c r="G28">
        <f t="shared" si="9"/>
        <v>0</v>
      </c>
      <c r="H28" t="s">
        <v>675</v>
      </c>
      <c r="I28" t="s">
        <v>676</v>
      </c>
      <c r="J28" t="s">
        <v>176</v>
      </c>
      <c r="K28" s="24">
        <f t="shared" si="4"/>
        <v>45911</v>
      </c>
      <c r="L28" s="24">
        <f t="shared" ca="1" si="10"/>
        <v>93</v>
      </c>
      <c r="M28" t="s">
        <v>303</v>
      </c>
      <c r="N28">
        <f t="shared" ca="1" si="11"/>
        <v>0</v>
      </c>
      <c r="O28">
        <f t="shared" ca="1" si="12"/>
        <v>0</v>
      </c>
      <c r="P28" t="s">
        <v>168</v>
      </c>
      <c r="R28" t="s">
        <v>677</v>
      </c>
    </row>
    <row r="29" spans="1:18" x14ac:dyDescent="0.2">
      <c r="A29" s="4"/>
      <c r="B29" s="5" t="s">
        <v>678</v>
      </c>
      <c r="C29" s="4"/>
      <c r="D29" s="4"/>
      <c r="E29" s="4"/>
      <c r="F29" s="4"/>
      <c r="G29" s="4"/>
      <c r="H29" s="4"/>
      <c r="I29" s="4"/>
      <c r="J29" s="4"/>
      <c r="K29" s="23" t="str">
        <f t="shared" si="4"/>
        <v/>
      </c>
      <c r="L29" s="23"/>
      <c r="M29" s="4"/>
      <c r="N29" s="4" t="str">
        <f t="shared" si="11"/>
        <v/>
      </c>
      <c r="O29" s="4"/>
      <c r="P29" s="4"/>
      <c r="Q29" s="4"/>
      <c r="R29" s="4"/>
    </row>
    <row r="30" spans="1:18" x14ac:dyDescent="0.2">
      <c r="A30" s="3"/>
      <c r="B30" s="44"/>
      <c r="C30" s="45"/>
      <c r="D30" s="45"/>
      <c r="E30" s="45"/>
      <c r="F30" s="45"/>
      <c r="G30" s="45"/>
      <c r="H30" s="45"/>
      <c r="I30" s="45"/>
      <c r="J30" s="45"/>
      <c r="K30" s="46"/>
      <c r="L30" s="46"/>
      <c r="M30" s="45"/>
      <c r="N30" s="45"/>
      <c r="O30" s="45"/>
      <c r="P30" s="45"/>
      <c r="Q30" s="45"/>
      <c r="R30" s="45"/>
    </row>
    <row r="31" spans="1:18" x14ac:dyDescent="0.2">
      <c r="A31" t="s">
        <v>393</v>
      </c>
      <c r="B31" t="s">
        <v>394</v>
      </c>
      <c r="C31" t="s">
        <v>209</v>
      </c>
      <c r="D31" t="s">
        <v>163</v>
      </c>
      <c r="E31">
        <f>IF(C31="Yes",0,IF(C31="Outdated",10,IF(C31="Unclear",10,IF(C31="No",20,""))))</f>
        <v>0</v>
      </c>
      <c r="F31">
        <f t="shared" ref="F31:F38" si="13">IF(D31="High",0,IF(D31="Medium",0.05,IF(D31="Low",0.1,IF(D31="Unknown",0.15,""))))</f>
        <v>0</v>
      </c>
      <c r="G31">
        <f t="shared" ref="G31:G38" si="14">E31*(1+F31)</f>
        <v>0</v>
      </c>
      <c r="H31" t="s">
        <v>679</v>
      </c>
      <c r="J31" t="s">
        <v>166</v>
      </c>
      <c r="K31" s="24" t="str">
        <f t="shared" ref="K31:K39" si="15">IF(I31="","",MAX(IFERROR(DATEVALUE(TRIM(MID(SUBSTITUTE(I31,";",REPT(" ",50)),1,50))),0),IFERROR(DATEVALUE(TRIM(MID(SUBSTITUTE(I31,";",REPT(" ",50)),51,50))),0),IFERROR(DATEVALUE(TRIM(MID(SUBSTITUTE(I31,";",REPT(" ",50)),101,50))),0),IFERROR(DATEVALUE(TRIM(MID(SUBSTITUTE(I31,";",REPT(" ",50)),151,50))),0),IFERROR(DATEVALUE(TRIM(MID(SUBSTITUTE(I31,";",REPT(" ",50)),201,50))),0),IFERROR(DATEVALUE(TRIM(MID(SUBSTITUTE(I31,";",REPT(" ",50)),251,50))),0),IFERROR(DATEVALUE(TRIM(MID(SUBSTITUTE(I31,";",REPT(" ",50)),301,50))),0),IFERROR(DATEVALUE(TRIM(MID(SUBSTITUTE(I31,";",REPT(" ",50)),351,50))),0),IFERROR(DATEVALUE(TRIM(MID(SUBSTITUTE(I31,";",REPT(" ",50)),401,50))),0),IFERROR(DATEVALUE(TRIM(MID(SUBSTITUTE(I31,";",REPT(" ",50)),451,50))),0)))</f>
        <v/>
      </c>
      <c r="L31" s="24" t="str">
        <f t="shared" ref="L31:L38" ca="1" si="16">IF(K31="","",TODAY()-K31)</f>
        <v/>
      </c>
      <c r="M31" t="s">
        <v>303</v>
      </c>
      <c r="N31">
        <f t="shared" ref="N31:N39" ca="1" si="17">IF(M31="","",IF(L31="",INDEX($F$69:$F$72,MATCH(M31,$C$69:$C$72,0)),IF(L31&lt;=INDEX($D$69:$D$72,MATCH(M31,$C$69:$C$72,0)),0,IF(L31&lt;=INDEX($E$69:$E$72,MATCH(M31,$C$69:$C$72,0)),INDEX($F$69:$F$72,MATCH(M31,$C$69:$C$72,0)),INDEX($G$69:$G$72,MATCH(M31,$C$69:$C$72,0))))))</f>
        <v>2</v>
      </c>
      <c r="O31">
        <f t="shared" ref="O31:O38" ca="1" si="18">G31+N31</f>
        <v>2</v>
      </c>
      <c r="P31" t="str">
        <f>IF(C31="No","Review","No Review")</f>
        <v>No Review</v>
      </c>
      <c r="Q31" t="s">
        <v>397</v>
      </c>
      <c r="R31" t="s">
        <v>680</v>
      </c>
    </row>
    <row r="32" spans="1:18" x14ac:dyDescent="0.2">
      <c r="A32" t="s">
        <v>399</v>
      </c>
      <c r="B32" t="s">
        <v>400</v>
      </c>
      <c r="C32" t="s">
        <v>209</v>
      </c>
      <c r="D32" t="s">
        <v>163</v>
      </c>
      <c r="E32">
        <f>IF(C32="Yes",0,IF(C32="Partially",10,IF(C32="No",20,"")))</f>
        <v>0</v>
      </c>
      <c r="F32">
        <f t="shared" si="13"/>
        <v>0</v>
      </c>
      <c r="G32">
        <f t="shared" si="14"/>
        <v>0</v>
      </c>
      <c r="H32" t="s">
        <v>681</v>
      </c>
      <c r="I32" t="s">
        <v>682</v>
      </c>
      <c r="J32" t="s">
        <v>176</v>
      </c>
      <c r="K32" s="24">
        <f t="shared" si="15"/>
        <v>45611</v>
      </c>
      <c r="L32" s="24">
        <f t="shared" ca="1" si="16"/>
        <v>393</v>
      </c>
      <c r="M32" t="s">
        <v>167</v>
      </c>
      <c r="N32">
        <f t="shared" ca="1" si="17"/>
        <v>0</v>
      </c>
      <c r="O32">
        <f t="shared" ca="1" si="18"/>
        <v>0</v>
      </c>
      <c r="P32" t="s">
        <v>168</v>
      </c>
      <c r="R32" t="s">
        <v>683</v>
      </c>
    </row>
    <row r="33" spans="1:18" x14ac:dyDescent="0.2">
      <c r="A33" t="s">
        <v>404</v>
      </c>
      <c r="B33" t="s">
        <v>405</v>
      </c>
      <c r="C33" t="s">
        <v>209</v>
      </c>
      <c r="D33" t="s">
        <v>163</v>
      </c>
      <c r="E33">
        <f>IF(C33="Yes",0,IF(C33="Partially",10,IF(C33="No",20,"")))</f>
        <v>0</v>
      </c>
      <c r="F33">
        <f t="shared" si="13"/>
        <v>0</v>
      </c>
      <c r="G33">
        <f t="shared" si="14"/>
        <v>0</v>
      </c>
      <c r="H33" t="s">
        <v>684</v>
      </c>
      <c r="I33" t="s">
        <v>685</v>
      </c>
      <c r="J33" t="s">
        <v>166</v>
      </c>
      <c r="K33" s="24">
        <f t="shared" si="15"/>
        <v>45231</v>
      </c>
      <c r="L33" s="24">
        <f t="shared" ca="1" si="16"/>
        <v>773</v>
      </c>
      <c r="M33" t="s">
        <v>167</v>
      </c>
      <c r="N33">
        <f t="shared" ca="1" si="17"/>
        <v>0</v>
      </c>
      <c r="O33">
        <f t="shared" ca="1" si="18"/>
        <v>0</v>
      </c>
      <c r="P33" t="s">
        <v>168</v>
      </c>
      <c r="R33" t="s">
        <v>686</v>
      </c>
    </row>
    <row r="34" spans="1:18" x14ac:dyDescent="0.2">
      <c r="A34" t="s">
        <v>409</v>
      </c>
      <c r="B34" t="s">
        <v>410</v>
      </c>
      <c r="C34" t="s">
        <v>209</v>
      </c>
      <c r="D34" t="s">
        <v>163</v>
      </c>
      <c r="E34">
        <f>IF(C34="Yes",0,IF(C34="Partial",10,IF(C34="Unclear",10,IF(C34="No",20,""))))</f>
        <v>0</v>
      </c>
      <c r="F34">
        <f t="shared" si="13"/>
        <v>0</v>
      </c>
      <c r="G34">
        <f t="shared" si="14"/>
        <v>0</v>
      </c>
      <c r="H34" t="s">
        <v>687</v>
      </c>
      <c r="I34" t="s">
        <v>688</v>
      </c>
      <c r="J34" t="s">
        <v>176</v>
      </c>
      <c r="K34" s="24">
        <f t="shared" si="15"/>
        <v>44515</v>
      </c>
      <c r="L34" s="24">
        <f t="shared" ca="1" si="16"/>
        <v>1489</v>
      </c>
      <c r="M34" t="s">
        <v>167</v>
      </c>
      <c r="N34">
        <f t="shared" ca="1" si="17"/>
        <v>0</v>
      </c>
      <c r="O34">
        <f t="shared" ca="1" si="18"/>
        <v>0</v>
      </c>
      <c r="P34" t="str">
        <f>IF(C34="No","Review","No Review")</f>
        <v>No Review</v>
      </c>
      <c r="Q34" t="s">
        <v>413</v>
      </c>
      <c r="R34" t="s">
        <v>689</v>
      </c>
    </row>
    <row r="35" spans="1:18" x14ac:dyDescent="0.2">
      <c r="A35" t="s">
        <v>415</v>
      </c>
      <c r="B35" t="s">
        <v>416</v>
      </c>
      <c r="C35" t="s">
        <v>209</v>
      </c>
      <c r="D35" t="s">
        <v>163</v>
      </c>
      <c r="E35">
        <f>IF(C35="Yes",0,IF(C35="Minimal",10,IF(C35="Missing",20,IF(C35="No",20,""))))</f>
        <v>0</v>
      </c>
      <c r="F35">
        <f t="shared" si="13"/>
        <v>0</v>
      </c>
      <c r="G35">
        <f t="shared" si="14"/>
        <v>0</v>
      </c>
      <c r="H35" t="s">
        <v>690</v>
      </c>
      <c r="I35" t="s">
        <v>691</v>
      </c>
      <c r="J35" t="s">
        <v>176</v>
      </c>
      <c r="K35" s="24">
        <f t="shared" si="15"/>
        <v>45992</v>
      </c>
      <c r="L35" s="24">
        <f t="shared" ca="1" si="16"/>
        <v>12</v>
      </c>
      <c r="M35" t="s">
        <v>167</v>
      </c>
      <c r="N35">
        <f t="shared" ca="1" si="17"/>
        <v>0</v>
      </c>
      <c r="O35">
        <f t="shared" ca="1" si="18"/>
        <v>0</v>
      </c>
      <c r="P35" t="s">
        <v>168</v>
      </c>
      <c r="R35" t="s">
        <v>692</v>
      </c>
    </row>
    <row r="36" spans="1:18" x14ac:dyDescent="0.2">
      <c r="A36" t="s">
        <v>420</v>
      </c>
      <c r="B36" t="s">
        <v>421</v>
      </c>
      <c r="C36" t="s">
        <v>209</v>
      </c>
      <c r="D36" t="s">
        <v>163</v>
      </c>
      <c r="E36">
        <f>IF(C36="Yes",0,IF(C36="Limited",10,IF(C36="Unclear",10,IF(C36="No",20,""))))</f>
        <v>0</v>
      </c>
      <c r="F36">
        <f t="shared" si="13"/>
        <v>0</v>
      </c>
      <c r="G36">
        <f t="shared" si="14"/>
        <v>0</v>
      </c>
      <c r="H36" t="s">
        <v>693</v>
      </c>
      <c r="I36" t="s">
        <v>694</v>
      </c>
      <c r="J36" t="s">
        <v>176</v>
      </c>
      <c r="K36" s="24">
        <f t="shared" si="15"/>
        <v>46001</v>
      </c>
      <c r="L36" s="24">
        <f t="shared" ca="1" si="16"/>
        <v>3</v>
      </c>
      <c r="M36" t="s">
        <v>167</v>
      </c>
      <c r="N36">
        <f t="shared" ca="1" si="17"/>
        <v>0</v>
      </c>
      <c r="O36">
        <f t="shared" ca="1" si="18"/>
        <v>0</v>
      </c>
      <c r="P36" t="s">
        <v>168</v>
      </c>
      <c r="R36" t="s">
        <v>695</v>
      </c>
    </row>
    <row r="37" spans="1:18" x14ac:dyDescent="0.2">
      <c r="A37" t="s">
        <v>425</v>
      </c>
      <c r="B37" t="s">
        <v>426</v>
      </c>
      <c r="C37" t="s">
        <v>209</v>
      </c>
      <c r="D37" t="s">
        <v>197</v>
      </c>
      <c r="E37">
        <f>IF(C37="Yes",0,IF(C37="Unclear",10,IF(C37="No",20,"")))</f>
        <v>0</v>
      </c>
      <c r="F37">
        <f t="shared" si="13"/>
        <v>0.05</v>
      </c>
      <c r="G37">
        <f t="shared" si="14"/>
        <v>0</v>
      </c>
      <c r="H37" t="s">
        <v>696</v>
      </c>
      <c r="I37" t="s">
        <v>697</v>
      </c>
      <c r="J37" t="s">
        <v>166</v>
      </c>
      <c r="K37" s="24">
        <f t="shared" si="15"/>
        <v>44012</v>
      </c>
      <c r="L37" s="24">
        <f t="shared" ca="1" si="16"/>
        <v>1992</v>
      </c>
      <c r="M37" t="s">
        <v>167</v>
      </c>
      <c r="N37">
        <f t="shared" ca="1" si="17"/>
        <v>0</v>
      </c>
      <c r="O37">
        <f t="shared" ca="1" si="18"/>
        <v>0</v>
      </c>
      <c r="P37" t="s">
        <v>168</v>
      </c>
      <c r="R37" t="s">
        <v>698</v>
      </c>
    </row>
    <row r="38" spans="1:18" x14ac:dyDescent="0.2">
      <c r="A38" t="s">
        <v>430</v>
      </c>
      <c r="B38" t="s">
        <v>431</v>
      </c>
      <c r="C38" t="s">
        <v>699</v>
      </c>
      <c r="D38" t="s">
        <v>197</v>
      </c>
      <c r="E38">
        <f>0</f>
        <v>0</v>
      </c>
      <c r="F38">
        <f t="shared" si="13"/>
        <v>0.05</v>
      </c>
      <c r="G38">
        <f t="shared" si="14"/>
        <v>0</v>
      </c>
      <c r="H38" t="s">
        <v>700</v>
      </c>
      <c r="I38" t="s">
        <v>701</v>
      </c>
      <c r="J38" t="s">
        <v>166</v>
      </c>
      <c r="K38" s="24">
        <f t="shared" si="15"/>
        <v>45627</v>
      </c>
      <c r="L38" s="24">
        <f t="shared" ca="1" si="16"/>
        <v>377</v>
      </c>
      <c r="M38" t="s">
        <v>167</v>
      </c>
      <c r="N38">
        <f t="shared" ca="1" si="17"/>
        <v>0</v>
      </c>
      <c r="O38">
        <f t="shared" ca="1" si="18"/>
        <v>0</v>
      </c>
      <c r="P38" t="s">
        <v>168</v>
      </c>
      <c r="Q38" t="s">
        <v>435</v>
      </c>
      <c r="R38" t="s">
        <v>702</v>
      </c>
    </row>
    <row r="39" spans="1:18" x14ac:dyDescent="0.2">
      <c r="A39" s="4"/>
      <c r="B39" s="5" t="s">
        <v>703</v>
      </c>
      <c r="C39" s="4"/>
      <c r="D39" s="4"/>
      <c r="E39" s="4"/>
      <c r="F39" s="4"/>
      <c r="G39" s="4"/>
      <c r="H39" s="4"/>
      <c r="I39" s="4"/>
      <c r="J39" s="4"/>
      <c r="K39" s="23" t="str">
        <f t="shared" si="15"/>
        <v/>
      </c>
      <c r="L39" s="23"/>
      <c r="M39" s="4"/>
      <c r="N39" s="4" t="str">
        <f t="shared" si="17"/>
        <v/>
      </c>
      <c r="O39" s="4"/>
      <c r="P39" s="4"/>
      <c r="Q39" s="4"/>
      <c r="R39" s="4"/>
    </row>
    <row r="40" spans="1:18" x14ac:dyDescent="0.2">
      <c r="A40" s="3"/>
      <c r="B40" s="44"/>
      <c r="C40" s="45"/>
      <c r="D40" s="45"/>
      <c r="E40" s="45"/>
      <c r="F40" s="45"/>
      <c r="G40" s="45"/>
      <c r="H40" s="45"/>
      <c r="I40" s="45"/>
      <c r="J40" s="45"/>
      <c r="K40" s="46"/>
      <c r="L40" s="46"/>
      <c r="M40" s="45"/>
      <c r="N40" s="45"/>
      <c r="O40" s="45"/>
      <c r="P40" s="45"/>
      <c r="Q40" s="45"/>
      <c r="R40" s="45"/>
    </row>
    <row r="41" spans="1:18" x14ac:dyDescent="0.2">
      <c r="A41" t="s">
        <v>438</v>
      </c>
      <c r="B41" t="s">
        <v>439</v>
      </c>
      <c r="C41" t="s">
        <v>440</v>
      </c>
      <c r="D41" t="s">
        <v>163</v>
      </c>
      <c r="E41">
        <v>0</v>
      </c>
      <c r="F41">
        <f>IF(D41="High",0,IF(D41="Medium",0.05,IF(D41="Low",0.1,IF(D41="Unknown",0.15,""))))</f>
        <v>0</v>
      </c>
      <c r="G41">
        <f>E41*(1+F41)</f>
        <v>0</v>
      </c>
      <c r="H41" t="s">
        <v>704</v>
      </c>
      <c r="I41" t="s">
        <v>705</v>
      </c>
      <c r="J41" t="s">
        <v>176</v>
      </c>
      <c r="K41" s="24">
        <f>IF(I41="","",MAX(IFERROR(DATEVALUE(TRIM(MID(SUBSTITUTE(I41,";",REPT(" ",50)),1,50))),0),IFERROR(DATEVALUE(TRIM(MID(SUBSTITUTE(I41,";",REPT(" ",50)),51,50))),0),IFERROR(DATEVALUE(TRIM(MID(SUBSTITUTE(I41,";",REPT(" ",50)),101,50))),0),IFERROR(DATEVALUE(TRIM(MID(SUBSTITUTE(I41,";",REPT(" ",50)),151,50))),0),IFERROR(DATEVALUE(TRIM(MID(SUBSTITUTE(I41,";",REPT(" ",50)),201,50))),0),IFERROR(DATEVALUE(TRIM(MID(SUBSTITUTE(I41,";",REPT(" ",50)),251,50))),0),IFERROR(DATEVALUE(TRIM(MID(SUBSTITUTE(I41,";",REPT(" ",50)),301,50))),0),IFERROR(DATEVALUE(TRIM(MID(SUBSTITUTE(I41,";",REPT(" ",50)),351,50))),0),IFERROR(DATEVALUE(TRIM(MID(SUBSTITUTE(I41,";",REPT(" ",50)),401,50))),0),IFERROR(DATEVALUE(TRIM(MID(SUBSTITUTE(I41,";",REPT(" ",50)),451,50))),0)))</f>
        <v>45981</v>
      </c>
      <c r="L41" s="24">
        <f ca="1">IF(K41="","",TODAY()-K41)</f>
        <v>23</v>
      </c>
      <c r="M41" t="s">
        <v>167</v>
      </c>
      <c r="N41">
        <f ca="1">IF(M41="","",IF(L41="",INDEX($F$69:$F$72,MATCH(M41,$C$69:$C$72,0)),IF(L41&lt;=INDEX($D$69:$D$72,MATCH(M41,$C$69:$C$72,0)),0,IF(L41&lt;=INDEX($E$69:$E$72,MATCH(M41,$C$69:$C$72,0)),INDEX($F$69:$F$72,MATCH(M41,$C$69:$C$72,0)),INDEX($G$69:$G$72,MATCH(M41,$C$69:$C$72,0))))))</f>
        <v>0</v>
      </c>
      <c r="O41">
        <f ca="1">G41+N41</f>
        <v>0</v>
      </c>
      <c r="P41" t="s">
        <v>168</v>
      </c>
      <c r="Q41" t="s">
        <v>443</v>
      </c>
      <c r="R41" t="s">
        <v>706</v>
      </c>
    </row>
    <row r="42" spans="1:18" x14ac:dyDescent="0.2">
      <c r="A42" t="s">
        <v>445</v>
      </c>
      <c r="B42" t="s">
        <v>446</v>
      </c>
      <c r="C42" t="s">
        <v>447</v>
      </c>
      <c r="D42" t="s">
        <v>163</v>
      </c>
      <c r="E42">
        <f>IF(C42="Fixed",0,IF(C42="Capped",0,IF(C42="Inflationary",10,IF(C42="Unknown",20,""))))</f>
        <v>0</v>
      </c>
      <c r="F42">
        <f>IF(D42="High",0,IF(D42="Medium",0.05,IF(D42="Low",0.1,IF(D42="Unknown",0.15,""))))</f>
        <v>0</v>
      </c>
      <c r="G42">
        <f>E42*(1+F42)</f>
        <v>0</v>
      </c>
      <c r="H42" t="s">
        <v>707</v>
      </c>
      <c r="I42" t="s">
        <v>708</v>
      </c>
      <c r="J42" t="s">
        <v>176</v>
      </c>
      <c r="K42" s="24">
        <f>IF(I42="","",MAX(IFERROR(DATEVALUE(TRIM(MID(SUBSTITUTE(I42,";",REPT(" ",50)),1,50))),0),IFERROR(DATEVALUE(TRIM(MID(SUBSTITUTE(I42,";",REPT(" ",50)),51,50))),0),IFERROR(DATEVALUE(TRIM(MID(SUBSTITUTE(I42,";",REPT(" ",50)),101,50))),0),IFERROR(DATEVALUE(TRIM(MID(SUBSTITUTE(I42,";",REPT(" ",50)),151,50))),0),IFERROR(DATEVALUE(TRIM(MID(SUBSTITUTE(I42,";",REPT(" ",50)),201,50))),0),IFERROR(DATEVALUE(TRIM(MID(SUBSTITUTE(I42,";",REPT(" ",50)),251,50))),0),IFERROR(DATEVALUE(TRIM(MID(SUBSTITUTE(I42,";",REPT(" ",50)),301,50))),0),IFERROR(DATEVALUE(TRIM(MID(SUBSTITUTE(I42,";",REPT(" ",50)),351,50))),0),IFERROR(DATEVALUE(TRIM(MID(SUBSTITUTE(I42,";",REPT(" ",50)),401,50))),0),IFERROR(DATEVALUE(TRIM(MID(SUBSTITUTE(I42,";",REPT(" ",50)),451,50))),0)))</f>
        <v>45931</v>
      </c>
      <c r="L42" s="24">
        <f ca="1">IF(K42="","",TODAY()-K42)</f>
        <v>73</v>
      </c>
      <c r="M42" t="s">
        <v>167</v>
      </c>
      <c r="N42">
        <f ca="1">IF(M42="","",IF(L42="",INDEX($F$69:$F$72,MATCH(M42,$C$69:$C$72,0)),IF(L42&lt;=INDEX($D$69:$D$72,MATCH(M42,$C$69:$C$72,0)),0,IF(L42&lt;=INDEX($E$69:$E$72,MATCH(M42,$C$69:$C$72,0)),INDEX($F$69:$F$72,MATCH(M42,$C$69:$C$72,0)),INDEX($G$69:$G$72,MATCH(M42,$C$69:$C$72,0))))))</f>
        <v>0</v>
      </c>
      <c r="O42">
        <f ca="1">G42+N42</f>
        <v>0</v>
      </c>
      <c r="P42" t="s">
        <v>168</v>
      </c>
      <c r="R42" t="s">
        <v>709</v>
      </c>
    </row>
    <row r="43" spans="1:18" x14ac:dyDescent="0.2">
      <c r="A43" t="s">
        <v>451</v>
      </c>
      <c r="B43" t="s">
        <v>452</v>
      </c>
      <c r="C43" t="s">
        <v>209</v>
      </c>
      <c r="D43" t="s">
        <v>163</v>
      </c>
      <c r="E43">
        <f>IF(C43="Yes",0,IF(C43="Partial",10,IF(C43="No",20,"")))</f>
        <v>0</v>
      </c>
      <c r="F43">
        <f>IF(D43="High",0,IF(D43="Medium",0.05,IF(D43="Low",0.1,IF(D43="Unknown",0.15,""))))</f>
        <v>0</v>
      </c>
      <c r="G43">
        <f>E43*(1+F43)</f>
        <v>0</v>
      </c>
      <c r="H43" t="s">
        <v>710</v>
      </c>
      <c r="I43" t="s">
        <v>711</v>
      </c>
      <c r="J43" t="s">
        <v>176</v>
      </c>
      <c r="K43" s="24">
        <f>IF(I43="","",MAX(IFERROR(DATEVALUE(TRIM(MID(SUBSTITUTE(I43,";",REPT(" ",50)),1,50))),0),IFERROR(DATEVALUE(TRIM(MID(SUBSTITUTE(I43,";",REPT(" ",50)),51,50))),0),IFERROR(DATEVALUE(TRIM(MID(SUBSTITUTE(I43,";",REPT(" ",50)),101,50))),0),IFERROR(DATEVALUE(TRIM(MID(SUBSTITUTE(I43,";",REPT(" ",50)),151,50))),0),IFERROR(DATEVALUE(TRIM(MID(SUBSTITUTE(I43,";",REPT(" ",50)),201,50))),0),IFERROR(DATEVALUE(TRIM(MID(SUBSTITUTE(I43,";",REPT(" ",50)),251,50))),0),IFERROR(DATEVALUE(TRIM(MID(SUBSTITUTE(I43,";",REPT(" ",50)),301,50))),0),IFERROR(DATEVALUE(TRIM(MID(SUBSTITUTE(I43,";",REPT(" ",50)),351,50))),0),IFERROR(DATEVALUE(TRIM(MID(SUBSTITUTE(I43,";",REPT(" ",50)),401,50))),0),IFERROR(DATEVALUE(TRIM(MID(SUBSTITUTE(I43,";",REPT(" ",50)),451,50))),0)))</f>
        <v>45981</v>
      </c>
      <c r="L43" s="24">
        <f ca="1">IF(K43="","",TODAY()-K43)</f>
        <v>23</v>
      </c>
      <c r="M43" t="s">
        <v>167</v>
      </c>
      <c r="N43">
        <f ca="1">IF(M43="","",IF(L43="",INDEX($F$69:$F$72,MATCH(M43,$C$69:$C$72,0)),IF(L43&lt;=INDEX($D$69:$D$72,MATCH(M43,$C$69:$C$72,0)),0,IF(L43&lt;=INDEX($E$69:$E$72,MATCH(M43,$C$69:$C$72,0)),INDEX($F$69:$F$72,MATCH(M43,$C$69:$C$72,0)),INDEX($G$69:$G$72,MATCH(M43,$C$69:$C$72,0))))))</f>
        <v>0</v>
      </c>
      <c r="O43">
        <f ca="1">G43+N43</f>
        <v>0</v>
      </c>
      <c r="P43" t="s">
        <v>168</v>
      </c>
      <c r="R43" t="s">
        <v>712</v>
      </c>
    </row>
    <row r="44" spans="1:18" x14ac:dyDescent="0.2">
      <c r="A44" t="s">
        <v>456</v>
      </c>
      <c r="B44" t="s">
        <v>457</v>
      </c>
      <c r="C44" t="s">
        <v>259</v>
      </c>
      <c r="D44" t="s">
        <v>197</v>
      </c>
      <c r="E44">
        <f>IF(C44="No",0,IF(C44="Unclear",10,IF(C44="Yes",20,"")))</f>
        <v>0</v>
      </c>
      <c r="F44">
        <f>IF(D44="High",0,IF(D44="Medium",0.05,IF(D44="Low",0.1,IF(D44="Unknown",0.15,""))))</f>
        <v>0.05</v>
      </c>
      <c r="G44">
        <f>E44*(1+F44)</f>
        <v>0</v>
      </c>
      <c r="H44" t="s">
        <v>713</v>
      </c>
      <c r="I44" t="s">
        <v>714</v>
      </c>
      <c r="J44" t="s">
        <v>166</v>
      </c>
      <c r="K44" s="24">
        <f>IF(I44="","",MAX(IFERROR(DATEVALUE(TRIM(MID(SUBSTITUTE(I44,";",REPT(" ",50)),1,50))),0),IFERROR(DATEVALUE(TRIM(MID(SUBSTITUTE(I44,";",REPT(" ",50)),51,50))),0),IFERROR(DATEVALUE(TRIM(MID(SUBSTITUTE(I44,";",REPT(" ",50)),101,50))),0),IFERROR(DATEVALUE(TRIM(MID(SUBSTITUTE(I44,";",REPT(" ",50)),151,50))),0),IFERROR(DATEVALUE(TRIM(MID(SUBSTITUTE(I44,";",REPT(" ",50)),201,50))),0),IFERROR(DATEVALUE(TRIM(MID(SUBSTITUTE(I44,";",REPT(" ",50)),251,50))),0),IFERROR(DATEVALUE(TRIM(MID(SUBSTITUTE(I44,";",REPT(" ",50)),301,50))),0),IFERROR(DATEVALUE(TRIM(MID(SUBSTITUTE(I44,";",REPT(" ",50)),351,50))),0),IFERROR(DATEVALUE(TRIM(MID(SUBSTITUTE(I44,";",REPT(" ",50)),401,50))),0),IFERROR(DATEVALUE(TRIM(MID(SUBSTITUTE(I44,";",REPT(" ",50)),451,50))),0)))</f>
        <v>45306</v>
      </c>
      <c r="L44" s="24">
        <f ca="1">IF(K44="","",TODAY()-K44)</f>
        <v>698</v>
      </c>
      <c r="M44" t="s">
        <v>167</v>
      </c>
      <c r="N44">
        <f ca="1">IF(M44="","",IF(L44="",INDEX($F$69:$F$72,MATCH(M44,$C$69:$C$72,0)),IF(L44&lt;=INDEX($D$69:$D$72,MATCH(M44,$C$69:$C$72,0)),0,IF(L44&lt;=INDEX($E$69:$E$72,MATCH(M44,$C$69:$C$72,0)),INDEX($F$69:$F$72,MATCH(M44,$C$69:$C$72,0)),INDEX($G$69:$G$72,MATCH(M44,$C$69:$C$72,0))))))</f>
        <v>0</v>
      </c>
      <c r="O44">
        <f ca="1">G44+N44</f>
        <v>0</v>
      </c>
      <c r="P44" t="s">
        <v>168</v>
      </c>
      <c r="R44" t="s">
        <v>715</v>
      </c>
    </row>
    <row r="45" spans="1:18" x14ac:dyDescent="0.2">
      <c r="A45" t="s">
        <v>461</v>
      </c>
      <c r="B45" t="s">
        <v>462</v>
      </c>
      <c r="C45" t="s">
        <v>716</v>
      </c>
      <c r="D45" t="s">
        <v>163</v>
      </c>
      <c r="E45">
        <v>0</v>
      </c>
      <c r="F45">
        <f>IF(D45="High",0,IF(D45="Medium",0.05,IF(D45="Low",0.1,IF(D45="Unknown",0.15,""))))</f>
        <v>0</v>
      </c>
      <c r="G45">
        <f>E45*(1+F45)</f>
        <v>0</v>
      </c>
      <c r="H45" t="s">
        <v>717</v>
      </c>
      <c r="I45" t="s">
        <v>718</v>
      </c>
      <c r="J45" t="s">
        <v>176</v>
      </c>
      <c r="K45" s="24">
        <f>IF(I45="","",MAX(IFERROR(DATEVALUE(TRIM(MID(SUBSTITUTE(I45,";",REPT(" ",50)),1,50))),0),IFERROR(DATEVALUE(TRIM(MID(SUBSTITUTE(I45,";",REPT(" ",50)),51,50))),0),IFERROR(DATEVALUE(TRIM(MID(SUBSTITUTE(I45,";",REPT(" ",50)),101,50))),0),IFERROR(DATEVALUE(TRIM(MID(SUBSTITUTE(I45,";",REPT(" ",50)),151,50))),0),IFERROR(DATEVALUE(TRIM(MID(SUBSTITUTE(I45,";",REPT(" ",50)),201,50))),0),IFERROR(DATEVALUE(TRIM(MID(SUBSTITUTE(I45,";",REPT(" ",50)),251,50))),0),IFERROR(DATEVALUE(TRIM(MID(SUBSTITUTE(I45,";",REPT(" ",50)),301,50))),0),IFERROR(DATEVALUE(TRIM(MID(SUBSTITUTE(I45,";",REPT(" ",50)),351,50))),0),IFERROR(DATEVALUE(TRIM(MID(SUBSTITUTE(I45,";",REPT(" ",50)),401,50))),0),IFERROR(DATEVALUE(TRIM(MID(SUBSTITUTE(I45,";",REPT(" ",50)),451,50))),0)))</f>
        <v>45672</v>
      </c>
      <c r="L45" s="24">
        <f ca="1">IF(K45="","",TODAY()-K45)</f>
        <v>332</v>
      </c>
      <c r="M45" t="s">
        <v>167</v>
      </c>
      <c r="N45">
        <f ca="1">IF(M45="","",IF(L45="",INDEX($F$69:$F$72,MATCH(M45,$C$69:$C$72,0)),IF(L45&lt;=INDEX($D$69:$D$72,MATCH(M45,$C$69:$C$72,0)),0,IF(L45&lt;=INDEX($E$69:$E$72,MATCH(M45,$C$69:$C$72,0)),INDEX($F$69:$F$72,MATCH(M45,$C$69:$C$72,0)),INDEX($G$69:$G$72,MATCH(M45,$C$69:$C$72,0))))))</f>
        <v>0</v>
      </c>
      <c r="O45">
        <f ca="1">G45+N45</f>
        <v>0</v>
      </c>
      <c r="P45" t="s">
        <v>168</v>
      </c>
      <c r="Q45" t="s">
        <v>347</v>
      </c>
      <c r="R45" t="s">
        <v>719</v>
      </c>
    </row>
    <row r="46" spans="1:18" x14ac:dyDescent="0.2">
      <c r="A46" s="3"/>
      <c r="B46" s="44"/>
      <c r="C46" s="45"/>
      <c r="D46" s="45"/>
      <c r="E46" s="45"/>
      <c r="F46" s="45"/>
      <c r="G46" s="45"/>
      <c r="H46" s="45"/>
      <c r="I46" s="45"/>
      <c r="J46" s="45"/>
      <c r="K46" s="46"/>
      <c r="L46" s="46"/>
      <c r="M46" s="45"/>
      <c r="N46" s="45"/>
      <c r="O46" s="45"/>
      <c r="P46" s="45"/>
      <c r="Q46" s="45"/>
      <c r="R46" s="45"/>
    </row>
    <row r="47" spans="1:18" x14ac:dyDescent="0.2">
      <c r="A47" t="s">
        <v>467</v>
      </c>
      <c r="B47" t="s">
        <v>468</v>
      </c>
      <c r="C47" t="s">
        <v>469</v>
      </c>
      <c r="D47" t="s">
        <v>163</v>
      </c>
      <c r="E47">
        <f>IF($AA$1="BTC",0,IFERROR(IF(C47="Unknown",20,IF(VALUE(SUBSTITUTE(C47,"%",""))&lt;=15,0,IF(VALUE(SUBSTITUTE(C47,"%",""))&lt;=30,10,20))),""))</f>
        <v>0</v>
      </c>
      <c r="F47">
        <f t="shared" ref="F47:F52" si="19">IF(D47="High",0,IF(D47="Medium",0.05,IF(D47="Low",0.1,IF(D47="Unknown",0.15,""))))</f>
        <v>0</v>
      </c>
      <c r="G47">
        <f t="shared" ref="G47:G52" si="20">E47*(1+F47)</f>
        <v>0</v>
      </c>
      <c r="H47" t="s">
        <v>720</v>
      </c>
      <c r="I47" t="s">
        <v>721</v>
      </c>
      <c r="J47" t="s">
        <v>176</v>
      </c>
      <c r="K47" s="24">
        <f t="shared" ref="K47:K52" si="21">IF(I47="","",MAX(IFERROR(DATEVALUE(TRIM(MID(SUBSTITUTE(I47,";",REPT(" ",50)),1,50))),0),IFERROR(DATEVALUE(TRIM(MID(SUBSTITUTE(I47,";",REPT(" ",50)),51,50))),0),IFERROR(DATEVALUE(TRIM(MID(SUBSTITUTE(I47,";",REPT(" ",50)),101,50))),0),IFERROR(DATEVALUE(TRIM(MID(SUBSTITUTE(I47,";",REPT(" ",50)),151,50))),0),IFERROR(DATEVALUE(TRIM(MID(SUBSTITUTE(I47,";",REPT(" ",50)),201,50))),0),IFERROR(DATEVALUE(TRIM(MID(SUBSTITUTE(I47,";",REPT(" ",50)),251,50))),0),IFERROR(DATEVALUE(TRIM(MID(SUBSTITUTE(I47,";",REPT(" ",50)),301,50))),0),IFERROR(DATEVALUE(TRIM(MID(SUBSTITUTE(I47,";",REPT(" ",50)),351,50))),0),IFERROR(DATEVALUE(TRIM(MID(SUBSTITUTE(I47,";",REPT(" ",50)),401,50))),0),IFERROR(DATEVALUE(TRIM(MID(SUBSTITUTE(I47,";",REPT(" ",50)),451,50))),0)))</f>
        <v>45616</v>
      </c>
      <c r="L47" s="24">
        <f t="shared" ref="L47:L52" ca="1" si="22">IF(K47="","",TODAY()-K47)</f>
        <v>388</v>
      </c>
      <c r="M47" t="s">
        <v>167</v>
      </c>
      <c r="N47">
        <f t="shared" ref="N47:N52" ca="1" si="23">IF(M47="","",IF(L47="",INDEX($F$69:$F$72,MATCH(M47,$C$69:$C$72,0)),IF(L47&lt;=INDEX($D$69:$D$72,MATCH(M47,$C$69:$C$72,0)),0,IF(L47&lt;=INDEX($E$69:$E$72,MATCH(M47,$C$69:$C$72,0)),INDEX($F$69:$F$72,MATCH(M47,$C$69:$C$72,0)),INDEX($G$69:$G$72,MATCH(M47,$C$69:$C$72,0))))))</f>
        <v>0</v>
      </c>
      <c r="O47">
        <f t="shared" ref="O47:O52" ca="1" si="24">G47+N47</f>
        <v>0</v>
      </c>
      <c r="P47" t="str">
        <f>IF($AA$1="BTC","No Review","No Review")</f>
        <v>No Review</v>
      </c>
      <c r="R47" t="s">
        <v>722</v>
      </c>
    </row>
    <row r="48" spans="1:18" x14ac:dyDescent="0.2">
      <c r="A48" t="s">
        <v>473</v>
      </c>
      <c r="B48" t="s">
        <v>474</v>
      </c>
      <c r="C48" t="s">
        <v>319</v>
      </c>
      <c r="D48" t="s">
        <v>330</v>
      </c>
      <c r="E48">
        <f>IF($AA$1="BTC",0,IFERROR(IF(C48="Unknown",20,IF(VALUE(SUBSTITUTE(C48,"%",""))&lt;=20,0,IF(VALUE(SUBSTITUTE(C48,"%",""))&lt;=40,10,20))),""))</f>
        <v>20</v>
      </c>
      <c r="F48">
        <f t="shared" si="19"/>
        <v>0.1</v>
      </c>
      <c r="G48">
        <f t="shared" si="20"/>
        <v>22</v>
      </c>
      <c r="K48" s="24" t="str">
        <f t="shared" si="21"/>
        <v/>
      </c>
      <c r="L48" s="24" t="str">
        <f t="shared" ca="1" si="22"/>
        <v/>
      </c>
      <c r="M48" t="s">
        <v>167</v>
      </c>
      <c r="N48">
        <f t="shared" ca="1" si="23"/>
        <v>0</v>
      </c>
      <c r="O48">
        <f t="shared" ca="1" si="24"/>
        <v>22</v>
      </c>
      <c r="P48" t="str">
        <f>IF($AA$1="BTC","No Review","No Review")</f>
        <v>No Review</v>
      </c>
      <c r="R48" t="s">
        <v>723</v>
      </c>
    </row>
    <row r="49" spans="1:19" x14ac:dyDescent="0.2">
      <c r="A49" t="s">
        <v>479</v>
      </c>
      <c r="B49" t="s">
        <v>480</v>
      </c>
      <c r="C49" t="s">
        <v>481</v>
      </c>
      <c r="D49" t="s">
        <v>163</v>
      </c>
      <c r="E49">
        <f>IF($AA$1="BTC",0,IFERROR(IF(C49="Unknown",10,IF(VALUE(SUBSTITUTE(C49,"%",""))&lt;=15,0,IF(VALUE(SUBSTITUTE(C49,"%",""))&lt;=30,10,20))),""))</f>
        <v>0</v>
      </c>
      <c r="F49">
        <f t="shared" si="19"/>
        <v>0</v>
      </c>
      <c r="G49">
        <f t="shared" si="20"/>
        <v>0</v>
      </c>
      <c r="H49" t="s">
        <v>724</v>
      </c>
      <c r="I49" t="s">
        <v>725</v>
      </c>
      <c r="J49" t="s">
        <v>176</v>
      </c>
      <c r="K49" s="24">
        <f t="shared" si="21"/>
        <v>45566</v>
      </c>
      <c r="L49" s="24">
        <f t="shared" ca="1" si="22"/>
        <v>438</v>
      </c>
      <c r="M49" t="s">
        <v>167</v>
      </c>
      <c r="N49">
        <f t="shared" ca="1" si="23"/>
        <v>0</v>
      </c>
      <c r="O49">
        <f t="shared" ca="1" si="24"/>
        <v>0</v>
      </c>
      <c r="P49" t="str">
        <f>IF($AA$1="BTC","No Review","No Review")</f>
        <v>No Review</v>
      </c>
      <c r="R49" t="s">
        <v>726</v>
      </c>
    </row>
    <row r="50" spans="1:19" x14ac:dyDescent="0.2">
      <c r="A50" t="s">
        <v>485</v>
      </c>
      <c r="B50" t="s">
        <v>486</v>
      </c>
      <c r="C50" t="s">
        <v>209</v>
      </c>
      <c r="D50" t="s">
        <v>163</v>
      </c>
      <c r="E50">
        <f t="array" ref="E50">IF($AA$1="BTC",0,IF(C50="Yes",0,IF(C50="Partial",10,IF(C50="No",20,""))))</f>
        <v>0</v>
      </c>
      <c r="F50">
        <f t="shared" si="19"/>
        <v>0</v>
      </c>
      <c r="G50">
        <f t="shared" si="20"/>
        <v>0</v>
      </c>
      <c r="H50" t="s">
        <v>727</v>
      </c>
      <c r="I50" t="s">
        <v>728</v>
      </c>
      <c r="J50" t="s">
        <v>176</v>
      </c>
      <c r="K50" s="24">
        <f t="shared" si="21"/>
        <v>45611</v>
      </c>
      <c r="L50" s="24">
        <f t="shared" ca="1" si="22"/>
        <v>393</v>
      </c>
      <c r="M50" t="s">
        <v>167</v>
      </c>
      <c r="N50">
        <f t="shared" ca="1" si="23"/>
        <v>0</v>
      </c>
      <c r="O50">
        <f t="shared" ca="1" si="24"/>
        <v>0</v>
      </c>
      <c r="P50" t="str">
        <f>IF($AA$1="BTC","No Review","No Review")</f>
        <v>No Review</v>
      </c>
      <c r="R50" t="s">
        <v>729</v>
      </c>
    </row>
    <row r="51" spans="1:19" x14ac:dyDescent="0.2">
      <c r="A51" t="s">
        <v>490</v>
      </c>
      <c r="B51" t="s">
        <v>491</v>
      </c>
      <c r="C51" t="s">
        <v>319</v>
      </c>
      <c r="D51" t="s">
        <v>319</v>
      </c>
      <c r="E51">
        <f>IF($AA$1="BTC",0,IFERROR(IF(C51="Unknown",10,IF(VALUE(SUBSTITUTE(C51,"%",""))&lt;=5,0,IF(VALUE(SUBSTITUTE(C51,"%",""))&lt;=15,10,20))),""))</f>
        <v>10</v>
      </c>
      <c r="F51">
        <f t="shared" si="19"/>
        <v>0.15</v>
      </c>
      <c r="G51">
        <f t="shared" si="20"/>
        <v>11.5</v>
      </c>
      <c r="K51" s="24" t="str">
        <f t="shared" si="21"/>
        <v/>
      </c>
      <c r="L51" s="24" t="str">
        <f t="shared" ca="1" si="22"/>
        <v/>
      </c>
      <c r="M51" t="s">
        <v>273</v>
      </c>
      <c r="N51">
        <f t="shared" ca="1" si="23"/>
        <v>5</v>
      </c>
      <c r="O51">
        <f t="shared" ca="1" si="24"/>
        <v>16.5</v>
      </c>
      <c r="P51" t="str">
        <f>IF($AA$1="BTC","No Review",IF(AND(IFERROR(VALUE(SUBSTITUTE(#REF!,"%","")),0)+IFERROR(VALUE(SUBSTITUTE(#REF!,"%","")),0)&gt;45,IFERROR(VALUE(SUBSTITUTE($C$10,"%","")),0)&gt;15),"Review","No Review"))</f>
        <v>No Review</v>
      </c>
      <c r="Q51" t="s">
        <v>495</v>
      </c>
      <c r="R51" t="s">
        <v>730</v>
      </c>
      <c r="S51" t="s">
        <v>731</v>
      </c>
    </row>
    <row r="52" spans="1:19" x14ac:dyDescent="0.2">
      <c r="A52" t="s">
        <v>497</v>
      </c>
      <c r="B52" t="s">
        <v>498</v>
      </c>
      <c r="C52" t="s">
        <v>732</v>
      </c>
      <c r="D52" t="s">
        <v>197</v>
      </c>
      <c r="E52">
        <f>IF($AA$1="BTC",0,0)</f>
        <v>0</v>
      </c>
      <c r="F52">
        <f t="shared" si="19"/>
        <v>0.05</v>
      </c>
      <c r="G52">
        <f t="shared" si="20"/>
        <v>0</v>
      </c>
      <c r="K52" s="24" t="str">
        <f t="shared" si="21"/>
        <v/>
      </c>
      <c r="L52" s="24" t="str">
        <f t="shared" ca="1" si="22"/>
        <v/>
      </c>
      <c r="M52" t="s">
        <v>303</v>
      </c>
      <c r="N52">
        <f t="shared" ca="1" si="23"/>
        <v>2</v>
      </c>
      <c r="O52">
        <f t="shared" ca="1" si="24"/>
        <v>2</v>
      </c>
      <c r="P52" t="str">
        <f>IF($AA$1="BTC","No Review","No Review")</f>
        <v>No Review</v>
      </c>
      <c r="Q52" t="s">
        <v>347</v>
      </c>
      <c r="R52" t="s">
        <v>733</v>
      </c>
    </row>
    <row r="53" spans="1:19" x14ac:dyDescent="0.2">
      <c r="A53" s="3"/>
      <c r="B53" s="44"/>
      <c r="C53" s="45"/>
      <c r="D53" s="45"/>
      <c r="E53" s="45"/>
      <c r="F53" s="45"/>
      <c r="G53" s="45"/>
      <c r="H53" s="45"/>
      <c r="I53" s="45"/>
      <c r="J53" s="45"/>
      <c r="K53" s="46"/>
      <c r="L53" s="46"/>
      <c r="M53" s="45"/>
      <c r="N53" s="45"/>
      <c r="O53" s="45"/>
      <c r="P53" s="45"/>
      <c r="Q53" s="45"/>
      <c r="R53" s="45"/>
    </row>
    <row r="54" spans="1:19" x14ac:dyDescent="0.2">
      <c r="A54" t="s">
        <v>503</v>
      </c>
      <c r="B54" t="s">
        <v>504</v>
      </c>
      <c r="C54" t="s">
        <v>319</v>
      </c>
      <c r="D54" t="s">
        <v>163</v>
      </c>
      <c r="E54">
        <f>IFERROR(
  IF(C54="Unknown",10,
    IF(OR($C$41="L1",$C$41="L2"),
       IF(VALUE(SUBSTITUTE(C54,"%",""))&lt;=4,0,
          IF(VALUE(SUBSTITUTE(C54,"%",""))&lt;=8,10,20)),
       IF(VALUE(SUBSTITUTE(C54,"%",""))&lt;=3,0,
          IF(VALUE(SUBSTITUTE(C54,"%",""))&lt;=6,10,20))
    )
  ),
"")</f>
        <v>10</v>
      </c>
      <c r="F54">
        <f>IF(D54="High",0,IF(D54="Medium",0.05,IF(D54="Low",0.1,IF(D54="Unknown",0.15,""))))</f>
        <v>0</v>
      </c>
      <c r="G54">
        <f>E54*(1+F54)</f>
        <v>10</v>
      </c>
      <c r="H54" t="s">
        <v>734</v>
      </c>
      <c r="I54" t="s">
        <v>735</v>
      </c>
      <c r="J54" t="s">
        <v>176</v>
      </c>
      <c r="K54" s="24">
        <f>IF(I54="","",MAX(IFERROR(DATEVALUE(TRIM(MID(SUBSTITUTE(I54,";",REPT(" ",50)),1,50))),0),IFERROR(DATEVALUE(TRIM(MID(SUBSTITUTE(I54,";",REPT(" ",50)),51,50))),0),IFERROR(DATEVALUE(TRIM(MID(SUBSTITUTE(I54,";",REPT(" ",50)),101,50))),0),IFERROR(DATEVALUE(TRIM(MID(SUBSTITUTE(I54,";",REPT(" ",50)),151,50))),0),IFERROR(DATEVALUE(TRIM(MID(SUBSTITUTE(I54,";",REPT(" ",50)),201,50))),0),IFERROR(DATEVALUE(TRIM(MID(SUBSTITUTE(I54,";",REPT(" ",50)),251,50))),0),IFERROR(DATEVALUE(TRIM(MID(SUBSTITUTE(I54,";",REPT(" ",50)),301,50))),0),IFERROR(DATEVALUE(TRIM(MID(SUBSTITUTE(I54,";",REPT(" ",50)),351,50))),0),IFERROR(DATEVALUE(TRIM(MID(SUBSTITUTE(I54,";",REPT(" ",50)),401,50))),0),IFERROR(DATEVALUE(TRIM(MID(SUBSTITUTE(I54,";",REPT(" ",50)),451,50))),0)))</f>
        <v>45931</v>
      </c>
      <c r="L54" s="24">
        <f ca="1">IF(K54="","",TODAY()-K54)</f>
        <v>73</v>
      </c>
      <c r="M54" t="s">
        <v>184</v>
      </c>
      <c r="N54">
        <f ca="1">IF(M54="","",IF(L54="",INDEX($F$69:$F$72,MATCH(M54,$C$69:$C$72,0)),IF(L54&lt;=INDEX($D$69:$D$72,MATCH(M54,$C$69:$C$72,0)),0,IF(L54&lt;=INDEX($E$69:$E$72,MATCH(M54,$C$69:$C$72,0)),INDEX($F$69:$F$72,MATCH(M54,$C$69:$C$72,0)),INDEX($G$69:$G$72,MATCH(M54,$C$69:$C$72,0))))))</f>
        <v>0</v>
      </c>
      <c r="O54">
        <f ca="1">G54+N54</f>
        <v>10</v>
      </c>
      <c r="P54" t="str">
        <f>IF($AA$1="BTC","No Review",IF(OR(AND(OR(C41="L1",C41="L2"), IFERROR(VALUE(SUBSTITUTE($C$13,"%","")),0)&gt;8),AND(NOT(OR(C41="L1",C41="L2")), IFERROR(VALUE(SUBSTITUTE($C$13,"%","")),0)&gt;6)),"Review","No Review"))</f>
        <v>No Review</v>
      </c>
      <c r="Q54" t="s">
        <v>508</v>
      </c>
      <c r="R54" t="s">
        <v>736</v>
      </c>
    </row>
    <row r="55" spans="1:19" x14ac:dyDescent="0.2">
      <c r="A55" t="s">
        <v>510</v>
      </c>
      <c r="B55" t="s">
        <v>511</v>
      </c>
      <c r="C55" t="s">
        <v>319</v>
      </c>
      <c r="D55" t="s">
        <v>330</v>
      </c>
      <c r="E55">
        <f t="array" ref="E55">IF($AA$1="BTC",0,IF(C55="Gradual",0,IF(C55="Mixed",10,IF(C55="Cliff",20,IF(C55="Unknown",10,"")))))</f>
        <v>10</v>
      </c>
      <c r="F55">
        <f>IF(D55="High",0,IF(D55="Medium",0.05,IF(D55="Low",0.1,IF(D55="Unknown",0.15,""))))</f>
        <v>0.1</v>
      </c>
      <c r="G55">
        <f>E55*(1+F55)</f>
        <v>11</v>
      </c>
      <c r="K55" s="24" t="str">
        <f>IF(I55="","",MAX(IFERROR(DATEVALUE(TRIM(MID(SUBSTITUTE(I55,";",REPT(" ",50)),1,50))),0),IFERROR(DATEVALUE(TRIM(MID(SUBSTITUTE(I55,";",REPT(" ",50)),51,50))),0),IFERROR(DATEVALUE(TRIM(MID(SUBSTITUTE(I55,";",REPT(" ",50)),101,50))),0),IFERROR(DATEVALUE(TRIM(MID(SUBSTITUTE(I55,";",REPT(" ",50)),151,50))),0),IFERROR(DATEVALUE(TRIM(MID(SUBSTITUTE(I55,";",REPT(" ",50)),201,50))),0),IFERROR(DATEVALUE(TRIM(MID(SUBSTITUTE(I55,";",REPT(" ",50)),251,50))),0),IFERROR(DATEVALUE(TRIM(MID(SUBSTITUTE(I55,";",REPT(" ",50)),301,50))),0),IFERROR(DATEVALUE(TRIM(MID(SUBSTITUTE(I55,";",REPT(" ",50)),351,50))),0),IFERROR(DATEVALUE(TRIM(MID(SUBSTITUTE(I55,";",REPT(" ",50)),401,50))),0),IFERROR(DATEVALUE(TRIM(MID(SUBSTITUTE(I55,";",REPT(" ",50)),451,50))),0)))</f>
        <v/>
      </c>
      <c r="L55" s="24" t="str">
        <f ca="1">IF(K55="","",TODAY()-K55)</f>
        <v/>
      </c>
      <c r="M55" t="s">
        <v>184</v>
      </c>
      <c r="N55">
        <f ca="1">IF(M55="","",IF(L55="",INDEX($F$69:$F$72,MATCH(M55,$C$69:$C$72,0)),IF(L55&lt;=INDEX($D$69:$D$72,MATCH(M55,$C$69:$C$72,0)),0,IF(L55&lt;=INDEX($E$69:$E$72,MATCH(M55,$C$69:$C$72,0)),INDEX($F$69:$F$72,MATCH(M55,$C$69:$C$72,0)),INDEX($G$69:$G$72,MATCH(M55,$C$69:$C$72,0))))))</f>
        <v>3</v>
      </c>
      <c r="O55">
        <f ca="1">G55+N55</f>
        <v>14</v>
      </c>
      <c r="P55" t="str">
        <f>IF($AA$1="BTC","No Review","No Review")</f>
        <v>No Review</v>
      </c>
      <c r="R55" t="s">
        <v>737</v>
      </c>
    </row>
    <row r="56" spans="1:19" x14ac:dyDescent="0.2">
      <c r="A56" t="s">
        <v>516</v>
      </c>
      <c r="B56" t="s">
        <v>517</v>
      </c>
      <c r="C56" t="s">
        <v>259</v>
      </c>
      <c r="D56" t="s">
        <v>163</v>
      </c>
      <c r="E56">
        <f t="array" ref="E56">IF($AA$1="BTC",0,IF(C56="Yes",0,IF(C56="Unclear",10,IF(C56="No",20,""))))</f>
        <v>20</v>
      </c>
      <c r="F56">
        <f>IF(D56="High",0,IF(D56="Medium",0.05,IF(D56="Low",0.1,IF(D56="Unknown",0.15,""))))</f>
        <v>0</v>
      </c>
      <c r="G56">
        <f>E56*(1+F56)</f>
        <v>20</v>
      </c>
      <c r="H56" t="s">
        <v>738</v>
      </c>
      <c r="I56" t="s">
        <v>739</v>
      </c>
      <c r="J56" t="s">
        <v>166</v>
      </c>
      <c r="K56" s="24">
        <f>IF(I56="","",MAX(IFERROR(DATEVALUE(TRIM(MID(SUBSTITUTE(I56,";",REPT(" ",50)),1,50))),0),IFERROR(DATEVALUE(TRIM(MID(SUBSTITUTE(I56,";",REPT(" ",50)),51,50))),0),IFERROR(DATEVALUE(TRIM(MID(SUBSTITUTE(I56,";",REPT(" ",50)),101,50))),0),IFERROR(DATEVALUE(TRIM(MID(SUBSTITUTE(I56,";",REPT(" ",50)),151,50))),0),IFERROR(DATEVALUE(TRIM(MID(SUBSTITUTE(I56,";",REPT(" ",50)),201,50))),0),IFERROR(DATEVALUE(TRIM(MID(SUBSTITUTE(I56,";",REPT(" ",50)),251,50))),0),IFERROR(DATEVALUE(TRIM(MID(SUBSTITUTE(I56,";",REPT(" ",50)),301,50))),0),IFERROR(DATEVALUE(TRIM(MID(SUBSTITUTE(I56,";",REPT(" ",50)),351,50))),0),IFERROR(DATEVALUE(TRIM(MID(SUBSTITUTE(I56,";",REPT(" ",50)),401,50))),0),IFERROR(DATEVALUE(TRIM(MID(SUBSTITUTE(I56,";",REPT(" ",50)),451,50))),0)))</f>
        <v>45352</v>
      </c>
      <c r="L56" s="24">
        <f ca="1">IF(K56="","",TODAY()-K56)</f>
        <v>652</v>
      </c>
      <c r="M56" t="s">
        <v>184</v>
      </c>
      <c r="N56">
        <f ca="1">IF(M56="","",IF(L56="",INDEX($F$69:$F$72,MATCH(M56,$C$69:$C$72,0)),IF(L56&lt;=INDEX($D$69:$D$72,MATCH(M56,$C$69:$C$72,0)),0,IF(L56&lt;=INDEX($E$69:$E$72,MATCH(M56,$C$69:$C$72,0)),INDEX($F$69:$F$72,MATCH(M56,$C$69:$C$72,0)),INDEX($G$69:$G$72,MATCH(M56,$C$69:$C$72,0))))))</f>
        <v>6</v>
      </c>
      <c r="O56">
        <f ca="1">G56+N56</f>
        <v>26</v>
      </c>
      <c r="P56" t="str">
        <f>IF($AA$1="BTC","No Review","No Review")</f>
        <v>No Review</v>
      </c>
      <c r="R56" t="s">
        <v>740</v>
      </c>
    </row>
    <row r="57" spans="1:19" x14ac:dyDescent="0.2">
      <c r="A57" t="s">
        <v>521</v>
      </c>
      <c r="B57" t="s">
        <v>522</v>
      </c>
      <c r="C57" t="s">
        <v>741</v>
      </c>
      <c r="D57" t="s">
        <v>163</v>
      </c>
      <c r="E57">
        <f>IF($AA$1="BTC",0,0)</f>
        <v>0</v>
      </c>
      <c r="F57">
        <f>IF(D57="High",0,IF(D57="Medium",0.05,IF(D57="Low",0.1,IF(D57="Unknown",0.15,""))))</f>
        <v>0</v>
      </c>
      <c r="G57">
        <f>E57*(1+F57)</f>
        <v>0</v>
      </c>
      <c r="H57" t="s">
        <v>742</v>
      </c>
      <c r="I57" t="s">
        <v>743</v>
      </c>
      <c r="J57" t="s">
        <v>176</v>
      </c>
      <c r="K57" s="24">
        <f>IF(I57="","",MAX(IFERROR(DATEVALUE(TRIM(MID(SUBSTITUTE(I57,";",REPT(" ",50)),1,50))),0),IFERROR(DATEVALUE(TRIM(MID(SUBSTITUTE(I57,";",REPT(" ",50)),51,50))),0),IFERROR(DATEVALUE(TRIM(MID(SUBSTITUTE(I57,";",REPT(" ",50)),101,50))),0),IFERROR(DATEVALUE(TRIM(MID(SUBSTITUTE(I57,";",REPT(" ",50)),151,50))),0),IFERROR(DATEVALUE(TRIM(MID(SUBSTITUTE(I57,";",REPT(" ",50)),201,50))),0),IFERROR(DATEVALUE(TRIM(MID(SUBSTITUTE(I57,";",REPT(" ",50)),251,50))),0),IFERROR(DATEVALUE(TRIM(MID(SUBSTITUTE(I57,";",REPT(" ",50)),301,50))),0),IFERROR(DATEVALUE(TRIM(MID(SUBSTITUTE(I57,";",REPT(" ",50)),351,50))),0),IFERROR(DATEVALUE(TRIM(MID(SUBSTITUTE(I57,";",REPT(" ",50)),401,50))),0),IFERROR(DATEVALUE(TRIM(MID(SUBSTITUTE(I57,";",REPT(" ",50)),451,50))),0)))</f>
        <v>45992</v>
      </c>
      <c r="L57" s="24">
        <f ca="1">IF(K57="","",TODAY()-K57)</f>
        <v>12</v>
      </c>
      <c r="M57" t="s">
        <v>303</v>
      </c>
      <c r="N57">
        <f ca="1">IF(M57="","",IF(L57="",INDEX($F$69:$F$72,MATCH(M57,$C$69:$C$72,0)),IF(L57&lt;=INDEX($D$69:$D$72,MATCH(M57,$C$69:$C$72,0)),0,IF(L57&lt;=INDEX($E$69:$E$72,MATCH(M57,$C$69:$C$72,0)),INDEX($F$69:$F$72,MATCH(M57,$C$69:$C$72,0)),INDEX($G$69:$G$72,MATCH(M57,$C$69:$C$72,0))))))</f>
        <v>0</v>
      </c>
      <c r="O57">
        <f ca="1">G57+N57</f>
        <v>0</v>
      </c>
      <c r="P57" t="str">
        <f>IF($AA$1="BTC","No Review","No Review")</f>
        <v>No Review</v>
      </c>
      <c r="Q57" t="s">
        <v>347</v>
      </c>
      <c r="R57" t="s">
        <v>744</v>
      </c>
    </row>
    <row r="58" spans="1:19" x14ac:dyDescent="0.2">
      <c r="A58" s="3"/>
      <c r="B58" s="44"/>
      <c r="C58" s="45"/>
      <c r="D58" s="45"/>
      <c r="E58" s="45"/>
      <c r="F58" s="45"/>
      <c r="G58" s="45"/>
      <c r="H58" s="45"/>
      <c r="I58" s="45"/>
      <c r="J58" s="45"/>
      <c r="K58" s="46"/>
      <c r="L58" s="46"/>
      <c r="M58" s="45"/>
      <c r="N58" s="45"/>
      <c r="O58" s="45"/>
      <c r="P58" s="45"/>
      <c r="Q58" s="45"/>
      <c r="R58" s="45"/>
    </row>
    <row r="59" spans="1:19" x14ac:dyDescent="0.2">
      <c r="A59" t="s">
        <v>527</v>
      </c>
      <c r="B59" t="s">
        <v>528</v>
      </c>
      <c r="C59" t="s">
        <v>529</v>
      </c>
      <c r="D59" t="s">
        <v>197</v>
      </c>
      <c r="E59">
        <f>IF(C59="Fee",0,IF(C59="Mix",10,IF(C59="Emissions",20,IF(C59="Unknown",10,""))))</f>
        <v>10</v>
      </c>
      <c r="F59">
        <f>IF(D59="High",0,IF(D59="Medium",0.05,IF(D59="Low",0.1,IF(D59="Unknown",0.15,""))))</f>
        <v>0.05</v>
      </c>
      <c r="G59">
        <f>E59*(1+F59)</f>
        <v>10.5</v>
      </c>
      <c r="H59" t="s">
        <v>745</v>
      </c>
      <c r="I59" t="s">
        <v>746</v>
      </c>
      <c r="J59" t="s">
        <v>166</v>
      </c>
      <c r="K59" s="24">
        <f>IF(I59="","",MAX(IFERROR(DATEVALUE(TRIM(MID(SUBSTITUTE(I59,";",REPT(" ",50)),1,50))),0),IFERROR(DATEVALUE(TRIM(MID(SUBSTITUTE(I59,";",REPT(" ",50)),51,50))),0),IFERROR(DATEVALUE(TRIM(MID(SUBSTITUTE(I59,";",REPT(" ",50)),101,50))),0),IFERROR(DATEVALUE(TRIM(MID(SUBSTITUTE(I59,";",REPT(" ",50)),151,50))),0),IFERROR(DATEVALUE(TRIM(MID(SUBSTITUTE(I59,";",REPT(" ",50)),201,50))),0),IFERROR(DATEVALUE(TRIM(MID(SUBSTITUTE(I59,";",REPT(" ",50)),251,50))),0),IFERROR(DATEVALUE(TRIM(MID(SUBSTITUTE(I59,";",REPT(" ",50)),301,50))),0),IFERROR(DATEVALUE(TRIM(MID(SUBSTITUTE(I59,";",REPT(" ",50)),351,50))),0),IFERROR(DATEVALUE(TRIM(MID(SUBSTITUTE(I59,";",REPT(" ",50)),401,50))),0),IFERROR(DATEVALUE(TRIM(MID(SUBSTITUTE(I59,";",REPT(" ",50)),451,50))),0)))</f>
        <v>45078</v>
      </c>
      <c r="L59" s="24">
        <f ca="1">IF(K59="","",TODAY()-K59)</f>
        <v>926</v>
      </c>
      <c r="M59" t="s">
        <v>167</v>
      </c>
      <c r="N59">
        <f ca="1">IF(M59="","",IF(L59="",INDEX($F$69:$F$72,MATCH(M59,$C$69:$C$72,0)),IF(L59&lt;=INDEX($D$69:$D$72,MATCH(M59,$C$69:$C$72,0)),0,IF(L59&lt;=INDEX($E$69:$E$72,MATCH(M59,$C$69:$C$72,0)),INDEX($F$69:$F$72,MATCH(M59,$C$69:$C$72,0)),INDEX($G$69:$G$72,MATCH(M59,$C$69:$C$72,0))))))</f>
        <v>0</v>
      </c>
      <c r="O59">
        <f ca="1">G59+N59</f>
        <v>10.5</v>
      </c>
      <c r="P59" t="s">
        <v>168</v>
      </c>
      <c r="Q59" t="s">
        <v>532</v>
      </c>
      <c r="R59" t="s">
        <v>747</v>
      </c>
    </row>
    <row r="60" spans="1:19" x14ac:dyDescent="0.2">
      <c r="A60" t="s">
        <v>534</v>
      </c>
      <c r="B60" t="s">
        <v>535</v>
      </c>
      <c r="C60" t="s">
        <v>319</v>
      </c>
      <c r="D60" t="s">
        <v>163</v>
      </c>
      <c r="E60">
        <f>IFERROR(IF(C60="Unknown",10,IF(VALUE(SUBSTITUTE(C60,"%",""))&lt;=10,0,IF(VALUE(SUBSTITUTE(C60,"%",""))&lt;=20,10,20))),"")</f>
        <v>10</v>
      </c>
      <c r="F60">
        <f>IF(D60="High",0,IF(D60="Medium",0.05,IF(D60="Low",0.1,IF(D60="Unknown",0.15,""))))</f>
        <v>0</v>
      </c>
      <c r="G60">
        <f>E60*(1+F60)</f>
        <v>10</v>
      </c>
      <c r="K60" s="24" t="str">
        <f>IF(I60="","",MAX(IFERROR(DATEVALUE(TRIM(MID(SUBSTITUTE(I60,";",REPT(" ",50)),1,50))),0),IFERROR(DATEVALUE(TRIM(MID(SUBSTITUTE(I60,";",REPT(" ",50)),51,50))),0),IFERROR(DATEVALUE(TRIM(MID(SUBSTITUTE(I60,";",REPT(" ",50)),101,50))),0),IFERROR(DATEVALUE(TRIM(MID(SUBSTITUTE(I60,";",REPT(" ",50)),151,50))),0),IFERROR(DATEVALUE(TRIM(MID(SUBSTITUTE(I60,";",REPT(" ",50)),201,50))),0),IFERROR(DATEVALUE(TRIM(MID(SUBSTITUTE(I60,";",REPT(" ",50)),251,50))),0),IFERROR(DATEVALUE(TRIM(MID(SUBSTITUTE(I60,";",REPT(" ",50)),301,50))),0),IFERROR(DATEVALUE(TRIM(MID(SUBSTITUTE(I60,";",REPT(" ",50)),351,50))),0),IFERROR(DATEVALUE(TRIM(MID(SUBSTITUTE(I60,";",REPT(" ",50)),401,50))),0),IFERROR(DATEVALUE(TRIM(MID(SUBSTITUTE(I60,";",REPT(" ",50)),451,50))),0)))</f>
        <v/>
      </c>
      <c r="L60" s="24" t="str">
        <f ca="1">IF(K60="","",TODAY()-K60)</f>
        <v/>
      </c>
      <c r="M60" t="s">
        <v>184</v>
      </c>
      <c r="N60">
        <f ca="1">IF(M60="","",IF(L60="",INDEX($F$69:$F$72,MATCH(M60,$C$69:$C$72,0)),IF(L60&lt;=INDEX($D$69:$D$72,MATCH(M60,$C$69:$C$72,0)),0,IF(L60&lt;=INDEX($E$69:$E$72,MATCH(M60,$C$69:$C$72,0)),INDEX($F$69:$F$72,MATCH(M60,$C$69:$C$72,0)),INDEX($G$69:$G$72,MATCH(M60,$C$69:$C$72,0))))))</f>
        <v>3</v>
      </c>
      <c r="O60">
        <f ca="1">G60+N60</f>
        <v>13</v>
      </c>
      <c r="P60" t="str">
        <f>IF(AND($C$18="Emissions", IFERROR(VALUE(SUBSTITUTE(C60,"%","")),0)&gt;20),"Review","No Review")</f>
        <v>No Review</v>
      </c>
      <c r="Q60" t="s">
        <v>539</v>
      </c>
      <c r="R60" t="s">
        <v>748</v>
      </c>
    </row>
    <row r="61" spans="1:19" x14ac:dyDescent="0.2">
      <c r="A61" t="s">
        <v>541</v>
      </c>
      <c r="B61" t="s">
        <v>542</v>
      </c>
      <c r="C61" t="s">
        <v>259</v>
      </c>
      <c r="D61" t="s">
        <v>163</v>
      </c>
      <c r="E61">
        <f>IF(C61="Yes",0,IF(C61="Unclear",10,IF(C61="No",20,"")))</f>
        <v>20</v>
      </c>
      <c r="F61">
        <f>IF(D61="High",0,IF(D61="Medium",0.05,IF(D61="Low",0.1,IF(D61="Unknown",0.15,""))))</f>
        <v>0</v>
      </c>
      <c r="G61">
        <f>E61*(1+F61)</f>
        <v>20</v>
      </c>
      <c r="H61" t="s">
        <v>749</v>
      </c>
      <c r="I61" t="s">
        <v>750</v>
      </c>
      <c r="J61" t="s">
        <v>176</v>
      </c>
      <c r="K61" s="24">
        <f>IF(I61="","",MAX(IFERROR(DATEVALUE(TRIM(MID(SUBSTITUTE(I61,";",REPT(" ",50)),1,50))),0),IFERROR(DATEVALUE(TRIM(MID(SUBSTITUTE(I61,";",REPT(" ",50)),51,50))),0),IFERROR(DATEVALUE(TRIM(MID(SUBSTITUTE(I61,";",REPT(" ",50)),101,50))),0),IFERROR(DATEVALUE(TRIM(MID(SUBSTITUTE(I61,";",REPT(" ",50)),151,50))),0),IFERROR(DATEVALUE(TRIM(MID(SUBSTITUTE(I61,";",REPT(" ",50)),201,50))),0),IFERROR(DATEVALUE(TRIM(MID(SUBSTITUTE(I61,";",REPT(" ",50)),251,50))),0),IFERROR(DATEVALUE(TRIM(MID(SUBSTITUTE(I61,";",REPT(" ",50)),301,50))),0),IFERROR(DATEVALUE(TRIM(MID(SUBSTITUTE(I61,";",REPT(" ",50)),351,50))),0),IFERROR(DATEVALUE(TRIM(MID(SUBSTITUTE(I61,";",REPT(" ",50)),401,50))),0),IFERROR(DATEVALUE(TRIM(MID(SUBSTITUTE(I61,";",REPT(" ",50)),451,50))),0)))</f>
        <v>45931</v>
      </c>
      <c r="L61" s="24">
        <f ca="1">IF(K61="","",TODAY()-K61)</f>
        <v>73</v>
      </c>
      <c r="M61" t="s">
        <v>167</v>
      </c>
      <c r="N61">
        <f ca="1">IF(M61="","",IF(L61="",INDEX($F$69:$F$72,MATCH(M61,$C$69:$C$72,0)),IF(L61&lt;=INDEX($D$69:$D$72,MATCH(M61,$C$69:$C$72,0)),0,IF(L61&lt;=INDEX($E$69:$E$72,MATCH(M61,$C$69:$C$72,0)),INDEX($F$69:$F$72,MATCH(M61,$C$69:$C$72,0)),INDEX($G$69:$G$72,MATCH(M61,$C$69:$C$72,0))))))</f>
        <v>0</v>
      </c>
      <c r="O61">
        <f ca="1">G61+N61</f>
        <v>20</v>
      </c>
      <c r="P61" t="s">
        <v>168</v>
      </c>
      <c r="R61" t="s">
        <v>751</v>
      </c>
    </row>
    <row r="62" spans="1:19" x14ac:dyDescent="0.2">
      <c r="A62" t="s">
        <v>546</v>
      </c>
      <c r="B62" t="s">
        <v>547</v>
      </c>
      <c r="C62" t="s">
        <v>752</v>
      </c>
      <c r="D62" t="s">
        <v>197</v>
      </c>
      <c r="E62">
        <v>0</v>
      </c>
      <c r="F62">
        <f>IF(D62="High",0,IF(D62="Medium",0.05,IF(D62="Low",0.1,IF(D62="Unknown",0.15,""))))</f>
        <v>0.05</v>
      </c>
      <c r="G62">
        <f>E62*(1+F62)</f>
        <v>0</v>
      </c>
      <c r="K62" s="24" t="str">
        <f>IF(I62="","",MAX(IFERROR(DATEVALUE(TRIM(MID(SUBSTITUTE(I62,";",REPT(" ",50)),1,50))),0),IFERROR(DATEVALUE(TRIM(MID(SUBSTITUTE(I62,";",REPT(" ",50)),51,50))),0),IFERROR(DATEVALUE(TRIM(MID(SUBSTITUTE(I62,";",REPT(" ",50)),101,50))),0),IFERROR(DATEVALUE(TRIM(MID(SUBSTITUTE(I62,";",REPT(" ",50)),151,50))),0),IFERROR(DATEVALUE(TRIM(MID(SUBSTITUTE(I62,";",REPT(" ",50)),201,50))),0),IFERROR(DATEVALUE(TRIM(MID(SUBSTITUTE(I62,";",REPT(" ",50)),251,50))),0),IFERROR(DATEVALUE(TRIM(MID(SUBSTITUTE(I62,";",REPT(" ",50)),301,50))),0),IFERROR(DATEVALUE(TRIM(MID(SUBSTITUTE(I62,";",REPT(" ",50)),351,50))),0),IFERROR(DATEVALUE(TRIM(MID(SUBSTITUTE(I62,";",REPT(" ",50)),401,50))),0),IFERROR(DATEVALUE(TRIM(MID(SUBSTITUTE(I62,";",REPT(" ",50)),451,50))),0)))</f>
        <v/>
      </c>
      <c r="L62" s="24" t="str">
        <f ca="1">IF(K62="","",TODAY()-K62)</f>
        <v/>
      </c>
      <c r="M62" t="s">
        <v>167</v>
      </c>
      <c r="N62">
        <f ca="1">IF(M62="","",IF(L62="",INDEX($F$69:$F$72,MATCH(M62,$C$69:$C$72,0)),IF(L62&lt;=INDEX($D$69:$D$72,MATCH(M62,$C$69:$C$72,0)),0,IF(L62&lt;=INDEX($E$69:$E$72,MATCH(M62,$C$69:$C$72,0)),INDEX($F$69:$F$72,MATCH(M62,$C$69:$C$72,0)),INDEX($G$69:$G$72,MATCH(M62,$C$69:$C$72,0))))))</f>
        <v>0</v>
      </c>
      <c r="O62">
        <f ca="1">G62+N62</f>
        <v>0</v>
      </c>
      <c r="P62" t="s">
        <v>168</v>
      </c>
      <c r="Q62" t="s">
        <v>347</v>
      </c>
      <c r="R62" t="s">
        <v>753</v>
      </c>
    </row>
    <row r="67" spans="3:7" x14ac:dyDescent="0.2">
      <c r="C67" s="55" t="s">
        <v>552</v>
      </c>
      <c r="D67" s="41"/>
      <c r="E67" s="41"/>
      <c r="F67" s="41"/>
      <c r="G67" s="42"/>
    </row>
    <row r="68" spans="3:7" x14ac:dyDescent="0.2">
      <c r="C68" s="30" t="s">
        <v>152</v>
      </c>
      <c r="D68" s="30" t="s">
        <v>553</v>
      </c>
      <c r="E68" s="30" t="s">
        <v>554</v>
      </c>
      <c r="F68" s="30" t="s">
        <v>555</v>
      </c>
      <c r="G68" s="28" t="s">
        <v>556</v>
      </c>
    </row>
    <row r="69" spans="3:7" x14ac:dyDescent="0.2">
      <c r="C69" s="7" t="s">
        <v>273</v>
      </c>
      <c r="D69" s="27">
        <v>90</v>
      </c>
      <c r="E69" s="27">
        <v>180</v>
      </c>
      <c r="F69" s="27">
        <v>5</v>
      </c>
      <c r="G69" s="29">
        <v>10</v>
      </c>
    </row>
    <row r="70" spans="3:7" x14ac:dyDescent="0.2">
      <c r="C70" s="8" t="s">
        <v>184</v>
      </c>
      <c r="D70">
        <v>180</v>
      </c>
      <c r="E70">
        <v>365</v>
      </c>
      <c r="F70">
        <v>3</v>
      </c>
      <c r="G70" s="14">
        <v>6</v>
      </c>
    </row>
    <row r="71" spans="3:7" x14ac:dyDescent="0.2">
      <c r="C71" s="8" t="s">
        <v>303</v>
      </c>
      <c r="D71">
        <v>365</v>
      </c>
      <c r="E71">
        <v>730</v>
      </c>
      <c r="F71">
        <v>2</v>
      </c>
      <c r="G71" s="14">
        <v>4</v>
      </c>
    </row>
    <row r="72" spans="3:7" x14ac:dyDescent="0.2">
      <c r="C72" s="9" t="s">
        <v>167</v>
      </c>
      <c r="D72" s="16">
        <v>9999</v>
      </c>
      <c r="E72" s="16">
        <v>9999</v>
      </c>
      <c r="F72" s="16">
        <v>0</v>
      </c>
      <c r="G72" s="17">
        <v>0</v>
      </c>
    </row>
    <row r="76" spans="3:7" ht="16" customHeight="1" thickBot="1" x14ac:dyDescent="0.25"/>
    <row r="77" spans="3:7" ht="16" customHeight="1" thickBot="1" x14ac:dyDescent="0.25">
      <c r="C77" s="52" t="s">
        <v>557</v>
      </c>
      <c r="D77" s="53"/>
      <c r="E77" s="54"/>
    </row>
    <row r="78" spans="3:7" x14ac:dyDescent="0.2">
      <c r="C78" s="47" t="s">
        <v>558</v>
      </c>
      <c r="D78" s="48"/>
      <c r="E78" s="8">
        <f ca="1">IF(COUNTIFS($A$4:$A$62,"A*",$C$4:$C$62,"&lt;&gt;")=0,"",AVERAGEIFS($O$4:$O$62,$A$4:$A$62,"A*",$C$4:$C$62,"&lt;&gt;"))</f>
        <v>13</v>
      </c>
    </row>
    <row r="79" spans="3:7" x14ac:dyDescent="0.2">
      <c r="C79" s="47" t="s">
        <v>559</v>
      </c>
      <c r="D79" s="48"/>
      <c r="E79" s="8">
        <f ca="1">IF(COUNTIFS($A$4:$A$62,"B*",$C$4:$C$62,"&lt;&gt;")=0,"",AVERAGEIFS($O$4:$O$62,$A$4:$A$62,"B*",$C$4:$C$62,"&lt;&gt;"))</f>
        <v>4.25</v>
      </c>
    </row>
    <row r="80" spans="3:7" x14ac:dyDescent="0.2">
      <c r="C80" s="47" t="s">
        <v>560</v>
      </c>
      <c r="D80" s="48"/>
      <c r="E80" s="8">
        <f ca="1">IF(COUNTIFS($A$4:$A$62,"C*",$C$4:$C$62,"&lt;&gt;")=0,"",AVERAGEIFS($O$4:$O$62,$A$4:$A$62,"C*",$C$4:$C$62,"&lt;&gt;"))</f>
        <v>13.1875</v>
      </c>
    </row>
    <row r="81" spans="3:5" x14ac:dyDescent="0.2">
      <c r="C81" s="47" t="s">
        <v>561</v>
      </c>
      <c r="D81" s="48"/>
      <c r="E81" s="8">
        <f ca="1">IF(COUNTIFS($A$4:$A$62,"D*",$C$4:$C$62,"&lt;&gt;")=0,"",AVERAGEIFS($O$4:$O$62,$A$4:$A$62,"D*",$C$4:$C$62,"&lt;&gt;"))</f>
        <v>0.25</v>
      </c>
    </row>
    <row r="82" spans="3:5" x14ac:dyDescent="0.2">
      <c r="C82" s="47" t="s">
        <v>562</v>
      </c>
      <c r="D82" s="48"/>
      <c r="E82" s="8">
        <f ca="1">IF(COUNTIFS($A$4:$A$62,"E*",$C$4:$C$62,"&lt;&gt;")=0,"",AVERAGEIFS($O$4:$O$62,$A$4:$A$62,"E*",$C$4:$C$62,"&lt;&gt;"))</f>
        <v>7.0526315789473681</v>
      </c>
    </row>
    <row r="83" spans="3:5" x14ac:dyDescent="0.2">
      <c r="C83" s="47" t="s">
        <v>563</v>
      </c>
      <c r="D83" s="48"/>
      <c r="E83" s="8">
        <f ca="1">IF(COUNTIF($C$4:$C$62,"&lt;&gt;")=0,"",AVERAGEIFS($O$4:$O$62,$C$4:$C$62,"&lt;&gt;"))</f>
        <v>7.09375</v>
      </c>
    </row>
    <row r="84" spans="3:5" x14ac:dyDescent="0.2">
      <c r="C84" s="47" t="s">
        <v>564</v>
      </c>
      <c r="D84" s="48"/>
      <c r="E84" s="8" t="str">
        <f ca="1">IF(E83="","",IF(E83&lt;3,"Very Low",IF(E83&lt;6,"Low",IF(E83&lt;9,"Medium",IF(E83&lt;12,"Medium-High","High")))))</f>
        <v>Medium</v>
      </c>
    </row>
    <row r="85" spans="3:5" x14ac:dyDescent="0.2">
      <c r="C85" s="49" t="s">
        <v>565</v>
      </c>
      <c r="D85" s="50"/>
      <c r="E85" s="9" t="str">
        <f ca="1">IF(COUNT($E$78:$E$82)=0,"",IF($E$78=MIN($E$78:$E$82),"A",IF($E$79=MIN($E$78:$E$82),"B",IF($E$80=MIN($E$78:$E$82),"C",IF($E$81=MIN($E$78:$E$82),"D","E")))))</f>
        <v>D</v>
      </c>
    </row>
  </sheetData>
  <mergeCells count="18">
    <mergeCell ref="B40:R40"/>
    <mergeCell ref="B58:R58"/>
    <mergeCell ref="B10:R10"/>
    <mergeCell ref="B3:R3"/>
    <mergeCell ref="C77:E77"/>
    <mergeCell ref="B46:R46"/>
    <mergeCell ref="B20:D20"/>
    <mergeCell ref="B30:R30"/>
    <mergeCell ref="B53:R53"/>
    <mergeCell ref="C85:D85"/>
    <mergeCell ref="C82:D82"/>
    <mergeCell ref="C67:G67"/>
    <mergeCell ref="C80:D80"/>
    <mergeCell ref="C81:D81"/>
    <mergeCell ref="C84:D84"/>
    <mergeCell ref="C83:D83"/>
    <mergeCell ref="C78:D78"/>
    <mergeCell ref="C79:D79"/>
  </mergeCells>
  <conditionalFormatting sqref="O3:O70">
    <cfRule type="colorScale" priority="3">
      <colorScale>
        <cfvo type="num" val="0"/>
        <cfvo type="percentile" val="50"/>
        <cfvo type="num" val="25"/>
        <color rgb="FF73FB79"/>
        <color rgb="FFFFFD78"/>
        <color rgb="FFFF2600"/>
      </colorScale>
    </cfRule>
  </conditionalFormatting>
  <conditionalFormatting sqref="P4:P62">
    <cfRule type="cellIs" dxfId="21" priority="8" stopIfTrue="1" operator="equal">
      <formula>"No Review"</formula>
    </cfRule>
    <cfRule type="cellIs" dxfId="20" priority="9" operator="equal">
      <formula>"Review Required"</formula>
    </cfRule>
  </conditionalFormatting>
  <dataValidations count="1">
    <dataValidation type="list" showInputMessage="1" showErrorMessage="1" sqref="M3:M8 M10:M18 M20:M28 M31:M38 M40:M62" xr:uid="{00000000-0002-0000-0200-000000000000}">
      <formula1>"Critical–Fast,Operational–Medium,Background–Slow,Evergreen–No Penalty"</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topLeftCell="B48" workbookViewId="0">
      <selection activeCell="K4" sqref="K4"/>
    </sheetView>
  </sheetViews>
  <sheetFormatPr baseColWidth="10" defaultColWidth="8.83203125" defaultRowHeight="15" x14ac:dyDescent="0.2"/>
  <cols>
    <col min="1" max="1" width="13" customWidth="1"/>
    <col min="2" max="2" width="235.5" customWidth="1"/>
    <col min="3" max="5" width="14.1640625" customWidth="1"/>
    <col min="6" max="6" width="17.5" customWidth="1"/>
    <col min="7" max="7" width="23.83203125" customWidth="1"/>
    <col min="8" max="10" width="14.1640625" customWidth="1"/>
    <col min="11" max="11" width="24" style="24" customWidth="1"/>
    <col min="12" max="12" width="18.33203125" customWidth="1"/>
    <col min="13" max="13" width="17.83203125" customWidth="1"/>
    <col min="14" max="14" width="16.33203125" customWidth="1"/>
    <col min="15" max="15" width="14.1640625" customWidth="1"/>
    <col min="16" max="16" width="18.5" customWidth="1"/>
    <col min="17" max="17" width="95.6640625" customWidth="1"/>
    <col min="18" max="18" width="66.6640625" customWidth="1"/>
    <col min="20" max="23" width="17.6640625" customWidth="1"/>
  </cols>
  <sheetData>
    <row r="1" spans="1:19" x14ac:dyDescent="0.2">
      <c r="A1" s="1" t="s">
        <v>140</v>
      </c>
      <c r="B1" s="1" t="s">
        <v>141</v>
      </c>
      <c r="C1" s="1" t="s">
        <v>142</v>
      </c>
      <c r="D1" s="1" t="s">
        <v>143</v>
      </c>
      <c r="E1" s="1" t="s">
        <v>144</v>
      </c>
      <c r="F1" s="1" t="s">
        <v>145</v>
      </c>
      <c r="G1" s="1" t="s">
        <v>146</v>
      </c>
      <c r="H1" s="1" t="s">
        <v>147</v>
      </c>
      <c r="I1" s="1" t="s">
        <v>148</v>
      </c>
      <c r="J1" s="1" t="s">
        <v>149</v>
      </c>
      <c r="K1" s="22" t="s">
        <v>150</v>
      </c>
      <c r="L1" s="1" t="s">
        <v>151</v>
      </c>
      <c r="M1" s="1" t="s">
        <v>152</v>
      </c>
      <c r="N1" s="1" t="s">
        <v>153</v>
      </c>
      <c r="O1" s="1" t="s">
        <v>154</v>
      </c>
      <c r="P1" s="1" t="s">
        <v>155</v>
      </c>
      <c r="Q1" s="1" t="s">
        <v>156</v>
      </c>
      <c r="R1" s="1" t="s">
        <v>157</v>
      </c>
      <c r="S1" t="s">
        <v>158</v>
      </c>
    </row>
    <row r="2" spans="1:19" x14ac:dyDescent="0.2">
      <c r="A2" s="4"/>
      <c r="B2" s="5" t="s">
        <v>754</v>
      </c>
      <c r="C2" s="4"/>
      <c r="D2" s="4"/>
      <c r="E2" s="4"/>
      <c r="F2" s="4"/>
      <c r="G2" s="4"/>
      <c r="H2" s="4"/>
      <c r="I2" s="4"/>
      <c r="J2" s="4"/>
      <c r="K2" s="23"/>
      <c r="L2" s="4"/>
      <c r="M2" s="4"/>
      <c r="N2" s="4"/>
      <c r="O2" s="4"/>
      <c r="P2" s="4"/>
      <c r="Q2" s="4"/>
      <c r="R2" s="4"/>
    </row>
    <row r="3" spans="1:19" x14ac:dyDescent="0.2">
      <c r="A3" s="3"/>
      <c r="B3" s="44"/>
      <c r="C3" s="45"/>
      <c r="D3" s="45"/>
      <c r="E3" s="45"/>
      <c r="F3" s="45"/>
      <c r="G3" s="45"/>
      <c r="H3" s="45"/>
      <c r="I3" s="45"/>
      <c r="J3" s="45"/>
      <c r="K3" s="46"/>
      <c r="L3" s="45"/>
      <c r="M3" s="45"/>
      <c r="N3" s="45"/>
      <c r="O3" s="45"/>
      <c r="P3" s="45"/>
      <c r="Q3" s="45"/>
      <c r="R3" s="45"/>
    </row>
    <row r="4" spans="1:19" x14ac:dyDescent="0.2">
      <c r="A4" t="s">
        <v>160</v>
      </c>
      <c r="B4" t="s">
        <v>755</v>
      </c>
      <c r="C4" t="s">
        <v>756</v>
      </c>
      <c r="D4" t="s">
        <v>163</v>
      </c>
      <c r="E4">
        <f>IF(C4="Transparent",0,IF(C4="Optional privacy",10,IF(C4="Native privacy coin",20,IF(C4="Unknown",10,""))))</f>
        <v>0</v>
      </c>
      <c r="F4">
        <f>IF(D4="High",0,IF(D4="Medium",0.05,IF(D4="Low",0.1,IF(D4="Unknown",0.15,""))))</f>
        <v>0</v>
      </c>
      <c r="G4">
        <f>E4*(1+F4)</f>
        <v>0</v>
      </c>
      <c r="H4" t="s">
        <v>757</v>
      </c>
      <c r="J4" t="s">
        <v>166</v>
      </c>
      <c r="K4" s="24" t="str">
        <f>IF(I4="","",MAX(IFERROR(DATEVALUE(TRIM(MID(SUBSTITUTE(I4,";",REPT(" ",50)),1,50))),0),IFERROR(DATEVALUE(TRIM(MID(SUBSTITUTE(I4,";",REPT(" ",50)),51,50))),0),IFERROR(DATEVALUE(TRIM(MID(SUBSTITUTE(I4,";",REPT(" ",50)),101,50))),0),IFERROR(DATEVALUE(TRIM(MID(SUBSTITUTE(I4,";",REPT(" ",50)),151,50))),0),IFERROR(DATEVALUE(TRIM(MID(SUBSTITUTE(I4,";",REPT(" ",50)),201,50))),0),IFERROR(DATEVALUE(TRIM(MID(SUBSTITUTE(I4,";",REPT(" ",50)),251,50))),0),IFERROR(DATEVALUE(TRIM(MID(SUBSTITUTE(I4,";",REPT(" ",50)),301,50))),0),IFERROR(DATEVALUE(TRIM(MID(SUBSTITUTE(I4,";",REPT(" ",50)),351,50))),0),IFERROR(DATEVALUE(TRIM(MID(SUBSTITUTE(I4,";",REPT(" ",50)),401,50))),0),IFERROR(DATEVALUE(TRIM(MID(SUBSTITUTE(I4,";",REPT(" ",50)),451,50))),0)))</f>
        <v/>
      </c>
      <c r="L4" t="str">
        <f ca="1">IF(K4="","",TODAY()-K4)</f>
        <v/>
      </c>
      <c r="M4" t="s">
        <v>167</v>
      </c>
      <c r="N4">
        <f ca="1">IF(M4="","",IF(L4="",INDEX($F$63:$F$66,MATCH(M4,$C$63:$C$66,0)),IF(L4&lt;=INDEX($D$63:$D$66,MATCH(M4,$C$63:$C$66,0)),0,IF(L4&lt;=INDEX($E$63:$E$66,MATCH(M4,$C$63:$C$66,0)),INDEX($F$63:$F$66,MATCH(M4,$C$63:$C$66,0)),INDEX($G$63:$G$66,MATCH(M4,$C$63:$C$66,0))))))</f>
        <v>0</v>
      </c>
      <c r="O4">
        <f ca="1">G4+N4</f>
        <v>0</v>
      </c>
      <c r="P4" t="str">
        <f>IF(C4="Native privacy coin","Review Required","No Review")</f>
        <v>No Review</v>
      </c>
      <c r="Q4" t="s">
        <v>758</v>
      </c>
      <c r="R4" t="s">
        <v>759</v>
      </c>
    </row>
    <row r="5" spans="1:19" x14ac:dyDescent="0.2">
      <c r="A5" t="s">
        <v>171</v>
      </c>
      <c r="B5" t="s">
        <v>760</v>
      </c>
      <c r="C5" t="s">
        <v>761</v>
      </c>
      <c r="D5" t="s">
        <v>163</v>
      </c>
      <c r="E5">
        <f>IF(C5="None",0,IF(C5="Limited",10,IF(C5="Structural",20,IF(C5="Unknown",10,""))))</f>
        <v>0</v>
      </c>
      <c r="F5">
        <f>IF(D5="High",0,IF(D5="Medium",0.05,IF(D5="Low",0.1,IF(D5="Unknown",0.15,""))))</f>
        <v>0</v>
      </c>
      <c r="G5">
        <f>E5*(1+F5)</f>
        <v>0</v>
      </c>
      <c r="H5" t="s">
        <v>762</v>
      </c>
      <c r="I5" t="s">
        <v>763</v>
      </c>
      <c r="J5" t="s">
        <v>166</v>
      </c>
      <c r="K5" s="24">
        <f>IF(I5="","",MAX(IFERROR(DATEVALUE(TRIM(MID(SUBSTITUTE(I5,";",REPT(" ",50)),1,50))),0),IFERROR(DATEVALUE(TRIM(MID(SUBSTITUTE(I5,";",REPT(" ",50)),51,50))),0),IFERROR(DATEVALUE(TRIM(MID(SUBSTITUTE(I5,";",REPT(" ",50)),101,50))),0),IFERROR(DATEVALUE(TRIM(MID(SUBSTITUTE(I5,";",REPT(" ",50)),151,50))),0),IFERROR(DATEVALUE(TRIM(MID(SUBSTITUTE(I5,";",REPT(" ",50)),201,50))),0),IFERROR(DATEVALUE(TRIM(MID(SUBSTITUTE(I5,";",REPT(" ",50)),251,50))),0),IFERROR(DATEVALUE(TRIM(MID(SUBSTITUTE(I5,";",REPT(" ",50)),301,50))),0),IFERROR(DATEVALUE(TRIM(MID(SUBSTITUTE(I5,";",REPT(" ",50)),351,50))),0),IFERROR(DATEVALUE(TRIM(MID(SUBSTITUTE(I5,";",REPT(" ",50)),401,50))),0),IFERROR(DATEVALUE(TRIM(MID(SUBSTITUTE(I5,";",REPT(" ",50)),451,50))),0)))</f>
        <v>45078</v>
      </c>
      <c r="L5">
        <f ca="1">IF(K5="","",TODAY()-K5)</f>
        <v>926</v>
      </c>
      <c r="M5" t="s">
        <v>167</v>
      </c>
      <c r="N5">
        <f ca="1">IF(M5="","",IF(L5="",INDEX($F$63:$F$66,MATCH(M5,$C$63:$C$66,0)),IF(L5&lt;=INDEX($D$63:$D$66,MATCH(M5,$C$63:$C$66,0)),0,IF(L5&lt;=INDEX($E$63:$E$66,MATCH(M5,$C$63:$C$66,0)),INDEX($F$63:$F$66,MATCH(M5,$C$63:$C$66,0)),INDEX($G$63:$G$66,MATCH(M5,$C$63:$C$66,0))))))</f>
        <v>0</v>
      </c>
      <c r="O5">
        <f ca="1">G5+N5</f>
        <v>0</v>
      </c>
      <c r="P5" t="str">
        <f>IF(C5="Structural","Review Required","No Review")</f>
        <v>No Review</v>
      </c>
      <c r="Q5" t="s">
        <v>764</v>
      </c>
      <c r="R5" t="s">
        <v>765</v>
      </c>
    </row>
    <row r="6" spans="1:19" x14ac:dyDescent="0.2">
      <c r="A6" t="s">
        <v>179</v>
      </c>
      <c r="B6" t="s">
        <v>766</v>
      </c>
      <c r="C6" t="s">
        <v>767</v>
      </c>
      <c r="D6" t="s">
        <v>163</v>
      </c>
      <c r="E6">
        <f>IF(C6="Full coverage",0,IF(C6="Partial coverage",10,IF(C6="Low coverage",20,IF(C6="Unknown",10,""))))</f>
        <v>0</v>
      </c>
      <c r="F6">
        <f>IF(D6="High",0,IF(D6="Medium",0.05,IF(D6="Low",0.1,IF(D6="Unknown",0.15,""))))</f>
        <v>0</v>
      </c>
      <c r="G6">
        <f>E6*(1+F6)</f>
        <v>0</v>
      </c>
      <c r="H6" t="s">
        <v>768</v>
      </c>
      <c r="J6" t="s">
        <v>176</v>
      </c>
      <c r="K6" s="24" t="str">
        <f>IF(I6="","",MAX(IFERROR(DATEVALUE(TRIM(MID(SUBSTITUTE(I6,";",REPT(" ",50)),1,50))),0),IFERROR(DATEVALUE(TRIM(MID(SUBSTITUTE(I6,";",REPT(" ",50)),51,50))),0),IFERROR(DATEVALUE(TRIM(MID(SUBSTITUTE(I6,";",REPT(" ",50)),101,50))),0),IFERROR(DATEVALUE(TRIM(MID(SUBSTITUTE(I6,";",REPT(" ",50)),151,50))),0),IFERROR(DATEVALUE(TRIM(MID(SUBSTITUTE(I6,";",REPT(" ",50)),201,50))),0),IFERROR(DATEVALUE(TRIM(MID(SUBSTITUTE(I6,";",REPT(" ",50)),251,50))),0),IFERROR(DATEVALUE(TRIM(MID(SUBSTITUTE(I6,";",REPT(" ",50)),301,50))),0),IFERROR(DATEVALUE(TRIM(MID(SUBSTITUTE(I6,";",REPT(" ",50)),351,50))),0),IFERROR(DATEVALUE(TRIM(MID(SUBSTITUTE(I6,";",REPT(" ",50)),401,50))),0),IFERROR(DATEVALUE(TRIM(MID(SUBSTITUTE(I6,";",REPT(" ",50)),451,50))),0)))</f>
        <v/>
      </c>
      <c r="L6" t="str">
        <f ca="1">IF(K6="","",TODAY()-K6)</f>
        <v/>
      </c>
      <c r="M6" t="s">
        <v>184</v>
      </c>
      <c r="N6">
        <f ca="1">IF(M6="","",IF(L6="",INDEX($F$63:$F$66,MATCH(M6,$C$63:$C$66,0)),IF(L6&lt;=INDEX($D$63:$D$66,MATCH(M6,$C$63:$C$66,0)),0,IF(L6&lt;=INDEX($E$63:$E$66,MATCH(M6,$C$63:$C$66,0)),INDEX($F$63:$F$66,MATCH(M6,$C$63:$C$66,0)),INDEX($G$63:$G$66,MATCH(M6,$C$63:$C$66,0))))))</f>
        <v>3</v>
      </c>
      <c r="O6">
        <f ca="1">G6+N6</f>
        <v>3</v>
      </c>
      <c r="P6" t="s">
        <v>168</v>
      </c>
      <c r="R6" t="s">
        <v>769</v>
      </c>
    </row>
    <row r="7" spans="1:19" x14ac:dyDescent="0.2">
      <c r="A7" t="s">
        <v>200</v>
      </c>
      <c r="B7" t="s">
        <v>770</v>
      </c>
      <c r="C7" t="s">
        <v>771</v>
      </c>
      <c r="D7" t="s">
        <v>197</v>
      </c>
      <c r="E7">
        <v>0</v>
      </c>
      <c r="F7">
        <f>IF(D7="High",0,IF(D7="Medium",0.05,IF(D7="Low",0.1,IF(D7="Unknown",0.15,""))))</f>
        <v>0.05</v>
      </c>
      <c r="G7">
        <f>E7*(1+F7)</f>
        <v>0</v>
      </c>
      <c r="H7" t="s">
        <v>772</v>
      </c>
      <c r="I7" t="s">
        <v>773</v>
      </c>
      <c r="J7" t="s">
        <v>166</v>
      </c>
      <c r="K7" s="24">
        <f>IF(I7="","",MAX(IFERROR(DATEVALUE(TRIM(MID(SUBSTITUTE(I7,";",REPT(" ",50)),1,50))),0),IFERROR(DATEVALUE(TRIM(MID(SUBSTITUTE(I7,";",REPT(" ",50)),51,50))),0),IFERROR(DATEVALUE(TRIM(MID(SUBSTITUTE(I7,";",REPT(" ",50)),101,50))),0),IFERROR(DATEVALUE(TRIM(MID(SUBSTITUTE(I7,";",REPT(" ",50)),151,50))),0),IFERROR(DATEVALUE(TRIM(MID(SUBSTITUTE(I7,";",REPT(" ",50)),201,50))),0),IFERROR(DATEVALUE(TRIM(MID(SUBSTITUTE(I7,";",REPT(" ",50)),251,50))),0),IFERROR(DATEVALUE(TRIM(MID(SUBSTITUTE(I7,";",REPT(" ",50)),301,50))),0),IFERROR(DATEVALUE(TRIM(MID(SUBSTITUTE(I7,";",REPT(" ",50)),351,50))),0),IFERROR(DATEVALUE(TRIM(MID(SUBSTITUTE(I7,";",REPT(" ",50)),401,50))),0),IFERROR(DATEVALUE(TRIM(MID(SUBSTITUTE(I7,";",REPT(" ",50)),451,50))),0)))</f>
        <v>45413</v>
      </c>
      <c r="L7">
        <f ca="1">IF(K7="","",TODAY()-K7)</f>
        <v>591</v>
      </c>
      <c r="M7" t="s">
        <v>303</v>
      </c>
      <c r="N7">
        <f ca="1">IF(M7="","",IF(L7="",INDEX($F$63:$F$66,MATCH(M7,$C$63:$C$66,0)),IF(L7&lt;=INDEX($D$63:$D$66,MATCH(M7,$C$63:$C$66,0)),0,IF(L7&lt;=INDEX($E$63:$E$66,MATCH(M7,$C$63:$C$66,0)),INDEX($F$63:$F$66,MATCH(M7,$C$63:$C$66,0)),INDEX($G$63:$G$66,MATCH(M7,$C$63:$C$66,0))))))</f>
        <v>2</v>
      </c>
      <c r="O7">
        <f ca="1">G7+N7</f>
        <v>2</v>
      </c>
      <c r="P7" t="s">
        <v>168</v>
      </c>
      <c r="Q7" t="s">
        <v>435</v>
      </c>
      <c r="R7" t="s">
        <v>774</v>
      </c>
    </row>
    <row r="8" spans="1:19" x14ac:dyDescent="0.2">
      <c r="A8" s="3"/>
      <c r="B8" s="44"/>
      <c r="C8" s="45"/>
      <c r="D8" s="45"/>
      <c r="E8" s="45"/>
      <c r="F8" s="45"/>
      <c r="G8" s="45"/>
      <c r="H8" s="45"/>
      <c r="I8" s="45"/>
      <c r="J8" s="45"/>
      <c r="K8" s="46"/>
      <c r="L8" s="45"/>
      <c r="M8" s="45"/>
      <c r="N8" s="45"/>
      <c r="O8" s="45"/>
      <c r="P8" s="45"/>
      <c r="Q8" s="45"/>
      <c r="R8" s="45"/>
    </row>
    <row r="9" spans="1:19" x14ac:dyDescent="0.2">
      <c r="A9" t="s">
        <v>207</v>
      </c>
      <c r="B9" t="s">
        <v>775</v>
      </c>
      <c r="C9" t="s">
        <v>229</v>
      </c>
      <c r="D9" t="s">
        <v>163</v>
      </c>
      <c r="E9">
        <f>IF(C9="On-chain dominant",0,IF(C9="Mixed",10,IF(C9="Off-chain/opaque dominant",20,IF(C9="Unknown",10,""))))</f>
        <v>10</v>
      </c>
      <c r="F9">
        <f>IF(D9="High",0,IF(D9="Medium",0.05,IF(D9="Low",0.1,IF(D9="Unknown",0.15,""))))</f>
        <v>0</v>
      </c>
      <c r="G9">
        <f>E9*(1+F9)</f>
        <v>10</v>
      </c>
      <c r="H9" t="s">
        <v>776</v>
      </c>
      <c r="J9" t="s">
        <v>176</v>
      </c>
      <c r="K9" s="24" t="str">
        <f>IF(I9="","",MAX(IFERROR(DATEVALUE(TRIM(MID(SUBSTITUTE(I9,";",REPT(" ",50)),1,50))),0),IFERROR(DATEVALUE(TRIM(MID(SUBSTITUTE(I9,";",REPT(" ",50)),51,50))),0),IFERROR(DATEVALUE(TRIM(MID(SUBSTITUTE(I9,";",REPT(" ",50)),101,50))),0),IFERROR(DATEVALUE(TRIM(MID(SUBSTITUTE(I9,";",REPT(" ",50)),151,50))),0),IFERROR(DATEVALUE(TRIM(MID(SUBSTITUTE(I9,";",REPT(" ",50)),201,50))),0),IFERROR(DATEVALUE(TRIM(MID(SUBSTITUTE(I9,";",REPT(" ",50)),251,50))),0),IFERROR(DATEVALUE(TRIM(MID(SUBSTITUTE(I9,";",REPT(" ",50)),301,50))),0),IFERROR(DATEVALUE(TRIM(MID(SUBSTITUTE(I9,";",REPT(" ",50)),351,50))),0),IFERROR(DATEVALUE(TRIM(MID(SUBSTITUTE(I9,";",REPT(" ",50)),401,50))),0),IFERROR(DATEVALUE(TRIM(MID(SUBSTITUTE(I9,";",REPT(" ",50)),451,50))),0)))</f>
        <v/>
      </c>
      <c r="L9" t="str">
        <f ca="1">IF(K9="","",TODAY()-K9)</f>
        <v/>
      </c>
      <c r="M9" t="s">
        <v>184</v>
      </c>
      <c r="N9">
        <f ca="1">IF(M9="","",IF(L9="",INDEX($F$63:$F$66,MATCH(M9,$C$63:$C$66,0)),IF(L9&lt;=INDEX($D$63:$D$66,MATCH(M9,$C$63:$C$66,0)),0,IF(L9&lt;=INDEX($E$63:$E$66,MATCH(M9,$C$63:$C$66,0)),INDEX($F$63:$F$66,MATCH(M9,$C$63:$C$66,0)),INDEX($G$63:$G$66,MATCH(M9,$C$63:$C$66,0))))))</f>
        <v>3</v>
      </c>
      <c r="O9">
        <f ca="1">G9+N9</f>
        <v>13</v>
      </c>
      <c r="P9" t="s">
        <v>168</v>
      </c>
      <c r="Q9" t="s">
        <v>777</v>
      </c>
      <c r="R9" t="s">
        <v>778</v>
      </c>
    </row>
    <row r="10" spans="1:19" x14ac:dyDescent="0.2">
      <c r="A10" t="s">
        <v>213</v>
      </c>
      <c r="B10" t="s">
        <v>779</v>
      </c>
      <c r="C10" t="s">
        <v>780</v>
      </c>
      <c r="D10" t="s">
        <v>197</v>
      </c>
      <c r="E10">
        <f>IF(C10="Rare",0,IF(C10="Occasional",10,IF(C10="Frequent/structural",20,IF(C10="Unknown",10,""))))</f>
        <v>0</v>
      </c>
      <c r="F10">
        <f>IF(D10="High",0,IF(D10="Medium",0.05,IF(D10="Low",0.1,IF(D10="Unknown",0.15,""))))</f>
        <v>0.05</v>
      </c>
      <c r="G10">
        <f>E10*(1+F10)</f>
        <v>0</v>
      </c>
      <c r="H10" t="s">
        <v>781</v>
      </c>
      <c r="I10" t="s">
        <v>782</v>
      </c>
      <c r="J10" t="s">
        <v>176</v>
      </c>
      <c r="K10" s="24">
        <f>IF(I10="","",MAX(IFERROR(DATEVALUE(TRIM(MID(SUBSTITUTE(I10,";",REPT(" ",50)),1,50))),0),IFERROR(DATEVALUE(TRIM(MID(SUBSTITUTE(I10,";",REPT(" ",50)),51,50))),0),IFERROR(DATEVALUE(TRIM(MID(SUBSTITUTE(I10,";",REPT(" ",50)),101,50))),0),IFERROR(DATEVALUE(TRIM(MID(SUBSTITUTE(I10,";",REPT(" ",50)),151,50))),0),IFERROR(DATEVALUE(TRIM(MID(SUBSTITUTE(I10,";",REPT(" ",50)),201,50))),0),IFERROR(DATEVALUE(TRIM(MID(SUBSTITUTE(I10,";",REPT(" ",50)),251,50))),0),IFERROR(DATEVALUE(TRIM(MID(SUBSTITUTE(I10,";",REPT(" ",50)),301,50))),0),IFERROR(DATEVALUE(TRIM(MID(SUBSTITUTE(I10,";",REPT(" ",50)),351,50))),0),IFERROR(DATEVALUE(TRIM(MID(SUBSTITUTE(I10,";",REPT(" ",50)),401,50))),0),IFERROR(DATEVALUE(TRIM(MID(SUBSTITUTE(I10,";",REPT(" ",50)),451,50))),0)))</f>
        <v>45870</v>
      </c>
      <c r="L10">
        <f ca="1">IF(K10="","",TODAY()-K10)</f>
        <v>134</v>
      </c>
      <c r="M10" t="s">
        <v>184</v>
      </c>
      <c r="N10">
        <f ca="1">IF(M10="","",IF(L10="",INDEX($F$63:$F$66,MATCH(M10,$C$63:$C$66,0)),IF(L10&lt;=INDEX($D$63:$D$66,MATCH(M10,$C$63:$C$66,0)),0,IF(L10&lt;=INDEX($E$63:$E$66,MATCH(M10,$C$63:$C$66,0)),INDEX($F$63:$F$66,MATCH(M10,$C$63:$C$66,0)),INDEX($G$63:$G$66,MATCH(M10,$C$63:$C$66,0))))))</f>
        <v>0</v>
      </c>
      <c r="O10">
        <f ca="1">G10+N10</f>
        <v>0</v>
      </c>
      <c r="P10" t="s">
        <v>168</v>
      </c>
      <c r="Q10" t="s">
        <v>783</v>
      </c>
      <c r="R10" t="s">
        <v>784</v>
      </c>
    </row>
    <row r="11" spans="1:19" x14ac:dyDescent="0.2">
      <c r="A11" t="s">
        <v>217</v>
      </c>
      <c r="B11" t="s">
        <v>785</v>
      </c>
      <c r="C11" t="s">
        <v>786</v>
      </c>
      <c r="D11" t="s">
        <v>197</v>
      </c>
      <c r="E11">
        <f>IF(C11="No material usage",0,IF(C11="Some usage",10,IF(C11="Heavy/structural usage",20,IF(C11="Unknown",10,""))))</f>
        <v>0</v>
      </c>
      <c r="F11">
        <f>IF(D11="High",0,IF(D11="Medium",0.05,IF(D11="Low",0.1,IF(D11="Unknown",0.15,""))))</f>
        <v>0.05</v>
      </c>
      <c r="G11">
        <f>E11*(1+F11)</f>
        <v>0</v>
      </c>
      <c r="K11" s="24" t="str">
        <f>IF(I11="","",MAX(IFERROR(DATEVALUE(TRIM(MID(SUBSTITUTE(I11,";",REPT(" ",50)),1,50))),0),IFERROR(DATEVALUE(TRIM(MID(SUBSTITUTE(I11,";",REPT(" ",50)),51,50))),0),IFERROR(DATEVALUE(TRIM(MID(SUBSTITUTE(I11,";",REPT(" ",50)),101,50))),0),IFERROR(DATEVALUE(TRIM(MID(SUBSTITUTE(I11,";",REPT(" ",50)),151,50))),0),IFERROR(DATEVALUE(TRIM(MID(SUBSTITUTE(I11,";",REPT(" ",50)),201,50))),0),IFERROR(DATEVALUE(TRIM(MID(SUBSTITUTE(I11,";",REPT(" ",50)),251,50))),0),IFERROR(DATEVALUE(TRIM(MID(SUBSTITUTE(I11,";",REPT(" ",50)),301,50))),0),IFERROR(DATEVALUE(TRIM(MID(SUBSTITUTE(I11,";",REPT(" ",50)),351,50))),0),IFERROR(DATEVALUE(TRIM(MID(SUBSTITUTE(I11,";",REPT(" ",50)),401,50))),0),IFERROR(DATEVALUE(TRIM(MID(SUBSTITUTE(I11,";",REPT(" ",50)),451,50))),0)))</f>
        <v/>
      </c>
      <c r="L11" t="str">
        <f ca="1">IF(K11="","",TODAY()-K11)</f>
        <v/>
      </c>
      <c r="M11" t="s">
        <v>184</v>
      </c>
      <c r="N11">
        <f ca="1">IF(M11="","",IF(L11="",INDEX($F$63:$F$66,MATCH(M11,$C$63:$C$66,0)),IF(L11&lt;=INDEX($D$63:$D$66,MATCH(M11,$C$63:$C$66,0)),0,IF(L11&lt;=INDEX($E$63:$E$66,MATCH(M11,$C$63:$C$66,0)),INDEX($F$63:$F$66,MATCH(M11,$C$63:$C$66,0)),INDEX($G$63:$G$66,MATCH(M11,$C$63:$C$66,0))))))</f>
        <v>3</v>
      </c>
      <c r="O11">
        <f ca="1">G11+N11</f>
        <v>3</v>
      </c>
      <c r="P11" t="str">
        <f>IF(C11="Heavy/structural usage","Review Required","No Review")</f>
        <v>No Review</v>
      </c>
      <c r="Q11" t="s">
        <v>787</v>
      </c>
      <c r="R11" t="s">
        <v>788</v>
      </c>
    </row>
    <row r="12" spans="1:19" x14ac:dyDescent="0.2">
      <c r="A12" t="s">
        <v>222</v>
      </c>
      <c r="B12" t="s">
        <v>789</v>
      </c>
      <c r="C12" t="s">
        <v>790</v>
      </c>
      <c r="D12" t="s">
        <v>197</v>
      </c>
      <c r="E12">
        <v>0</v>
      </c>
      <c r="F12">
        <f>IF(D12="High",0,IF(D12="Medium",0.05,IF(D12="Low",0.1,IF(D12="Unknown",0.15,""))))</f>
        <v>0.05</v>
      </c>
      <c r="G12">
        <f>E12*(1+F12)</f>
        <v>0</v>
      </c>
      <c r="H12" t="s">
        <v>791</v>
      </c>
      <c r="I12" t="s">
        <v>792</v>
      </c>
      <c r="J12" t="s">
        <v>176</v>
      </c>
      <c r="K12" s="24">
        <f>IF(I12="","",MAX(IFERROR(DATEVALUE(TRIM(MID(SUBSTITUTE(I12,";",REPT(" ",50)),1,50))),0),IFERROR(DATEVALUE(TRIM(MID(SUBSTITUTE(I12,";",REPT(" ",50)),51,50))),0),IFERROR(DATEVALUE(TRIM(MID(SUBSTITUTE(I12,";",REPT(" ",50)),101,50))),0),IFERROR(DATEVALUE(TRIM(MID(SUBSTITUTE(I12,";",REPT(" ",50)),151,50))),0),IFERROR(DATEVALUE(TRIM(MID(SUBSTITUTE(I12,";",REPT(" ",50)),201,50))),0),IFERROR(DATEVALUE(TRIM(MID(SUBSTITUTE(I12,";",REPT(" ",50)),251,50))),0),IFERROR(DATEVALUE(TRIM(MID(SUBSTITUTE(I12,";",REPT(" ",50)),301,50))),0),IFERROR(DATEVALUE(TRIM(MID(SUBSTITUTE(I12,";",REPT(" ",50)),351,50))),0),IFERROR(DATEVALUE(TRIM(MID(SUBSTITUTE(I12,";",REPT(" ",50)),401,50))),0),IFERROR(DATEVALUE(TRIM(MID(SUBSTITUTE(I12,";",REPT(" ",50)),451,50))),0)))</f>
        <v>45413</v>
      </c>
      <c r="L12">
        <f ca="1">IF(K12="","",TODAY()-K12)</f>
        <v>591</v>
      </c>
      <c r="M12" t="s">
        <v>303</v>
      </c>
      <c r="N12">
        <f ca="1">IF(M12="","",IF(L12="",INDEX($F$63:$F$66,MATCH(M12,$C$63:$C$66,0)),IF(L12&lt;=INDEX($D$63:$D$66,MATCH(M12,$C$63:$C$66,0)),0,IF(L12&lt;=INDEX($E$63:$E$66,MATCH(M12,$C$63:$C$66,0)),INDEX($F$63:$F$66,MATCH(M12,$C$63:$C$66,0)),INDEX($G$63:$G$66,MATCH(M12,$C$63:$C$66,0))))))</f>
        <v>2</v>
      </c>
      <c r="O12">
        <f ca="1">G12+N12</f>
        <v>2</v>
      </c>
      <c r="P12" t="s">
        <v>168</v>
      </c>
      <c r="Q12" t="s">
        <v>435</v>
      </c>
      <c r="R12" t="s">
        <v>793</v>
      </c>
    </row>
    <row r="13" spans="1:19" x14ac:dyDescent="0.2">
      <c r="A13" s="4"/>
      <c r="B13" s="5" t="s">
        <v>794</v>
      </c>
      <c r="C13" s="4"/>
      <c r="D13" s="4"/>
      <c r="E13" s="4"/>
      <c r="F13" s="4"/>
      <c r="G13" s="4"/>
      <c r="H13" s="4"/>
      <c r="I13" s="4"/>
      <c r="J13" s="4"/>
      <c r="K13" s="23" t="str">
        <f>IF(I13="","",MAX(IFERROR(DATEVALUE(TRIM(MID(SUBSTITUTE(I13,";",REPT(" ",50)),1,50))),0),IFERROR(DATEVALUE(TRIM(MID(SUBSTITUTE(I13,";",REPT(" ",50)),51,50))),0),IFERROR(DATEVALUE(TRIM(MID(SUBSTITUTE(I13,";",REPT(" ",50)),101,50))),0),IFERROR(DATEVALUE(TRIM(MID(SUBSTITUTE(I13,";",REPT(" ",50)),151,50))),0),IFERROR(DATEVALUE(TRIM(MID(SUBSTITUTE(I13,";",REPT(" ",50)),201,50))),0),IFERROR(DATEVALUE(TRIM(MID(SUBSTITUTE(I13,";",REPT(" ",50)),251,50))),0),IFERROR(DATEVALUE(TRIM(MID(SUBSTITUTE(I13,";",REPT(" ",50)),301,50))),0),IFERROR(DATEVALUE(TRIM(MID(SUBSTITUTE(I13,";",REPT(" ",50)),351,50))),0),IFERROR(DATEVALUE(TRIM(MID(SUBSTITUTE(I13,";",REPT(" ",50)),401,50))),0),IFERROR(DATEVALUE(TRIM(MID(SUBSTITUTE(I13,";",REPT(" ",50)),451,50))),0)))</f>
        <v/>
      </c>
      <c r="L13" s="4"/>
      <c r="M13" s="4"/>
      <c r="N13" s="4" t="str">
        <f>IF(M13="","",IF(L13="",INDEX($F$63:$F$66,MATCH(M13,$C$63:$C$66,0)),IF(L13&lt;=INDEX($D$63:$D$66,MATCH(M13,$C$63:$C$66,0)),0,IF(L13&lt;=INDEX($E$63:$E$66,MATCH(M13,$C$63:$C$66,0)),INDEX($F$63:$F$66,MATCH(M13,$C$63:$C$66,0)),INDEX($G$63:$G$66,MATCH(M13,$C$63:$C$66,0))))))</f>
        <v/>
      </c>
      <c r="O13" s="4"/>
      <c r="P13" s="4"/>
      <c r="Q13" s="4"/>
      <c r="R13" s="4"/>
    </row>
    <row r="14" spans="1:19" x14ac:dyDescent="0.2">
      <c r="A14" s="3"/>
      <c r="B14" s="44"/>
      <c r="C14" s="45"/>
      <c r="D14" s="45"/>
      <c r="E14" s="45"/>
      <c r="F14" s="45"/>
      <c r="G14" s="45"/>
      <c r="H14" s="45"/>
      <c r="I14" s="45"/>
      <c r="J14" s="45"/>
      <c r="K14" s="46"/>
      <c r="L14" s="45"/>
      <c r="M14" s="45"/>
      <c r="N14" s="45"/>
      <c r="O14" s="45"/>
      <c r="P14" s="45"/>
      <c r="Q14" s="45"/>
      <c r="R14" s="45"/>
    </row>
    <row r="15" spans="1:19" x14ac:dyDescent="0.2">
      <c r="A15" t="s">
        <v>241</v>
      </c>
      <c r="B15" t="s">
        <v>795</v>
      </c>
      <c r="C15" t="s">
        <v>796</v>
      </c>
      <c r="D15" t="s">
        <v>197</v>
      </c>
      <c r="E15">
        <f>IF(C15="No",0,IF(C15="Indirect association only",10,IF(C15="Direct listing / designation",20,IF(C15="Unknown",10,""))))</f>
        <v>10</v>
      </c>
      <c r="F15">
        <f>IF(D15="High",0,IF(D15="Medium",0.05,IF(D15="Low",0.1,IF(D15="Unknown",0.15,""))))</f>
        <v>0.05</v>
      </c>
      <c r="G15">
        <f>E15*(1+F15)</f>
        <v>10.5</v>
      </c>
      <c r="H15" t="s">
        <v>797</v>
      </c>
      <c r="I15" t="s">
        <v>798</v>
      </c>
      <c r="J15" t="s">
        <v>166</v>
      </c>
      <c r="K15" s="24">
        <f>IF(I15="","",MAX(IFERROR(DATEVALUE(TRIM(MID(SUBSTITUTE(I15,";",REPT(" ",50)),1,50))),0),IFERROR(DATEVALUE(TRIM(MID(SUBSTITUTE(I15,";",REPT(" ",50)),51,50))),0),IFERROR(DATEVALUE(TRIM(MID(SUBSTITUTE(I15,";",REPT(" ",50)),101,50))),0),IFERROR(DATEVALUE(TRIM(MID(SUBSTITUTE(I15,";",REPT(" ",50)),151,50))),0),IFERROR(DATEVALUE(TRIM(MID(SUBSTITUTE(I15,";",REPT(" ",50)),201,50))),0),IFERROR(DATEVALUE(TRIM(MID(SUBSTITUTE(I15,";",REPT(" ",50)),251,50))),0),IFERROR(DATEVALUE(TRIM(MID(SUBSTITUTE(I15,";",REPT(" ",50)),301,50))),0),IFERROR(DATEVALUE(TRIM(MID(SUBSTITUTE(I15,";",REPT(" ",50)),351,50))),0),IFERROR(DATEVALUE(TRIM(MID(SUBSTITUTE(I15,";",REPT(" ",50)),401,50))),0),IFERROR(DATEVALUE(TRIM(MID(SUBSTITUTE(I15,";",REPT(" ",50)),451,50))),0)))</f>
        <v>45901</v>
      </c>
      <c r="L15">
        <f ca="1">IF(K15="","",TODAY()-K15)</f>
        <v>103</v>
      </c>
      <c r="M15" t="s">
        <v>273</v>
      </c>
      <c r="N15">
        <f ca="1">IF(M15="","",IF(L15="",INDEX($F$63:$F$66,MATCH(M15,$C$63:$C$66,0)),IF(L15&lt;=INDEX($D$63:$D$66,MATCH(M15,$C$63:$C$66,0)),0,IF(L15&lt;=INDEX($E$63:$E$66,MATCH(M15,$C$63:$C$66,0)),INDEX($F$63:$F$66,MATCH(M15,$C$63:$C$66,0)),INDEX($G$63:$G$66,MATCH(M15,$C$63:$C$66,0))))))</f>
        <v>5</v>
      </c>
      <c r="O15">
        <f ca="1">G15+N15</f>
        <v>15.5</v>
      </c>
      <c r="P15" t="str">
        <f>IF(C15="Direct listing / designation","Review Required","No Review")</f>
        <v>No Review</v>
      </c>
      <c r="Q15" t="s">
        <v>799</v>
      </c>
      <c r="R15" t="s">
        <v>800</v>
      </c>
    </row>
    <row r="16" spans="1:19" x14ac:dyDescent="0.2">
      <c r="A16" t="s">
        <v>247</v>
      </c>
      <c r="B16" t="s">
        <v>801</v>
      </c>
      <c r="C16" t="s">
        <v>802</v>
      </c>
      <c r="D16" t="s">
        <v>163</v>
      </c>
      <c r="E16">
        <f>IF(C16="None disclosed",0,IF(C16="Under investigation / warning",10,IF(C16="Fined / enforcement for sanctions issues",20,IF(C16="Unknown",10,""))))</f>
        <v>0</v>
      </c>
      <c r="F16">
        <f>IF(D16="High",0,IF(D16="Medium",0.05,IF(D16="Low",0.1,IF(D16="Unknown",0.15,""))))</f>
        <v>0</v>
      </c>
      <c r="G16">
        <f>E16*(1+F16)</f>
        <v>0</v>
      </c>
      <c r="H16" t="s">
        <v>803</v>
      </c>
      <c r="I16" t="s">
        <v>804</v>
      </c>
      <c r="J16" t="s">
        <v>166</v>
      </c>
      <c r="K16" s="24">
        <f>IF(I16="","",MAX(IFERROR(DATEVALUE(TRIM(MID(SUBSTITUTE(I16,";",REPT(" ",50)),1,50))),0),IFERROR(DATEVALUE(TRIM(MID(SUBSTITUTE(I16,";",REPT(" ",50)),51,50))),0),IFERROR(DATEVALUE(TRIM(MID(SUBSTITUTE(I16,";",REPT(" ",50)),101,50))),0),IFERROR(DATEVALUE(TRIM(MID(SUBSTITUTE(I16,";",REPT(" ",50)),151,50))),0),IFERROR(DATEVALUE(TRIM(MID(SUBSTITUTE(I16,";",REPT(" ",50)),201,50))),0),IFERROR(DATEVALUE(TRIM(MID(SUBSTITUTE(I16,";",REPT(" ",50)),251,50))),0),IFERROR(DATEVALUE(TRIM(MID(SUBSTITUTE(I16,";",REPT(" ",50)),301,50))),0),IFERROR(DATEVALUE(TRIM(MID(SUBSTITUTE(I16,";",REPT(" ",50)),351,50))),0),IFERROR(DATEVALUE(TRIM(MID(SUBSTITUTE(I16,";",REPT(" ",50)),401,50))),0),IFERROR(DATEVALUE(TRIM(MID(SUBSTITUTE(I16,";",REPT(" ",50)),451,50))),0)))</f>
        <v>45962</v>
      </c>
      <c r="L16">
        <f ca="1">IF(K16="","",TODAY()-K16)</f>
        <v>42</v>
      </c>
      <c r="M16" t="s">
        <v>273</v>
      </c>
      <c r="N16">
        <f ca="1">IF(M16="","",IF(L16="",INDEX($F$63:$F$66,MATCH(M16,$C$63:$C$66,0)),IF(L16&lt;=INDEX($D$63:$D$66,MATCH(M16,$C$63:$C$66,0)),0,IF(L16&lt;=INDEX($E$63:$E$66,MATCH(M16,$C$63:$C$66,0)),INDEX($F$63:$F$66,MATCH(M16,$C$63:$C$66,0)),INDEX($G$63:$G$66,MATCH(M16,$C$63:$C$66,0))))))</f>
        <v>0</v>
      </c>
      <c r="O16">
        <f ca="1">G16+N16</f>
        <v>0</v>
      </c>
      <c r="P16" t="str">
        <f>IF(C16="Fined / enforcement for sanctions issues","Review Required","No Review")</f>
        <v>No Review</v>
      </c>
      <c r="Q16" t="s">
        <v>805</v>
      </c>
      <c r="R16" t="s">
        <v>806</v>
      </c>
    </row>
    <row r="17" spans="1:18" x14ac:dyDescent="0.2">
      <c r="A17" t="s">
        <v>252</v>
      </c>
      <c r="B17" t="s">
        <v>807</v>
      </c>
      <c r="C17" t="s">
        <v>808</v>
      </c>
      <c r="D17" t="s">
        <v>197</v>
      </c>
      <c r="E17">
        <f>IF(C17="No material link",0,IF(C17="Some flagged flows",10,IF(C17="Heavy / structural involvement",20,IF(C17="Unknown",10,""))))</f>
        <v>10</v>
      </c>
      <c r="F17">
        <f>IF(D17="High",0,IF(D17="Medium",0.05,IF(D17="Low",0.1,IF(D17="Unknown",0.15,""))))</f>
        <v>0.05</v>
      </c>
      <c r="G17">
        <f>E17*(1+F17)</f>
        <v>10.5</v>
      </c>
      <c r="H17" t="s">
        <v>809</v>
      </c>
      <c r="I17" t="s">
        <v>810</v>
      </c>
      <c r="J17" t="s">
        <v>176</v>
      </c>
      <c r="K17" s="24">
        <f>IF(I17="","",MAX(IFERROR(DATEVALUE(TRIM(MID(SUBSTITUTE(I17,";",REPT(" ",50)),1,50))),0),IFERROR(DATEVALUE(TRIM(MID(SUBSTITUTE(I17,";",REPT(" ",50)),51,50))),0),IFERROR(DATEVALUE(TRIM(MID(SUBSTITUTE(I17,";",REPT(" ",50)),101,50))),0),IFERROR(DATEVALUE(TRIM(MID(SUBSTITUTE(I17,";",REPT(" ",50)),151,50))),0),IFERROR(DATEVALUE(TRIM(MID(SUBSTITUTE(I17,";",REPT(" ",50)),201,50))),0),IFERROR(DATEVALUE(TRIM(MID(SUBSTITUTE(I17,";",REPT(" ",50)),251,50))),0),IFERROR(DATEVALUE(TRIM(MID(SUBSTITUTE(I17,";",REPT(" ",50)),301,50))),0),IFERROR(DATEVALUE(TRIM(MID(SUBSTITUTE(I17,";",REPT(" ",50)),351,50))),0),IFERROR(DATEVALUE(TRIM(MID(SUBSTITUTE(I17,";",REPT(" ",50)),401,50))),0),IFERROR(DATEVALUE(TRIM(MID(SUBSTITUTE(I17,";",REPT(" ",50)),451,50))),0)))</f>
        <v>45954</v>
      </c>
      <c r="L17">
        <f ca="1">IF(K17="","",TODAY()-K17)</f>
        <v>50</v>
      </c>
      <c r="M17" t="s">
        <v>273</v>
      </c>
      <c r="N17">
        <f ca="1">IF(M17="","",IF(L17="",INDEX($F$63:$F$66,MATCH(M17,$C$63:$C$66,0)),IF(L17&lt;=INDEX($D$63:$D$66,MATCH(M17,$C$63:$C$66,0)),0,IF(L17&lt;=INDEX($E$63:$E$66,MATCH(M17,$C$63:$C$66,0)),INDEX($F$63:$F$66,MATCH(M17,$C$63:$C$66,0)),INDEX($G$63:$G$66,MATCH(M17,$C$63:$C$66,0))))))</f>
        <v>0</v>
      </c>
      <c r="O17">
        <f ca="1">G17+N17</f>
        <v>10.5</v>
      </c>
      <c r="P17" t="str">
        <f>IF(C17="Heavy / structural involvement","Review Required","No Review")</f>
        <v>No Review</v>
      </c>
      <c r="Q17" t="s">
        <v>811</v>
      </c>
      <c r="R17" t="s">
        <v>812</v>
      </c>
    </row>
    <row r="18" spans="1:18" x14ac:dyDescent="0.2">
      <c r="A18" t="s">
        <v>627</v>
      </c>
      <c r="B18" t="s">
        <v>813</v>
      </c>
      <c r="C18" t="s">
        <v>814</v>
      </c>
      <c r="D18" t="s">
        <v>163</v>
      </c>
      <c r="E18">
        <v>0</v>
      </c>
      <c r="F18">
        <f>IF(D18="High",0,IF(D18="Medium",0.05,IF(D18="Low",0.1,IF(D18="Unknown",0.15,""))))</f>
        <v>0</v>
      </c>
      <c r="G18">
        <f>E18*(1+F18)</f>
        <v>0</v>
      </c>
      <c r="H18" t="s">
        <v>815</v>
      </c>
      <c r="I18" t="s">
        <v>816</v>
      </c>
      <c r="J18" t="s">
        <v>166</v>
      </c>
      <c r="K18" s="24">
        <f>IF(I18="","",MAX(IFERROR(DATEVALUE(TRIM(MID(SUBSTITUTE(I18,";",REPT(" ",50)),1,50))),0),IFERROR(DATEVALUE(TRIM(MID(SUBSTITUTE(I18,";",REPT(" ",50)),51,50))),0),IFERROR(DATEVALUE(TRIM(MID(SUBSTITUTE(I18,";",REPT(" ",50)),101,50))),0),IFERROR(DATEVALUE(TRIM(MID(SUBSTITUTE(I18,";",REPT(" ",50)),151,50))),0),IFERROR(DATEVALUE(TRIM(MID(SUBSTITUTE(I18,";",REPT(" ",50)),201,50))),0),IFERROR(DATEVALUE(TRIM(MID(SUBSTITUTE(I18,";",REPT(" ",50)),251,50))),0),IFERROR(DATEVALUE(TRIM(MID(SUBSTITUTE(I18,";",REPT(" ",50)),301,50))),0),IFERROR(DATEVALUE(TRIM(MID(SUBSTITUTE(I18,";",REPT(" ",50)),351,50))),0),IFERROR(DATEVALUE(TRIM(MID(SUBSTITUTE(I18,";",REPT(" ",50)),401,50))),0),IFERROR(DATEVALUE(TRIM(MID(SUBSTITUTE(I18,";",REPT(" ",50)),451,50))),0)))</f>
        <v>45566</v>
      </c>
      <c r="L18">
        <f ca="1">IF(K18="","",TODAY()-K18)</f>
        <v>438</v>
      </c>
      <c r="M18" t="s">
        <v>273</v>
      </c>
      <c r="N18">
        <f ca="1">IF(M18="","",IF(L18="",INDEX($F$63:$F$66,MATCH(M18,$C$63:$C$66,0)),IF(L18&lt;=INDEX($D$63:$D$66,MATCH(M18,$C$63:$C$66,0)),0,IF(L18&lt;=INDEX($E$63:$E$66,MATCH(M18,$C$63:$C$66,0)),INDEX($F$63:$F$66,MATCH(M18,$C$63:$C$66,0)),INDEX($G$63:$G$66,MATCH(M18,$C$63:$C$66,0))))))</f>
        <v>10</v>
      </c>
      <c r="O18">
        <f ca="1">G18+N18</f>
        <v>10</v>
      </c>
      <c r="P18" t="s">
        <v>168</v>
      </c>
      <c r="Q18" t="s">
        <v>817</v>
      </c>
      <c r="R18" t="s">
        <v>818</v>
      </c>
    </row>
    <row r="19" spans="1:18" x14ac:dyDescent="0.2">
      <c r="A19" s="3"/>
      <c r="B19" s="44"/>
      <c r="C19" s="45"/>
      <c r="D19" s="45"/>
      <c r="E19" s="45"/>
      <c r="F19" s="45"/>
      <c r="G19" s="45"/>
      <c r="H19" s="45"/>
      <c r="I19" s="45"/>
      <c r="J19" s="45"/>
      <c r="K19" s="46"/>
      <c r="L19" s="45"/>
      <c r="M19" s="45"/>
      <c r="N19" s="45"/>
      <c r="O19" s="45"/>
      <c r="P19" s="45"/>
      <c r="Q19" s="45"/>
      <c r="R19" s="45"/>
    </row>
    <row r="20" spans="1:18" x14ac:dyDescent="0.2">
      <c r="A20" t="s">
        <v>268</v>
      </c>
      <c r="B20" t="s">
        <v>819</v>
      </c>
      <c r="C20" t="s">
        <v>820</v>
      </c>
      <c r="D20" t="s">
        <v>197</v>
      </c>
      <c r="E20">
        <f>IF(C20="Low (&lt;5%)",0,IF(C20="Moderate (5–20%)",10,IF(C20="High (&gt;20%)",20,IF(C20="Unknown",10,""))))</f>
        <v>0</v>
      </c>
      <c r="F20">
        <f>IF(D20="High",0,IF(D20="Medium",0.05,IF(D20="Low",0.1,IF(D20="Unknown",0.15,""))))</f>
        <v>0.05</v>
      </c>
      <c r="G20">
        <f>E20*(1+F20)</f>
        <v>0</v>
      </c>
      <c r="H20" t="s">
        <v>821</v>
      </c>
      <c r="I20" t="s">
        <v>822</v>
      </c>
      <c r="J20" t="s">
        <v>166</v>
      </c>
      <c r="K20" s="24">
        <f>IF(I20="","",MAX(IFERROR(DATEVALUE(TRIM(MID(SUBSTITUTE(I20,";",REPT(" ",50)),1,50))),0),IFERROR(DATEVALUE(TRIM(MID(SUBSTITUTE(I20,";",REPT(" ",50)),51,50))),0),IFERROR(DATEVALUE(TRIM(MID(SUBSTITUTE(I20,";",REPT(" ",50)),101,50))),0),IFERROR(DATEVALUE(TRIM(MID(SUBSTITUTE(I20,";",REPT(" ",50)),151,50))),0),IFERROR(DATEVALUE(TRIM(MID(SUBSTITUTE(I20,";",REPT(" ",50)),201,50))),0),IFERROR(DATEVALUE(TRIM(MID(SUBSTITUTE(I20,";",REPT(" ",50)),251,50))),0),IFERROR(DATEVALUE(TRIM(MID(SUBSTITUTE(I20,";",REPT(" ",50)),301,50))),0),IFERROR(DATEVALUE(TRIM(MID(SUBSTITUTE(I20,";",REPT(" ",50)),351,50))),0),IFERROR(DATEVALUE(TRIM(MID(SUBSTITUTE(I20,";",REPT(" ",50)),401,50))),0),IFERROR(DATEVALUE(TRIM(MID(SUBSTITUTE(I20,";",REPT(" ",50)),451,50))),0)))</f>
        <v>45672</v>
      </c>
      <c r="L20">
        <f ca="1">IF(K20="","",TODAY()-K20)</f>
        <v>332</v>
      </c>
      <c r="M20" t="s">
        <v>184</v>
      </c>
      <c r="N20">
        <f ca="1">IF(M20="","",IF(L20="",INDEX($F$63:$F$66,MATCH(M20,$C$63:$C$66,0)),IF(L20&lt;=INDEX($D$63:$D$66,MATCH(M20,$C$63:$C$66,0)),0,IF(L20&lt;=INDEX($E$63:$E$66,MATCH(M20,$C$63:$C$66,0)),INDEX($F$63:$F$66,MATCH(M20,$C$63:$C$66,0)),INDEX($G$63:$G$66,MATCH(M20,$C$63:$C$66,0))))))</f>
        <v>3</v>
      </c>
      <c r="O20">
        <f ca="1">G20+N20</f>
        <v>3</v>
      </c>
      <c r="P20" t="str">
        <f>IF(C20="High (&gt;20%)","Review Required","No Review")</f>
        <v>No Review</v>
      </c>
      <c r="Q20" t="s">
        <v>823</v>
      </c>
      <c r="R20" t="s">
        <v>824</v>
      </c>
    </row>
    <row r="21" spans="1:18" x14ac:dyDescent="0.2">
      <c r="A21" t="s">
        <v>276</v>
      </c>
      <c r="B21" t="s">
        <v>825</v>
      </c>
      <c r="C21" t="s">
        <v>826</v>
      </c>
      <c r="D21" t="s">
        <v>163</v>
      </c>
      <c r="E21">
        <f>IF(C21="No material presence",0,IF(C21="Some presence",10,IF(C21="Primary base / heavy presence",20,IF(C21="Unknown",10,""))))</f>
        <v>0</v>
      </c>
      <c r="F21">
        <f>IF(D21="High",0,IF(D21="Medium",0.05,IF(D21="Low",0.1,IF(D21="Unknown",0.15,""))))</f>
        <v>0</v>
      </c>
      <c r="G21">
        <f>E21*(1+F21)</f>
        <v>0</v>
      </c>
      <c r="H21" t="s">
        <v>827</v>
      </c>
      <c r="I21" t="s">
        <v>828</v>
      </c>
      <c r="J21" t="s">
        <v>176</v>
      </c>
      <c r="K21" s="24">
        <f>IF(I21="","",MAX(IFERROR(DATEVALUE(TRIM(MID(SUBSTITUTE(I21,";",REPT(" ",50)),1,50))),0),IFERROR(DATEVALUE(TRIM(MID(SUBSTITUTE(I21,";",REPT(" ",50)),51,50))),0),IFERROR(DATEVALUE(TRIM(MID(SUBSTITUTE(I21,";",REPT(" ",50)),101,50))),0),IFERROR(DATEVALUE(TRIM(MID(SUBSTITUTE(I21,";",REPT(" ",50)),151,50))),0),IFERROR(DATEVALUE(TRIM(MID(SUBSTITUTE(I21,";",REPT(" ",50)),201,50))),0),IFERROR(DATEVALUE(TRIM(MID(SUBSTITUTE(I21,";",REPT(" ",50)),251,50))),0),IFERROR(DATEVALUE(TRIM(MID(SUBSTITUTE(I21,";",REPT(" ",50)),301,50))),0),IFERROR(DATEVALUE(TRIM(MID(SUBSTITUTE(I21,";",REPT(" ",50)),351,50))),0),IFERROR(DATEVALUE(TRIM(MID(SUBSTITUTE(I21,";",REPT(" ",50)),401,50))),0),IFERROR(DATEVALUE(TRIM(MID(SUBSTITUTE(I21,";",REPT(" ",50)),451,50))),0)))</f>
        <v>46001</v>
      </c>
      <c r="L21">
        <f ca="1">IF(K21="","",TODAY()-K21)</f>
        <v>3</v>
      </c>
      <c r="M21" t="s">
        <v>184</v>
      </c>
      <c r="N21">
        <f ca="1">IF(M21="","",IF(L21="",INDEX($F$63:$F$66,MATCH(M21,$C$63:$C$66,0)),IF(L21&lt;=INDEX($D$63:$D$66,MATCH(M21,$C$63:$C$66,0)),0,IF(L21&lt;=INDEX($E$63:$E$66,MATCH(M21,$C$63:$C$66,0)),INDEX($F$63:$F$66,MATCH(M21,$C$63:$C$66,0)),INDEX($G$63:$G$66,MATCH(M21,$C$63:$C$66,0))))))</f>
        <v>0</v>
      </c>
      <c r="O21">
        <f ca="1">G21+N21</f>
        <v>0</v>
      </c>
      <c r="P21" t="str">
        <f>IF(C21="Primary base / heavy presence","Review Required","No Review")</f>
        <v>No Review</v>
      </c>
      <c r="Q21" t="s">
        <v>829</v>
      </c>
      <c r="R21" t="s">
        <v>830</v>
      </c>
    </row>
    <row r="22" spans="1:18" x14ac:dyDescent="0.2">
      <c r="A22" t="s">
        <v>281</v>
      </c>
      <c r="B22" t="s">
        <v>831</v>
      </c>
      <c r="C22" t="s">
        <v>832</v>
      </c>
      <c r="D22" t="s">
        <v>197</v>
      </c>
      <c r="E22">
        <f>IF(C22="Limited / none",0,IF(C22="Moderate exposure",10,IF(C22="High / structural exposure",20,IF(C22="Unknown",10,""))))</f>
        <v>0</v>
      </c>
      <c r="F22">
        <f>IF(D22="High",0,IF(D22="Medium",0.05,IF(D22="Low",0.1,IF(D22="Unknown",0.15,""))))</f>
        <v>0.05</v>
      </c>
      <c r="G22">
        <f>E22*(1+F22)</f>
        <v>0</v>
      </c>
      <c r="K22" s="24" t="str">
        <f>IF(I22="","",MAX(IFERROR(DATEVALUE(TRIM(MID(SUBSTITUTE(I22,";",REPT(" ",50)),1,50))),0),IFERROR(DATEVALUE(TRIM(MID(SUBSTITUTE(I22,";",REPT(" ",50)),51,50))),0),IFERROR(DATEVALUE(TRIM(MID(SUBSTITUTE(I22,";",REPT(" ",50)),101,50))),0),IFERROR(DATEVALUE(TRIM(MID(SUBSTITUTE(I22,";",REPT(" ",50)),151,50))),0),IFERROR(DATEVALUE(TRIM(MID(SUBSTITUTE(I22,";",REPT(" ",50)),201,50))),0),IFERROR(DATEVALUE(TRIM(MID(SUBSTITUTE(I22,";",REPT(" ",50)),251,50))),0),IFERROR(DATEVALUE(TRIM(MID(SUBSTITUTE(I22,";",REPT(" ",50)),301,50))),0),IFERROR(DATEVALUE(TRIM(MID(SUBSTITUTE(I22,";",REPT(" ",50)),351,50))),0),IFERROR(DATEVALUE(TRIM(MID(SUBSTITUTE(I22,";",REPT(" ",50)),401,50))),0),IFERROR(DATEVALUE(TRIM(MID(SUBSTITUTE(I22,";",REPT(" ",50)),451,50))),0)))</f>
        <v/>
      </c>
      <c r="L22" t="str">
        <f ca="1">IF(K22="","",TODAY()-K22)</f>
        <v/>
      </c>
      <c r="M22" t="s">
        <v>184</v>
      </c>
      <c r="N22">
        <f ca="1">IF(M22="","",IF(L22="",INDEX($F$63:$F$66,MATCH(M22,$C$63:$C$66,0)),IF(L22&lt;=INDEX($D$63:$D$66,MATCH(M22,$C$63:$C$66,0)),0,IF(L22&lt;=INDEX($E$63:$E$66,MATCH(M22,$C$63:$C$66,0)),INDEX($F$63:$F$66,MATCH(M22,$C$63:$C$66,0)),INDEX($G$63:$G$66,MATCH(M22,$C$63:$C$66,0))))))</f>
        <v>3</v>
      </c>
      <c r="O22">
        <f ca="1">G22+N22</f>
        <v>3</v>
      </c>
      <c r="P22" t="s">
        <v>168</v>
      </c>
      <c r="Q22" t="s">
        <v>833</v>
      </c>
      <c r="R22" t="s">
        <v>834</v>
      </c>
    </row>
    <row r="23" spans="1:18" x14ac:dyDescent="0.2">
      <c r="A23" t="s">
        <v>835</v>
      </c>
      <c r="B23" t="s">
        <v>836</v>
      </c>
      <c r="C23" t="s">
        <v>837</v>
      </c>
      <c r="D23" t="s">
        <v>163</v>
      </c>
      <c r="E23">
        <v>0</v>
      </c>
      <c r="F23">
        <f>IF(D23="High",0,IF(D23="Medium",0.05,IF(D23="Low",0.1,IF(D23="Unknown",0.15,""))))</f>
        <v>0</v>
      </c>
      <c r="G23">
        <f>E23*(1+F23)</f>
        <v>0</v>
      </c>
      <c r="H23" t="s">
        <v>797</v>
      </c>
      <c r="I23" t="s">
        <v>838</v>
      </c>
      <c r="J23" t="s">
        <v>166</v>
      </c>
      <c r="K23" s="24">
        <f>IF(I23="","",MAX(IFERROR(DATEVALUE(TRIM(MID(SUBSTITUTE(I23,";",REPT(" ",50)),1,50))),0),IFERROR(DATEVALUE(TRIM(MID(SUBSTITUTE(I23,";",REPT(" ",50)),51,50))),0),IFERROR(DATEVALUE(TRIM(MID(SUBSTITUTE(I23,";",REPT(" ",50)),101,50))),0),IFERROR(DATEVALUE(TRIM(MID(SUBSTITUTE(I23,";",REPT(" ",50)),151,50))),0),IFERROR(DATEVALUE(TRIM(MID(SUBSTITUTE(I23,";",REPT(" ",50)),201,50))),0),IFERROR(DATEVALUE(TRIM(MID(SUBSTITUTE(I23,";",REPT(" ",50)),251,50))),0),IFERROR(DATEVALUE(TRIM(MID(SUBSTITUTE(I23,";",REPT(" ",50)),301,50))),0),IFERROR(DATEVALUE(TRIM(MID(SUBSTITUTE(I23,";",REPT(" ",50)),351,50))),0),IFERROR(DATEVALUE(TRIM(MID(SUBSTITUTE(I23,";",REPT(" ",50)),401,50))),0),IFERROR(DATEVALUE(TRIM(MID(SUBSTITUTE(I23,";",REPT(" ",50)),451,50))),0)))</f>
        <v>45931</v>
      </c>
      <c r="L23">
        <f ca="1">IF(K23="","",TODAY()-K23)</f>
        <v>73</v>
      </c>
      <c r="M23" t="s">
        <v>303</v>
      </c>
      <c r="N23">
        <f ca="1">IF(M23="","",IF(L23="",INDEX($F$63:$F$66,MATCH(M23,$C$63:$C$66,0)),IF(L23&lt;=INDEX($D$63:$D$66,MATCH(M23,$C$63:$C$66,0)),0,IF(L23&lt;=INDEX($E$63:$E$66,MATCH(M23,$C$63:$C$66,0)),INDEX($F$63:$F$66,MATCH(M23,$C$63:$C$66,0)),INDEX($G$63:$G$66,MATCH(M23,$C$63:$C$66,0))))))</f>
        <v>0</v>
      </c>
      <c r="O23">
        <f ca="1">G23+N23</f>
        <v>0</v>
      </c>
      <c r="P23" t="s">
        <v>168</v>
      </c>
      <c r="Q23" t="s">
        <v>817</v>
      </c>
      <c r="R23" t="s">
        <v>839</v>
      </c>
    </row>
    <row r="24" spans="1:18" x14ac:dyDescent="0.2">
      <c r="A24" s="4"/>
      <c r="B24" s="5" t="s">
        <v>840</v>
      </c>
      <c r="C24" s="4"/>
      <c r="D24" s="4"/>
      <c r="E24" s="4"/>
      <c r="F24" s="4"/>
      <c r="G24" s="4"/>
      <c r="H24" s="4"/>
      <c r="I24" s="4"/>
      <c r="J24" s="4"/>
      <c r="K24" s="23" t="str">
        <f>IF(I24="","",MAX(IFERROR(DATEVALUE(TRIM(MID(SUBSTITUTE(I24,";",REPT(" ",50)),1,50))),0),IFERROR(DATEVALUE(TRIM(MID(SUBSTITUTE(I24,";",REPT(" ",50)),51,50))),0),IFERROR(DATEVALUE(TRIM(MID(SUBSTITUTE(I24,";",REPT(" ",50)),101,50))),0),IFERROR(DATEVALUE(TRIM(MID(SUBSTITUTE(I24,";",REPT(" ",50)),151,50))),0),IFERROR(DATEVALUE(TRIM(MID(SUBSTITUTE(I24,";",REPT(" ",50)),201,50))),0),IFERROR(DATEVALUE(TRIM(MID(SUBSTITUTE(I24,";",REPT(" ",50)),251,50))),0),IFERROR(DATEVALUE(TRIM(MID(SUBSTITUTE(I24,";",REPT(" ",50)),301,50))),0),IFERROR(DATEVALUE(TRIM(MID(SUBSTITUTE(I24,";",REPT(" ",50)),351,50))),0),IFERROR(DATEVALUE(TRIM(MID(SUBSTITUTE(I24,";",REPT(" ",50)),401,50))),0),IFERROR(DATEVALUE(TRIM(MID(SUBSTITUTE(I24,";",REPT(" ",50)),451,50))),0)))</f>
        <v/>
      </c>
      <c r="L24" s="4"/>
      <c r="M24" s="4"/>
      <c r="N24" s="4" t="str">
        <f>IF(M24="","",IF(L24="",INDEX($F$63:$F$66,MATCH(M24,$C$63:$C$66,0)),IF(L24&lt;=INDEX($D$63:$D$66,MATCH(M24,$C$63:$C$66,0)),0,IF(L24&lt;=INDEX($E$63:$E$66,MATCH(M24,$C$63:$C$66,0)),INDEX($F$63:$F$66,MATCH(M24,$C$63:$C$66,0)),INDEX($G$63:$G$66,MATCH(M24,$C$63:$C$66,0))))))</f>
        <v/>
      </c>
      <c r="O24" s="4"/>
      <c r="P24" s="4"/>
      <c r="Q24" s="4"/>
      <c r="R24" s="4"/>
    </row>
    <row r="25" spans="1:18" x14ac:dyDescent="0.2">
      <c r="A25" s="3"/>
      <c r="B25" s="44"/>
      <c r="C25" s="45"/>
      <c r="D25" s="45"/>
      <c r="E25" s="45"/>
      <c r="F25" s="45"/>
      <c r="G25" s="45"/>
      <c r="H25" s="45"/>
      <c r="I25" s="45"/>
      <c r="J25" s="45"/>
      <c r="K25" s="46"/>
      <c r="L25" s="45"/>
      <c r="M25" s="45"/>
      <c r="N25" s="45"/>
      <c r="O25" s="45"/>
      <c r="P25" s="45"/>
      <c r="Q25" s="45"/>
      <c r="R25" s="45"/>
    </row>
    <row r="26" spans="1:18" x14ac:dyDescent="0.2">
      <c r="A26" t="s">
        <v>634</v>
      </c>
      <c r="B26" t="s">
        <v>841</v>
      </c>
      <c r="C26" t="s">
        <v>842</v>
      </c>
      <c r="D26" t="s">
        <v>197</v>
      </c>
      <c r="E26">
        <f>IF(C26="Not mentioned",0,IF(C26="Minor / incidental mentions",10,IF(C26="Frequently highlighted as an illicit-usage asset",20,IF(C26="Unknown",10,""))))</f>
        <v>10</v>
      </c>
      <c r="F26">
        <f>IF(D26="High",0,IF(D26="Medium",0.05,IF(D26="Low",0.1,IF(D26="Unknown",0.15,""))))</f>
        <v>0.05</v>
      </c>
      <c r="G26">
        <f>E26*(1+F26)</f>
        <v>10.5</v>
      </c>
      <c r="H26" t="s">
        <v>843</v>
      </c>
      <c r="I26" t="s">
        <v>844</v>
      </c>
      <c r="J26" t="s">
        <v>176</v>
      </c>
      <c r="K26" s="24">
        <f>IF(I26="","",MAX(IFERROR(DATEVALUE(TRIM(MID(SUBSTITUTE(I26,";",REPT(" ",50)),1,50))),0),IFERROR(DATEVALUE(TRIM(MID(SUBSTITUTE(I26,";",REPT(" ",50)),51,50))),0),IFERROR(DATEVALUE(TRIM(MID(SUBSTITUTE(I26,";",REPT(" ",50)),101,50))),0),IFERROR(DATEVALUE(TRIM(MID(SUBSTITUTE(I26,";",REPT(" ",50)),151,50))),0),IFERROR(DATEVALUE(TRIM(MID(SUBSTITUTE(I26,";",REPT(" ",50)),201,50))),0),IFERROR(DATEVALUE(TRIM(MID(SUBSTITUTE(I26,";",REPT(" ",50)),251,50))),0),IFERROR(DATEVALUE(TRIM(MID(SUBSTITUTE(I26,";",REPT(" ",50)),301,50))),0),IFERROR(DATEVALUE(TRIM(MID(SUBSTITUTE(I26,";",REPT(" ",50)),351,50))),0),IFERROR(DATEVALUE(TRIM(MID(SUBSTITUTE(I26,";",REPT(" ",50)),401,50))),0),IFERROR(DATEVALUE(TRIM(MID(SUBSTITUTE(I26,";",REPT(" ",50)),451,50))),0)))</f>
        <v>45715</v>
      </c>
      <c r="L26">
        <f ca="1">IF(K26="","",TODAY()-K26)</f>
        <v>289</v>
      </c>
      <c r="M26" t="s">
        <v>184</v>
      </c>
      <c r="N26">
        <f ca="1">IF(M26="","",IF(L26="",INDEX($F$63:$F$66,MATCH(M26,$C$63:$C$66,0)),IF(L26&lt;=INDEX($D$63:$D$66,MATCH(M26,$C$63:$C$66,0)),0,IF(L26&lt;=INDEX($E$63:$E$66,MATCH(M26,$C$63:$C$66,0)),INDEX($F$63:$F$66,MATCH(M26,$C$63:$C$66,0)),INDEX($G$63:$G$66,MATCH(M26,$C$63:$C$66,0))))))</f>
        <v>3</v>
      </c>
      <c r="O26">
        <f ca="1">G26+N26</f>
        <v>13.5</v>
      </c>
      <c r="P26" t="str">
        <f>IF(C26="Frequently highlighted as an illicit-usage asset","Review Required","No Review")</f>
        <v>No Review</v>
      </c>
      <c r="Q26" t="s">
        <v>845</v>
      </c>
      <c r="R26" t="s">
        <v>846</v>
      </c>
    </row>
    <row r="27" spans="1:18" x14ac:dyDescent="0.2">
      <c r="A27" t="s">
        <v>640</v>
      </c>
      <c r="B27" t="s">
        <v>847</v>
      </c>
      <c r="C27" t="s">
        <v>848</v>
      </c>
      <c r="D27" t="s">
        <v>197</v>
      </c>
      <c r="E27">
        <f>IF(C27="Limited / unexceptional",0,IF(C27="Some notable schemes",10,IF(C27="Frequently used in fraud / rug-pull typologies",20,IF(C27="Unknown",10,""))))</f>
        <v>10</v>
      </c>
      <c r="F27">
        <f>IF(D27="High",0,IF(D27="Medium",0.05,IF(D27="Low",0.1,IF(D27="Unknown",0.15,""))))</f>
        <v>0.05</v>
      </c>
      <c r="G27">
        <f>E27*(1+F27)</f>
        <v>10.5</v>
      </c>
      <c r="H27" t="s">
        <v>849</v>
      </c>
      <c r="I27" t="s">
        <v>850</v>
      </c>
      <c r="J27" t="s">
        <v>176</v>
      </c>
      <c r="K27" s="24">
        <f>IF(I27="","",MAX(IFERROR(DATEVALUE(TRIM(MID(SUBSTITUTE(I27,";",REPT(" ",50)),1,50))),0),IFERROR(DATEVALUE(TRIM(MID(SUBSTITUTE(I27,";",REPT(" ",50)),51,50))),0),IFERROR(DATEVALUE(TRIM(MID(SUBSTITUTE(I27,";",REPT(" ",50)),101,50))),0),IFERROR(DATEVALUE(TRIM(MID(SUBSTITUTE(I27,";",REPT(" ",50)),151,50))),0),IFERROR(DATEVALUE(TRIM(MID(SUBSTITUTE(I27,";",REPT(" ",50)),201,50))),0),IFERROR(DATEVALUE(TRIM(MID(SUBSTITUTE(I27,";",REPT(" ",50)),251,50))),0),IFERROR(DATEVALUE(TRIM(MID(SUBSTITUTE(I27,";",REPT(" ",50)),301,50))),0),IFERROR(DATEVALUE(TRIM(MID(SUBSTITUTE(I27,";",REPT(" ",50)),351,50))),0),IFERROR(DATEVALUE(TRIM(MID(SUBSTITUTE(I27,";",REPT(" ",50)),401,50))),0),IFERROR(DATEVALUE(TRIM(MID(SUBSTITUTE(I27,";",REPT(" ",50)),451,50))),0)))</f>
        <v>45945</v>
      </c>
      <c r="L27">
        <f ca="1">IF(K27="","",TODAY()-K27)</f>
        <v>59</v>
      </c>
      <c r="M27" t="s">
        <v>184</v>
      </c>
      <c r="N27">
        <f ca="1">IF(M27="","",IF(L27="",INDEX($F$63:$F$66,MATCH(M27,$C$63:$C$66,0)),IF(L27&lt;=INDEX($D$63:$D$66,MATCH(M27,$C$63:$C$66,0)),0,IF(L27&lt;=INDEX($E$63:$E$66,MATCH(M27,$C$63:$C$66,0)),INDEX($F$63:$F$66,MATCH(M27,$C$63:$C$66,0)),INDEX($G$63:$G$66,MATCH(M27,$C$63:$C$66,0))))))</f>
        <v>0</v>
      </c>
      <c r="O27">
        <f ca="1">G27+N27</f>
        <v>10.5</v>
      </c>
      <c r="P27" t="str">
        <f>IF(C27="Frequently used in fraud / rug-pull typologies","Review Required","No Review")</f>
        <v>No Review</v>
      </c>
      <c r="Q27" t="s">
        <v>851</v>
      </c>
      <c r="R27" t="s">
        <v>852</v>
      </c>
    </row>
    <row r="28" spans="1:18" x14ac:dyDescent="0.2">
      <c r="A28" t="s">
        <v>645</v>
      </c>
      <c r="B28" t="s">
        <v>853</v>
      </c>
      <c r="C28" t="s">
        <v>854</v>
      </c>
      <c r="D28" t="s">
        <v>197</v>
      </c>
      <c r="E28">
        <f>IF(C28="No specific association",0,IF(C28="Some reported use",10,IF(C28="Significant / recurring association",20,IF(C28="Unknown",10,""))))</f>
        <v>0</v>
      </c>
      <c r="F28">
        <f>IF(D28="High",0,IF(D28="Medium",0.05,IF(D28="Low",0.1,IF(D28="Unknown",0.15,""))))</f>
        <v>0.05</v>
      </c>
      <c r="G28">
        <f>E28*(1+F28)</f>
        <v>0</v>
      </c>
      <c r="H28" t="s">
        <v>855</v>
      </c>
      <c r="I28" t="s">
        <v>856</v>
      </c>
      <c r="J28" t="s">
        <v>176</v>
      </c>
      <c r="K28" s="24">
        <f>IF(I28="","",MAX(IFERROR(DATEVALUE(TRIM(MID(SUBSTITUTE(I28,";",REPT(" ",50)),1,50))),0),IFERROR(DATEVALUE(TRIM(MID(SUBSTITUTE(I28,";",REPT(" ",50)),51,50))),0),IFERROR(DATEVALUE(TRIM(MID(SUBSTITUTE(I28,";",REPT(" ",50)),101,50))),0),IFERROR(DATEVALUE(TRIM(MID(SUBSTITUTE(I28,";",REPT(" ",50)),151,50))),0),IFERROR(DATEVALUE(TRIM(MID(SUBSTITUTE(I28,";",REPT(" ",50)),201,50))),0),IFERROR(DATEVALUE(TRIM(MID(SUBSTITUTE(I28,";",REPT(" ",50)),251,50))),0),IFERROR(DATEVALUE(TRIM(MID(SUBSTITUTE(I28,";",REPT(" ",50)),301,50))),0),IFERROR(DATEVALUE(TRIM(MID(SUBSTITUTE(I28,";",REPT(" ",50)),351,50))),0),IFERROR(DATEVALUE(TRIM(MID(SUBSTITUTE(I28,";",REPT(" ",50)),401,50))),0),IFERROR(DATEVALUE(TRIM(MID(SUBSTITUTE(I28,";",REPT(" ",50)),451,50))),0)))</f>
        <v>45672</v>
      </c>
      <c r="L28">
        <f ca="1">IF(K28="","",TODAY()-K28)</f>
        <v>332</v>
      </c>
      <c r="M28" t="s">
        <v>273</v>
      </c>
      <c r="N28">
        <f ca="1">IF(M28="","",IF(L28="",INDEX($F$63:$F$66,MATCH(M28,$C$63:$C$66,0)),IF(L28&lt;=INDEX($D$63:$D$66,MATCH(M28,$C$63:$C$66,0)),0,IF(L28&lt;=INDEX($E$63:$E$66,MATCH(M28,$C$63:$C$66,0)),INDEX($F$63:$F$66,MATCH(M28,$C$63:$C$66,0)),INDEX($G$63:$G$66,MATCH(M28,$C$63:$C$66,0))))))</f>
        <v>10</v>
      </c>
      <c r="O28">
        <f ca="1">G28+N28</f>
        <v>10</v>
      </c>
      <c r="P28" t="str">
        <f>IF(C28="Significant / recurring association","Review Required","No Review")</f>
        <v>No Review</v>
      </c>
      <c r="Q28" t="s">
        <v>857</v>
      </c>
      <c r="R28" t="s">
        <v>858</v>
      </c>
    </row>
    <row r="29" spans="1:18" x14ac:dyDescent="0.2">
      <c r="A29" t="s">
        <v>672</v>
      </c>
      <c r="B29" t="s">
        <v>859</v>
      </c>
      <c r="C29" t="s">
        <v>860</v>
      </c>
      <c r="D29" t="s">
        <v>197</v>
      </c>
      <c r="E29">
        <v>0</v>
      </c>
      <c r="F29">
        <f>IF(D29="High",0,IF(D29="Medium",0.05,IF(D29="Low",0.1,IF(D29="Unknown",0.15,""))))</f>
        <v>0.05</v>
      </c>
      <c r="G29">
        <f>E29*(1+F29)</f>
        <v>0</v>
      </c>
      <c r="H29" t="s">
        <v>861</v>
      </c>
      <c r="I29" t="s">
        <v>862</v>
      </c>
      <c r="J29" t="s">
        <v>176</v>
      </c>
      <c r="K29" s="24">
        <f>IF(I29="","",MAX(IFERROR(DATEVALUE(TRIM(MID(SUBSTITUTE(I29,";",REPT(" ",50)),1,50))),0),IFERROR(DATEVALUE(TRIM(MID(SUBSTITUTE(I29,";",REPT(" ",50)),51,50))),0),IFERROR(DATEVALUE(TRIM(MID(SUBSTITUTE(I29,";",REPT(" ",50)),101,50))),0),IFERROR(DATEVALUE(TRIM(MID(SUBSTITUTE(I29,";",REPT(" ",50)),151,50))),0),IFERROR(DATEVALUE(TRIM(MID(SUBSTITUTE(I29,";",REPT(" ",50)),201,50))),0),IFERROR(DATEVALUE(TRIM(MID(SUBSTITUTE(I29,";",REPT(" ",50)),251,50))),0),IFERROR(DATEVALUE(TRIM(MID(SUBSTITUTE(I29,";",REPT(" ",50)),301,50))),0),IFERROR(DATEVALUE(TRIM(MID(SUBSTITUTE(I29,";",REPT(" ",50)),351,50))),0),IFERROR(DATEVALUE(TRIM(MID(SUBSTITUTE(I29,";",REPT(" ",50)),401,50))),0),IFERROR(DATEVALUE(TRIM(MID(SUBSTITUTE(I29,";",REPT(" ",50)),451,50))),0)))</f>
        <v>45715</v>
      </c>
      <c r="L29">
        <f ca="1">IF(K29="","",TODAY()-K29)</f>
        <v>289</v>
      </c>
      <c r="M29" t="s">
        <v>184</v>
      </c>
      <c r="N29">
        <f ca="1">IF(M29="","",IF(L29="",INDEX($F$63:$F$66,MATCH(M29,$C$63:$C$66,0)),IF(L29&lt;=INDEX($D$63:$D$66,MATCH(M29,$C$63:$C$66,0)),0,IF(L29&lt;=INDEX($E$63:$E$66,MATCH(M29,$C$63:$C$66,0)),INDEX($F$63:$F$66,MATCH(M29,$C$63:$C$66,0)),INDEX($G$63:$G$66,MATCH(M29,$C$63:$C$66,0))))))</f>
        <v>3</v>
      </c>
      <c r="O29">
        <f ca="1">G29+N29</f>
        <v>3</v>
      </c>
      <c r="P29" t="s">
        <v>168</v>
      </c>
      <c r="Q29" t="s">
        <v>863</v>
      </c>
      <c r="R29" t="s">
        <v>864</v>
      </c>
    </row>
    <row r="30" spans="1:18" x14ac:dyDescent="0.2">
      <c r="A30" s="3"/>
      <c r="B30" s="44"/>
      <c r="C30" s="45"/>
      <c r="D30" s="45"/>
      <c r="E30" s="45"/>
      <c r="F30" s="45"/>
      <c r="G30" s="45"/>
      <c r="H30" s="45"/>
      <c r="I30" s="45"/>
      <c r="J30" s="45"/>
      <c r="K30" s="46"/>
      <c r="L30" s="45"/>
      <c r="M30" s="45"/>
      <c r="N30" s="45"/>
      <c r="O30" s="45"/>
      <c r="P30" s="45"/>
      <c r="Q30" s="45"/>
      <c r="R30" s="45"/>
    </row>
    <row r="31" spans="1:18" x14ac:dyDescent="0.2">
      <c r="A31" t="s">
        <v>865</v>
      </c>
      <c r="B31" t="s">
        <v>866</v>
      </c>
      <c r="C31" t="s">
        <v>867</v>
      </c>
      <c r="D31" t="s">
        <v>163</v>
      </c>
      <c r="E31">
        <f>IF(C31="Not explicitly named",0,IF(C31="Named in isolated / incidental cases",10,IF(C31="Repeatedly named as relevant to typologies or cases",20,IF(C31="Unknown",10,""))))</f>
        <v>10</v>
      </c>
      <c r="F31">
        <f>IF(D31="High",0,IF(D31="Medium",0.05,IF(D31="Low",0.1,IF(D31="Unknown",0.15,""))))</f>
        <v>0</v>
      </c>
      <c r="G31">
        <f>E31*(1+F31)</f>
        <v>10</v>
      </c>
      <c r="H31" t="s">
        <v>868</v>
      </c>
      <c r="I31" t="s">
        <v>869</v>
      </c>
      <c r="J31" t="s">
        <v>176</v>
      </c>
      <c r="K31" s="24">
        <f>IF(I31="","",MAX(IFERROR(DATEVALUE(TRIM(MID(SUBSTITUTE(I31,";",REPT(" ",50)),1,50))),0),IFERROR(DATEVALUE(TRIM(MID(SUBSTITUTE(I31,";",REPT(" ",50)),51,50))),0),IFERROR(DATEVALUE(TRIM(MID(SUBSTITUTE(I31,";",REPT(" ",50)),101,50))),0),IFERROR(DATEVALUE(TRIM(MID(SUBSTITUTE(I31,";",REPT(" ",50)),151,50))),0),IFERROR(DATEVALUE(TRIM(MID(SUBSTITUTE(I31,";",REPT(" ",50)),201,50))),0),IFERROR(DATEVALUE(TRIM(MID(SUBSTITUTE(I31,";",REPT(" ",50)),251,50))),0),IFERROR(DATEVALUE(TRIM(MID(SUBSTITUTE(I31,";",REPT(" ",50)),301,50))),0),IFERROR(DATEVALUE(TRIM(MID(SUBSTITUTE(I31,";",REPT(" ",50)),351,50))),0),IFERROR(DATEVALUE(TRIM(MID(SUBSTITUTE(I31,";",REPT(" ",50)),401,50))),0),IFERROR(DATEVALUE(TRIM(MID(SUBSTITUTE(I31,";",REPT(" ",50)),451,50))),0)))</f>
        <v>45609</v>
      </c>
      <c r="L31">
        <f ca="1">IF(K31="","",TODAY()-K31)</f>
        <v>395</v>
      </c>
      <c r="M31" t="s">
        <v>184</v>
      </c>
      <c r="N31">
        <f ca="1">IF(M31="","",IF(L31="",INDEX($F$63:$F$66,MATCH(M31,$C$63:$C$66,0)),IF(L31&lt;=INDEX($D$63:$D$66,MATCH(M31,$C$63:$C$66,0)),0,IF(L31&lt;=INDEX($E$63:$E$66,MATCH(M31,$C$63:$C$66,0)),INDEX($F$63:$F$66,MATCH(M31,$C$63:$C$66,0)),INDEX($G$63:$G$66,MATCH(M31,$C$63:$C$66,0))))))</f>
        <v>6</v>
      </c>
      <c r="O31">
        <f ca="1">G31+N31</f>
        <v>16</v>
      </c>
      <c r="P31" t="str">
        <f>IF(C31="Repeatedly named as relevant to typologies or cases","Review Required","No Review")</f>
        <v>No Review</v>
      </c>
      <c r="Q31" t="s">
        <v>870</v>
      </c>
      <c r="R31" t="s">
        <v>871</v>
      </c>
    </row>
    <row r="32" spans="1:18" x14ac:dyDescent="0.2">
      <c r="A32" t="s">
        <v>872</v>
      </c>
      <c r="B32" t="s">
        <v>873</v>
      </c>
      <c r="C32" t="s">
        <v>874</v>
      </c>
      <c r="D32" t="s">
        <v>163</v>
      </c>
      <c r="E32">
        <f>IF(C32="No significant seizures",0,IF(C32="Some notable seizures",10,IF(C32="Large / high-profile multi-case seizures",20,IF(C32="Unknown",10,""))))</f>
        <v>10</v>
      </c>
      <c r="F32">
        <f>IF(D32="High",0,IF(D32="Medium",0.05,IF(D32="Low",0.1,IF(D32="Unknown",0.15,""))))</f>
        <v>0</v>
      </c>
      <c r="G32">
        <f>E32*(1+F32)</f>
        <v>10</v>
      </c>
      <c r="H32" t="s">
        <v>875</v>
      </c>
      <c r="I32" t="s">
        <v>876</v>
      </c>
      <c r="J32" t="s">
        <v>176</v>
      </c>
      <c r="K32" s="24">
        <f>IF(I32="","",MAX(IFERROR(DATEVALUE(TRIM(MID(SUBSTITUTE(I32,";",REPT(" ",50)),1,50))),0),IFERROR(DATEVALUE(TRIM(MID(SUBSTITUTE(I32,";",REPT(" ",50)),51,50))),0),IFERROR(DATEVALUE(TRIM(MID(SUBSTITUTE(I32,";",REPT(" ",50)),101,50))),0),IFERROR(DATEVALUE(TRIM(MID(SUBSTITUTE(I32,";",REPT(" ",50)),151,50))),0),IFERROR(DATEVALUE(TRIM(MID(SUBSTITUTE(I32,";",REPT(" ",50)),201,50))),0),IFERROR(DATEVALUE(TRIM(MID(SUBSTITUTE(I32,";",REPT(" ",50)),251,50))),0),IFERROR(DATEVALUE(TRIM(MID(SUBSTITUTE(I32,";",REPT(" ",50)),301,50))),0),IFERROR(DATEVALUE(TRIM(MID(SUBSTITUTE(I32,";",REPT(" ",50)),351,50))),0),IFERROR(DATEVALUE(TRIM(MID(SUBSTITUTE(I32,";",REPT(" ",50)),401,50))),0),IFERROR(DATEVALUE(TRIM(MID(SUBSTITUTE(I32,";",REPT(" ",50)),451,50))),0)))</f>
        <v>46002</v>
      </c>
      <c r="L32">
        <f ca="1">IF(K32="","",TODAY()-K32)</f>
        <v>2</v>
      </c>
      <c r="M32" t="s">
        <v>184</v>
      </c>
      <c r="N32">
        <f ca="1">IF(M32="","",IF(L32="",INDEX($F$63:$F$66,MATCH(M32,$C$63:$C$66,0)),IF(L32&lt;=INDEX($D$63:$D$66,MATCH(M32,$C$63:$C$66,0)),0,IF(L32&lt;=INDEX($E$63:$E$66,MATCH(M32,$C$63:$C$66,0)),INDEX($F$63:$F$66,MATCH(M32,$C$63:$C$66,0)),INDEX($G$63:$G$66,MATCH(M32,$C$63:$C$66,0))))))</f>
        <v>0</v>
      </c>
      <c r="O32">
        <f ca="1">G32+N32</f>
        <v>10</v>
      </c>
      <c r="P32" t="s">
        <v>168</v>
      </c>
      <c r="Q32" t="s">
        <v>877</v>
      </c>
      <c r="R32" t="s">
        <v>878</v>
      </c>
    </row>
    <row r="33" spans="1:18" x14ac:dyDescent="0.2">
      <c r="A33" t="s">
        <v>879</v>
      </c>
      <c r="B33" t="s">
        <v>880</v>
      </c>
      <c r="C33" t="s">
        <v>881</v>
      </c>
      <c r="D33" t="s">
        <v>163</v>
      </c>
      <c r="E33">
        <f>IF(C33="No TF-specific reference",0,IF(C33="Some TF-related references",10,IF(C33="Significant TF-related designation / repeated references",20,IF(C33="Unknown",10,""))))</f>
        <v>0</v>
      </c>
      <c r="F33">
        <f>IF(D33="High",0,IF(D33="Medium",0.05,IF(D33="Low",0.1,IF(D33="Unknown",0.15,""))))</f>
        <v>0</v>
      </c>
      <c r="G33">
        <f>E33*(1+F33)</f>
        <v>0</v>
      </c>
      <c r="H33" t="s">
        <v>882</v>
      </c>
      <c r="I33" t="s">
        <v>883</v>
      </c>
      <c r="J33" t="s">
        <v>166</v>
      </c>
      <c r="K33" s="24">
        <f>IF(I33="","",MAX(IFERROR(DATEVALUE(TRIM(MID(SUBSTITUTE(I33,";",REPT(" ",50)),1,50))),0),IFERROR(DATEVALUE(TRIM(MID(SUBSTITUTE(I33,";",REPT(" ",50)),51,50))),0),IFERROR(DATEVALUE(TRIM(MID(SUBSTITUTE(I33,";",REPT(" ",50)),101,50))),0),IFERROR(DATEVALUE(TRIM(MID(SUBSTITUTE(I33,";",REPT(" ",50)),151,50))),0),IFERROR(DATEVALUE(TRIM(MID(SUBSTITUTE(I33,";",REPT(" ",50)),201,50))),0),IFERROR(DATEVALUE(TRIM(MID(SUBSTITUTE(I33,";",REPT(" ",50)),251,50))),0),IFERROR(DATEVALUE(TRIM(MID(SUBSTITUTE(I33,";",REPT(" ",50)),301,50))),0),IFERROR(DATEVALUE(TRIM(MID(SUBSTITUTE(I33,";",REPT(" ",50)),351,50))),0),IFERROR(DATEVALUE(TRIM(MID(SUBSTITUTE(I33,";",REPT(" ",50)),401,50))),0),IFERROR(DATEVALUE(TRIM(MID(SUBSTITUTE(I33,";",REPT(" ",50)),451,50))),0)))</f>
        <v>45931</v>
      </c>
      <c r="L33">
        <f ca="1">IF(K33="","",TODAY()-K33)</f>
        <v>73</v>
      </c>
      <c r="M33" t="s">
        <v>273</v>
      </c>
      <c r="N33">
        <f ca="1">IF(M33="","",IF(L33="",INDEX($F$63:$F$66,MATCH(M33,$C$63:$C$66,0)),IF(L33&lt;=INDEX($D$63:$D$66,MATCH(M33,$C$63:$C$66,0)),0,IF(L33&lt;=INDEX($E$63:$E$66,MATCH(M33,$C$63:$C$66,0)),INDEX($F$63:$F$66,MATCH(M33,$C$63:$C$66,0)),INDEX($G$63:$G$66,MATCH(M33,$C$63:$C$66,0))))))</f>
        <v>0</v>
      </c>
      <c r="O33">
        <f ca="1">G33+N33</f>
        <v>0</v>
      </c>
      <c r="P33" t="str">
        <f>IF(C33="Significant TF-related designation / repeated references","Review Required","No Review")</f>
        <v>No Review</v>
      </c>
      <c r="Q33" t="s">
        <v>884</v>
      </c>
      <c r="R33" t="s">
        <v>885</v>
      </c>
    </row>
    <row r="34" spans="1:18" x14ac:dyDescent="0.2">
      <c r="A34" t="s">
        <v>886</v>
      </c>
      <c r="B34" t="s">
        <v>887</v>
      </c>
      <c r="C34" t="s">
        <v>888</v>
      </c>
      <c r="D34" t="s">
        <v>197</v>
      </c>
      <c r="E34">
        <v>0</v>
      </c>
      <c r="F34">
        <f>IF(D34="High",0,IF(D34="Medium",0.05,IF(D34="Low",0.1,IF(D34="Unknown",0.15,""))))</f>
        <v>0.05</v>
      </c>
      <c r="G34">
        <f>E34*(1+F34)</f>
        <v>0</v>
      </c>
      <c r="H34" t="s">
        <v>889</v>
      </c>
      <c r="I34" t="s">
        <v>890</v>
      </c>
      <c r="J34" t="s">
        <v>176</v>
      </c>
      <c r="K34" s="24">
        <f>IF(I34="","",MAX(IFERROR(DATEVALUE(TRIM(MID(SUBSTITUTE(I34,";",REPT(" ",50)),1,50))),0),IFERROR(DATEVALUE(TRIM(MID(SUBSTITUTE(I34,";",REPT(" ",50)),51,50))),0),IFERROR(DATEVALUE(TRIM(MID(SUBSTITUTE(I34,";",REPT(" ",50)),101,50))),0),IFERROR(DATEVALUE(TRIM(MID(SUBSTITUTE(I34,";",REPT(" ",50)),151,50))),0),IFERROR(DATEVALUE(TRIM(MID(SUBSTITUTE(I34,";",REPT(" ",50)),201,50))),0),IFERROR(DATEVALUE(TRIM(MID(SUBSTITUTE(I34,";",REPT(" ",50)),251,50))),0),IFERROR(DATEVALUE(TRIM(MID(SUBSTITUTE(I34,";",REPT(" ",50)),301,50))),0),IFERROR(DATEVALUE(TRIM(MID(SUBSTITUTE(I34,";",REPT(" ",50)),351,50))),0),IFERROR(DATEVALUE(TRIM(MID(SUBSTITUTE(I34,";",REPT(" ",50)),401,50))),0),IFERROR(DATEVALUE(TRIM(MID(SUBSTITUTE(I34,";",REPT(" ",50)),451,50))),0)))</f>
        <v>46002</v>
      </c>
      <c r="L34">
        <f ca="1">IF(K34="","",TODAY()-K34)</f>
        <v>2</v>
      </c>
      <c r="M34" t="s">
        <v>273</v>
      </c>
      <c r="N34">
        <f ca="1">IF(M34="","",IF(L34="",INDEX($F$63:$F$66,MATCH(M34,$C$63:$C$66,0)),IF(L34&lt;=INDEX($D$63:$D$66,MATCH(M34,$C$63:$C$66,0)),0,IF(L34&lt;=INDEX($E$63:$E$66,MATCH(M34,$C$63:$C$66,0)),INDEX($F$63:$F$66,MATCH(M34,$C$63:$C$66,0)),INDEX($G$63:$G$66,MATCH(M34,$C$63:$C$66,0))))))</f>
        <v>0</v>
      </c>
      <c r="O34">
        <f ca="1">G34+N34</f>
        <v>0</v>
      </c>
      <c r="P34" t="s">
        <v>168</v>
      </c>
      <c r="Q34" t="s">
        <v>863</v>
      </c>
      <c r="R34" t="s">
        <v>891</v>
      </c>
    </row>
    <row r="35" spans="1:18" x14ac:dyDescent="0.2">
      <c r="A35" s="4"/>
      <c r="B35" s="5" t="s">
        <v>892</v>
      </c>
      <c r="C35" s="4"/>
      <c r="D35" s="4"/>
      <c r="E35" s="4"/>
      <c r="F35" s="4"/>
      <c r="G35" s="4"/>
      <c r="H35" s="4"/>
      <c r="I35" s="4"/>
      <c r="J35" s="4"/>
      <c r="K35" s="23" t="str">
        <f>IF(I35="","",MAX(IFERROR(DATEVALUE(TRIM(MID(SUBSTITUTE(I35,";",REPT(" ",50)),1,50))),0),IFERROR(DATEVALUE(TRIM(MID(SUBSTITUTE(I35,";",REPT(" ",50)),51,50))),0),IFERROR(DATEVALUE(TRIM(MID(SUBSTITUTE(I35,";",REPT(" ",50)),101,50))),0),IFERROR(DATEVALUE(TRIM(MID(SUBSTITUTE(I35,";",REPT(" ",50)),151,50))),0),IFERROR(DATEVALUE(TRIM(MID(SUBSTITUTE(I35,";",REPT(" ",50)),201,50))),0),IFERROR(DATEVALUE(TRIM(MID(SUBSTITUTE(I35,";",REPT(" ",50)),251,50))),0),IFERROR(DATEVALUE(TRIM(MID(SUBSTITUTE(I35,";",REPT(" ",50)),301,50))),0),IFERROR(DATEVALUE(TRIM(MID(SUBSTITUTE(I35,";",REPT(" ",50)),351,50))),0),IFERROR(DATEVALUE(TRIM(MID(SUBSTITUTE(I35,";",REPT(" ",50)),401,50))),0),IFERROR(DATEVALUE(TRIM(MID(SUBSTITUTE(I35,";",REPT(" ",50)),451,50))),0)))</f>
        <v/>
      </c>
      <c r="L35" s="4"/>
      <c r="M35" s="4"/>
      <c r="N35" s="4" t="str">
        <f>IF(M35="","",IF(L35="",INDEX($F$63:$F$66,MATCH(M35,$C$63:$C$66,0)),IF(L35&lt;=INDEX($D$63:$D$66,MATCH(M35,$C$63:$C$66,0)),0,IF(L35&lt;=INDEX($E$63:$E$66,MATCH(M35,$C$63:$C$66,0)),INDEX($F$63:$F$66,MATCH(M35,$C$63:$C$66,0)),INDEX($G$63:$G$66,MATCH(M35,$C$63:$C$66,0))))))</f>
        <v/>
      </c>
      <c r="O35" s="4"/>
      <c r="P35" s="4"/>
      <c r="Q35" s="4"/>
      <c r="R35" s="4"/>
    </row>
    <row r="36" spans="1:18" x14ac:dyDescent="0.2">
      <c r="A36" s="3"/>
      <c r="B36" s="44"/>
      <c r="C36" s="45"/>
      <c r="D36" s="45"/>
      <c r="E36" s="45"/>
      <c r="F36" s="45"/>
      <c r="G36" s="45"/>
      <c r="H36" s="45"/>
      <c r="I36" s="45"/>
      <c r="J36" s="45"/>
      <c r="K36" s="46"/>
      <c r="L36" s="45"/>
      <c r="M36" s="45"/>
      <c r="N36" s="45"/>
      <c r="O36" s="45"/>
      <c r="P36" s="45"/>
      <c r="Q36" s="45"/>
      <c r="R36" s="45"/>
    </row>
    <row r="37" spans="1:18" x14ac:dyDescent="0.2">
      <c r="A37" t="s">
        <v>893</v>
      </c>
      <c r="B37" t="s">
        <v>894</v>
      </c>
      <c r="C37" t="s">
        <v>895</v>
      </c>
      <c r="D37" t="s">
        <v>163</v>
      </c>
      <c r="E37">
        <f>IF(C37="Integrated as a core feature",0,IF(C37="Some integrations via partners",10,IF(C37="No integration",20,IF(C37="Unknown",10,""))))</f>
        <v>10</v>
      </c>
      <c r="F37">
        <f>IF(D37="High",0,IF(D37="Medium",0.05,IF(D37="Low",0.1,IF(D37="Unknown",0.15,""))))</f>
        <v>0</v>
      </c>
      <c r="G37">
        <f>E37*(1+F37)</f>
        <v>10</v>
      </c>
      <c r="H37" t="s">
        <v>896</v>
      </c>
      <c r="I37" t="s">
        <v>897</v>
      </c>
      <c r="J37" t="s">
        <v>166</v>
      </c>
      <c r="K37" s="24">
        <f>IF(I37="","",MAX(IFERROR(DATEVALUE(TRIM(MID(SUBSTITUTE(I37,";",REPT(" ",50)),1,50))),0),IFERROR(DATEVALUE(TRIM(MID(SUBSTITUTE(I37,";",REPT(" ",50)),51,50))),0),IFERROR(DATEVALUE(TRIM(MID(SUBSTITUTE(I37,";",REPT(" ",50)),101,50))),0),IFERROR(DATEVALUE(TRIM(MID(SUBSTITUTE(I37,";",REPT(" ",50)),151,50))),0),IFERROR(DATEVALUE(TRIM(MID(SUBSTITUTE(I37,";",REPT(" ",50)),201,50))),0),IFERROR(DATEVALUE(TRIM(MID(SUBSTITUTE(I37,";",REPT(" ",50)),251,50))),0),IFERROR(DATEVALUE(TRIM(MID(SUBSTITUTE(I37,";",REPT(" ",50)),301,50))),0),IFERROR(DATEVALUE(TRIM(MID(SUBSTITUTE(I37,";",REPT(" ",50)),351,50))),0),IFERROR(DATEVALUE(TRIM(MID(SUBSTITUTE(I37,";",REPT(" ",50)),401,50))),0),IFERROR(DATEVALUE(TRIM(MID(SUBSTITUTE(I37,";",REPT(" ",50)),451,50))),0)))</f>
        <v>45925</v>
      </c>
      <c r="L37">
        <f ca="1">IF(K37="","",TODAY()-K37)</f>
        <v>79</v>
      </c>
      <c r="M37" t="s">
        <v>184</v>
      </c>
      <c r="N37">
        <f ca="1">IF(M37="","",IF(L37="",INDEX($F$63:$F$66,MATCH(M37,$C$63:$C$66,0)),IF(L37&lt;=INDEX($D$63:$D$66,MATCH(M37,$C$63:$C$66,0)),0,IF(L37&lt;=INDEX($E$63:$E$66,MATCH(M37,$C$63:$C$66,0)),INDEX($F$63:$F$66,MATCH(M37,$C$63:$C$66,0)),INDEX($G$63:$G$66,MATCH(M37,$C$63:$C$66,0))))))</f>
        <v>0</v>
      </c>
      <c r="O37">
        <f ca="1">G37+N37</f>
        <v>10</v>
      </c>
      <c r="P37" t="s">
        <v>168</v>
      </c>
      <c r="Q37" t="s">
        <v>898</v>
      </c>
      <c r="R37" t="s">
        <v>899</v>
      </c>
    </row>
    <row r="38" spans="1:18" x14ac:dyDescent="0.2">
      <c r="A38" t="s">
        <v>900</v>
      </c>
      <c r="B38" t="s">
        <v>901</v>
      </c>
      <c r="C38" t="s">
        <v>902</v>
      </c>
      <c r="D38" t="s">
        <v>163</v>
      </c>
      <c r="E38">
        <f>IF(C38="Native / enforced screening",0,IF(C38="Partial screening via partners",10,IF(C38="No screening",20,IF(C38="Unknown",10,""))))</f>
        <v>10</v>
      </c>
      <c r="F38">
        <f>IF(D38="High",0,IF(D38="Medium",0.05,IF(D38="Low",0.1,IF(D38="Unknown",0.15,""))))</f>
        <v>0</v>
      </c>
      <c r="G38">
        <f>E38*(1+F38)</f>
        <v>10</v>
      </c>
      <c r="H38" t="s">
        <v>903</v>
      </c>
      <c r="I38" t="s">
        <v>904</v>
      </c>
      <c r="J38" t="s">
        <v>166</v>
      </c>
      <c r="K38" s="24">
        <f>IF(I38="","",MAX(IFERROR(DATEVALUE(TRIM(MID(SUBSTITUTE(I38,";",REPT(" ",50)),1,50))),0),IFERROR(DATEVALUE(TRIM(MID(SUBSTITUTE(I38,";",REPT(" ",50)),51,50))),0),IFERROR(DATEVALUE(TRIM(MID(SUBSTITUTE(I38,";",REPT(" ",50)),101,50))),0),IFERROR(DATEVALUE(TRIM(MID(SUBSTITUTE(I38,";",REPT(" ",50)),151,50))),0),IFERROR(DATEVALUE(TRIM(MID(SUBSTITUTE(I38,";",REPT(" ",50)),201,50))),0),IFERROR(DATEVALUE(TRIM(MID(SUBSTITUTE(I38,";",REPT(" ",50)),251,50))),0),IFERROR(DATEVALUE(TRIM(MID(SUBSTITUTE(I38,";",REPT(" ",50)),301,50))),0),IFERROR(DATEVALUE(TRIM(MID(SUBSTITUTE(I38,";",REPT(" ",50)),351,50))),0),IFERROR(DATEVALUE(TRIM(MID(SUBSTITUTE(I38,";",REPT(" ",50)),401,50))),0),IFERROR(DATEVALUE(TRIM(MID(SUBSTITUTE(I38,";",REPT(" ",50)),451,50))),0)))</f>
        <v>45566</v>
      </c>
      <c r="L38">
        <f ca="1">IF(K38="","",TODAY()-K38)</f>
        <v>438</v>
      </c>
      <c r="M38" t="s">
        <v>273</v>
      </c>
      <c r="N38">
        <f ca="1">IF(M38="","",IF(L38="",INDEX($F$63:$F$66,MATCH(M38,$C$63:$C$66,0)),IF(L38&lt;=INDEX($D$63:$D$66,MATCH(M38,$C$63:$C$66,0)),0,IF(L38&lt;=INDEX($E$63:$E$66,MATCH(M38,$C$63:$C$66,0)),INDEX($F$63:$F$66,MATCH(M38,$C$63:$C$66,0)),INDEX($G$63:$G$66,MATCH(M38,$C$63:$C$66,0))))))</f>
        <v>10</v>
      </c>
      <c r="O38">
        <f ca="1">G38+N38</f>
        <v>20</v>
      </c>
      <c r="P38" t="s">
        <v>168</v>
      </c>
      <c r="Q38" t="s">
        <v>905</v>
      </c>
      <c r="R38" t="s">
        <v>906</v>
      </c>
    </row>
    <row r="39" spans="1:18" x14ac:dyDescent="0.2">
      <c r="A39" t="s">
        <v>907</v>
      </c>
      <c r="B39" t="s">
        <v>908</v>
      </c>
      <c r="C39" t="s">
        <v>909</v>
      </c>
      <c r="D39" t="s">
        <v>197</v>
      </c>
      <c r="E39">
        <f>IF(C39="Native / real-time monitoring",0,IF(C39="Partial / ecosystem-level",10,IF(C39="None",20,IF(C39="Unknown",10,""))))</f>
        <v>10</v>
      </c>
      <c r="F39">
        <f>IF(D39="High",0,IF(D39="Medium",0.05,IF(D39="Low",0.1,IF(D39="Unknown",0.15,""))))</f>
        <v>0.05</v>
      </c>
      <c r="G39">
        <f>E39*(1+F39)</f>
        <v>10.5</v>
      </c>
      <c r="H39" t="s">
        <v>910</v>
      </c>
      <c r="J39" t="s">
        <v>166</v>
      </c>
      <c r="K39" s="24" t="str">
        <f>IF(I39="","",MAX(IFERROR(DATEVALUE(TRIM(MID(SUBSTITUTE(I39,";",REPT(" ",50)),1,50))),0),IFERROR(DATEVALUE(TRIM(MID(SUBSTITUTE(I39,";",REPT(" ",50)),51,50))),0),IFERROR(DATEVALUE(TRIM(MID(SUBSTITUTE(I39,";",REPT(" ",50)),101,50))),0),IFERROR(DATEVALUE(TRIM(MID(SUBSTITUTE(I39,";",REPT(" ",50)),151,50))),0),IFERROR(DATEVALUE(TRIM(MID(SUBSTITUTE(I39,";",REPT(" ",50)),201,50))),0),IFERROR(DATEVALUE(TRIM(MID(SUBSTITUTE(I39,";",REPT(" ",50)),251,50))),0),IFERROR(DATEVALUE(TRIM(MID(SUBSTITUTE(I39,";",REPT(" ",50)),301,50))),0),IFERROR(DATEVALUE(TRIM(MID(SUBSTITUTE(I39,";",REPT(" ",50)),351,50))),0),IFERROR(DATEVALUE(TRIM(MID(SUBSTITUTE(I39,";",REPT(" ",50)),401,50))),0),IFERROR(DATEVALUE(TRIM(MID(SUBSTITUTE(I39,";",REPT(" ",50)),451,50))),0)))</f>
        <v/>
      </c>
      <c r="L39" t="str">
        <f ca="1">IF(K39="","",TODAY()-K39)</f>
        <v/>
      </c>
      <c r="M39" t="s">
        <v>184</v>
      </c>
      <c r="N39">
        <f ca="1">IF(M39="","",IF(L39="",INDEX($F$63:$F$66,MATCH(M39,$C$63:$C$66,0)),IF(L39&lt;=INDEX($D$63:$D$66,MATCH(M39,$C$63:$C$66,0)),0,IF(L39&lt;=INDEX($E$63:$E$66,MATCH(M39,$C$63:$C$66,0)),INDEX($F$63:$F$66,MATCH(M39,$C$63:$C$66,0)),INDEX($G$63:$G$66,MATCH(M39,$C$63:$C$66,0))))))</f>
        <v>3</v>
      </c>
      <c r="O39">
        <f ca="1">G39+N39</f>
        <v>13.5</v>
      </c>
      <c r="P39" t="s">
        <v>168</v>
      </c>
      <c r="Q39" t="s">
        <v>911</v>
      </c>
      <c r="R39" t="s">
        <v>912</v>
      </c>
    </row>
    <row r="40" spans="1:18" x14ac:dyDescent="0.2">
      <c r="A40" t="s">
        <v>913</v>
      </c>
      <c r="B40" t="s">
        <v>914</v>
      </c>
      <c r="C40" t="s">
        <v>915</v>
      </c>
      <c r="D40" t="s">
        <v>163</v>
      </c>
      <c r="E40">
        <v>0</v>
      </c>
      <c r="F40">
        <f>IF(D40="High",0,IF(D40="Medium",0.05,IF(D40="Low",0.1,IF(D40="Unknown",0.15,""))))</f>
        <v>0</v>
      </c>
      <c r="G40">
        <f>E40*(1+F40)</f>
        <v>0</v>
      </c>
      <c r="H40" t="s">
        <v>916</v>
      </c>
      <c r="I40" t="s">
        <v>917</v>
      </c>
      <c r="J40" t="s">
        <v>176</v>
      </c>
      <c r="K40" s="24">
        <f>IF(I40="","",MAX(IFERROR(DATEVALUE(TRIM(MID(SUBSTITUTE(I40,";",REPT(" ",50)),1,50))),0),IFERROR(DATEVALUE(TRIM(MID(SUBSTITUTE(I40,";",REPT(" ",50)),51,50))),0),IFERROR(DATEVALUE(TRIM(MID(SUBSTITUTE(I40,";",REPT(" ",50)),101,50))),0),IFERROR(DATEVALUE(TRIM(MID(SUBSTITUTE(I40,";",REPT(" ",50)),151,50))),0),IFERROR(DATEVALUE(TRIM(MID(SUBSTITUTE(I40,";",REPT(" ",50)),201,50))),0),IFERROR(DATEVALUE(TRIM(MID(SUBSTITUTE(I40,";",REPT(" ",50)),251,50))),0),IFERROR(DATEVALUE(TRIM(MID(SUBSTITUTE(I40,";",REPT(" ",50)),301,50))),0),IFERROR(DATEVALUE(TRIM(MID(SUBSTITUTE(I40,";",REPT(" ",50)),351,50))),0),IFERROR(DATEVALUE(TRIM(MID(SUBSTITUTE(I40,";",REPT(" ",50)),401,50))),0),IFERROR(DATEVALUE(TRIM(MID(SUBSTITUTE(I40,";",REPT(" ",50)),451,50))),0)))</f>
        <v>45962</v>
      </c>
      <c r="L40">
        <f ca="1">IF(K40="","",TODAY()-K40)</f>
        <v>42</v>
      </c>
      <c r="M40" t="s">
        <v>184</v>
      </c>
      <c r="N40">
        <f ca="1">IF(M40="","",IF(L40="",INDEX($F$63:$F$66,MATCH(M40,$C$63:$C$66,0)),IF(L40&lt;=INDEX($D$63:$D$66,MATCH(M40,$C$63:$C$66,0)),0,IF(L40&lt;=INDEX($E$63:$E$66,MATCH(M40,$C$63:$C$66,0)),INDEX($F$63:$F$66,MATCH(M40,$C$63:$C$66,0)),INDEX($G$63:$G$66,MATCH(M40,$C$63:$C$66,0))))))</f>
        <v>0</v>
      </c>
      <c r="O40">
        <f ca="1">G40+N40</f>
        <v>0</v>
      </c>
      <c r="P40" t="s">
        <v>168</v>
      </c>
      <c r="Q40" t="s">
        <v>435</v>
      </c>
      <c r="R40" t="s">
        <v>918</v>
      </c>
    </row>
    <row r="41" spans="1:18" x14ac:dyDescent="0.2">
      <c r="A41" s="3"/>
      <c r="B41" s="44"/>
      <c r="C41" s="45"/>
      <c r="D41" s="45"/>
      <c r="E41" s="45"/>
      <c r="F41" s="45"/>
      <c r="G41" s="45"/>
      <c r="H41" s="45"/>
      <c r="I41" s="45"/>
      <c r="J41" s="45"/>
      <c r="K41" s="46"/>
      <c r="L41" s="45"/>
      <c r="M41" s="45"/>
      <c r="N41" s="45"/>
      <c r="O41" s="45"/>
      <c r="P41" s="45"/>
      <c r="Q41" s="45"/>
      <c r="R41" s="45"/>
    </row>
    <row r="42" spans="1:18" x14ac:dyDescent="0.2">
      <c r="A42" t="s">
        <v>919</v>
      </c>
      <c r="B42" t="s">
        <v>920</v>
      </c>
      <c r="C42" t="s">
        <v>921</v>
      </c>
      <c r="D42" t="s">
        <v>197</v>
      </c>
      <c r="E42">
        <f>IF(C42="Detailed / comprehensive policy",0,IF(C42="High-level policy only",10,IF(C42="None published",20,IF(C42="Unknown",10,""))))</f>
        <v>10</v>
      </c>
      <c r="F42">
        <f>IF(D42="High",0,IF(D42="Medium",0.05,IF(D42="Low",0.1,IF(D42="Unknown",0.15,""))))</f>
        <v>0.05</v>
      </c>
      <c r="G42">
        <f>E42*(1+F42)</f>
        <v>10.5</v>
      </c>
      <c r="H42" t="s">
        <v>922</v>
      </c>
      <c r="I42" t="s">
        <v>483</v>
      </c>
      <c r="J42" t="s">
        <v>166</v>
      </c>
      <c r="K42" s="24">
        <f>IF(I42="","",MAX(IFERROR(DATEVALUE(TRIM(MID(SUBSTITUTE(I42,";",REPT(" ",50)),1,50))),0),IFERROR(DATEVALUE(TRIM(MID(SUBSTITUTE(I42,";",REPT(" ",50)),51,50))),0),IFERROR(DATEVALUE(TRIM(MID(SUBSTITUTE(I42,";",REPT(" ",50)),101,50))),0),IFERROR(DATEVALUE(TRIM(MID(SUBSTITUTE(I42,";",REPT(" ",50)),151,50))),0),IFERROR(DATEVALUE(TRIM(MID(SUBSTITUTE(I42,";",REPT(" ",50)),201,50))),0),IFERROR(DATEVALUE(TRIM(MID(SUBSTITUTE(I42,";",REPT(" ",50)),251,50))),0),IFERROR(DATEVALUE(TRIM(MID(SUBSTITUTE(I42,";",REPT(" ",50)),301,50))),0),IFERROR(DATEVALUE(TRIM(MID(SUBSTITUTE(I42,";",REPT(" ",50)),351,50))),0),IFERROR(DATEVALUE(TRIM(MID(SUBSTITUTE(I42,";",REPT(" ",50)),401,50))),0),IFERROR(DATEVALUE(TRIM(MID(SUBSTITUTE(I42,";",REPT(" ",50)),451,50))),0)))</f>
        <v>45536</v>
      </c>
      <c r="L42">
        <f ca="1">IF(K42="","",TODAY()-K42)</f>
        <v>468</v>
      </c>
      <c r="M42" t="s">
        <v>303</v>
      </c>
      <c r="N42">
        <f ca="1">IF(M42="","",IF(L42="",INDEX($F$63:$F$66,MATCH(M42,$C$63:$C$66,0)),IF(L42&lt;=INDEX($D$63:$D$66,MATCH(M42,$C$63:$C$66,0)),0,IF(L42&lt;=INDEX($E$63:$E$66,MATCH(M42,$C$63:$C$66,0)),INDEX($F$63:$F$66,MATCH(M42,$C$63:$C$66,0)),INDEX($G$63:$G$66,MATCH(M42,$C$63:$C$66,0))))))</f>
        <v>2</v>
      </c>
      <c r="O42">
        <f ca="1">G42+N42</f>
        <v>12.5</v>
      </c>
      <c r="P42" t="s">
        <v>168</v>
      </c>
      <c r="Q42" t="s">
        <v>923</v>
      </c>
      <c r="R42" t="s">
        <v>924</v>
      </c>
    </row>
    <row r="43" spans="1:18" x14ac:dyDescent="0.2">
      <c r="A43" t="s">
        <v>925</v>
      </c>
      <c r="B43" t="s">
        <v>926</v>
      </c>
      <c r="C43" t="s">
        <v>927</v>
      </c>
      <c r="D43" t="s">
        <v>197</v>
      </c>
      <c r="E43">
        <f>IF(C43="Full / enforced geo-fencing",0,IF(C43="Partial geo-fencing",10,IF(C43="No geo-fencing",20,IF(C43="Unknown",10,""))))</f>
        <v>20</v>
      </c>
      <c r="F43">
        <f>IF(D43="High",0,IF(D43="Medium",0.05,IF(D43="Low",0.1,IF(D43="Unknown",0.15,""))))</f>
        <v>0.05</v>
      </c>
      <c r="G43">
        <f>E43*(1+F43)</f>
        <v>21</v>
      </c>
      <c r="H43" t="s">
        <v>928</v>
      </c>
      <c r="I43" t="s">
        <v>929</v>
      </c>
      <c r="J43" t="s">
        <v>166</v>
      </c>
      <c r="K43" s="24">
        <f>IF(I43="","",MAX(IFERROR(DATEVALUE(TRIM(MID(SUBSTITUTE(I43,";",REPT(" ",50)),1,50))),0),IFERROR(DATEVALUE(TRIM(MID(SUBSTITUTE(I43,";",REPT(" ",50)),51,50))),0),IFERROR(DATEVALUE(TRIM(MID(SUBSTITUTE(I43,";",REPT(" ",50)),101,50))),0),IFERROR(DATEVALUE(TRIM(MID(SUBSTITUTE(I43,";",REPT(" ",50)),151,50))),0),IFERROR(DATEVALUE(TRIM(MID(SUBSTITUTE(I43,";",REPT(" ",50)),201,50))),0),IFERROR(DATEVALUE(TRIM(MID(SUBSTITUTE(I43,";",REPT(" ",50)),251,50))),0),IFERROR(DATEVALUE(TRIM(MID(SUBSTITUTE(I43,";",REPT(" ",50)),301,50))),0),IFERROR(DATEVALUE(TRIM(MID(SUBSTITUTE(I43,";",REPT(" ",50)),351,50))),0),IFERROR(DATEVALUE(TRIM(MID(SUBSTITUTE(I43,";",REPT(" ",50)),401,50))),0),IFERROR(DATEVALUE(TRIM(MID(SUBSTITUTE(I43,";",REPT(" ",50)),451,50))),0)))</f>
        <v>45931</v>
      </c>
      <c r="L43">
        <f ca="1">IF(K43="","",TODAY()-K43)</f>
        <v>73</v>
      </c>
      <c r="M43" t="s">
        <v>184</v>
      </c>
      <c r="N43">
        <f ca="1">IF(M43="","",IF(L43="",INDEX($F$63:$F$66,MATCH(M43,$C$63:$C$66,0)),IF(L43&lt;=INDEX($D$63:$D$66,MATCH(M43,$C$63:$C$66,0)),0,IF(L43&lt;=INDEX($E$63:$E$66,MATCH(M43,$C$63:$C$66,0)),INDEX($F$63:$F$66,MATCH(M43,$C$63:$C$66,0)),INDEX($G$63:$G$66,MATCH(M43,$C$63:$C$66,0))))))</f>
        <v>0</v>
      </c>
      <c r="O43">
        <f ca="1">G43+N43</f>
        <v>21</v>
      </c>
      <c r="P43" t="s">
        <v>168</v>
      </c>
      <c r="Q43" t="s">
        <v>930</v>
      </c>
      <c r="R43" t="s">
        <v>931</v>
      </c>
    </row>
    <row r="44" spans="1:18" x14ac:dyDescent="0.2">
      <c r="A44" t="s">
        <v>932</v>
      </c>
      <c r="B44" t="s">
        <v>933</v>
      </c>
      <c r="C44" t="s">
        <v>934</v>
      </c>
      <c r="D44" t="s">
        <v>163</v>
      </c>
      <c r="E44">
        <f>IF(C44="Multiple validated partnerships",0,IF(C44="Some partnerships",10,IF(C44="None disclosed",20,IF(C44="Unknown",10,""))))</f>
        <v>0</v>
      </c>
      <c r="F44">
        <f>IF(D44="High",0,IF(D44="Medium",0.05,IF(D44="Low",0.1,IF(D44="Unknown",0.15,""))))</f>
        <v>0</v>
      </c>
      <c r="G44">
        <f>E44*(1+F44)</f>
        <v>0</v>
      </c>
      <c r="H44" t="s">
        <v>935</v>
      </c>
      <c r="I44" t="s">
        <v>936</v>
      </c>
      <c r="J44" t="s">
        <v>176</v>
      </c>
      <c r="K44" s="24">
        <f>IF(I44="","",MAX(IFERROR(DATEVALUE(TRIM(MID(SUBSTITUTE(I44,";",REPT(" ",50)),1,50))),0),IFERROR(DATEVALUE(TRIM(MID(SUBSTITUTE(I44,";",REPT(" ",50)),51,50))),0),IFERROR(DATEVALUE(TRIM(MID(SUBSTITUTE(I44,";",REPT(" ",50)),101,50))),0),IFERROR(DATEVALUE(TRIM(MID(SUBSTITUTE(I44,";",REPT(" ",50)),151,50))),0),IFERROR(DATEVALUE(TRIM(MID(SUBSTITUTE(I44,";",REPT(" ",50)),201,50))),0),IFERROR(DATEVALUE(TRIM(MID(SUBSTITUTE(I44,";",REPT(" ",50)),251,50))),0),IFERROR(DATEVALUE(TRIM(MID(SUBSTITUTE(I44,";",REPT(" ",50)),301,50))),0),IFERROR(DATEVALUE(TRIM(MID(SUBSTITUTE(I44,";",REPT(" ",50)),351,50))),0),IFERROR(DATEVALUE(TRIM(MID(SUBSTITUTE(I44,";",REPT(" ",50)),401,50))),0),IFERROR(DATEVALUE(TRIM(MID(SUBSTITUTE(I44,";",REPT(" ",50)),451,50))),0)))</f>
        <v>45775</v>
      </c>
      <c r="L44">
        <f ca="1">IF(K44="","",TODAY()-K44)</f>
        <v>229</v>
      </c>
      <c r="M44" t="s">
        <v>303</v>
      </c>
      <c r="N44">
        <f ca="1">IF(M44="","",IF(L44="",INDEX($F$63:$F$66,MATCH(M44,$C$63:$C$66,0)),IF(L44&lt;=INDEX($D$63:$D$66,MATCH(M44,$C$63:$C$66,0)),0,IF(L44&lt;=INDEX($E$63:$E$66,MATCH(M44,$C$63:$C$66,0)),INDEX($F$63:$F$66,MATCH(M44,$C$63:$C$66,0)),INDEX($G$63:$G$66,MATCH(M44,$C$63:$C$66,0))))))</f>
        <v>0</v>
      </c>
      <c r="O44">
        <f ca="1">G44+N44</f>
        <v>0</v>
      </c>
      <c r="P44" t="s">
        <v>168</v>
      </c>
      <c r="Q44" t="s">
        <v>937</v>
      </c>
      <c r="R44" t="s">
        <v>938</v>
      </c>
    </row>
    <row r="45" spans="1:18" x14ac:dyDescent="0.2">
      <c r="A45" t="s">
        <v>939</v>
      </c>
      <c r="B45" t="s">
        <v>940</v>
      </c>
      <c r="C45" t="s">
        <v>941</v>
      </c>
      <c r="D45" t="s">
        <v>163</v>
      </c>
      <c r="E45">
        <v>0</v>
      </c>
      <c r="F45">
        <f>IF(D45="High",0,IF(D45="Medium",0.05,IF(D45="Low",0.1,IF(D45="Unknown",0.15,""))))</f>
        <v>0</v>
      </c>
      <c r="G45">
        <f>E45*(1+F45)</f>
        <v>0</v>
      </c>
      <c r="H45" t="s">
        <v>942</v>
      </c>
      <c r="I45" t="s">
        <v>943</v>
      </c>
      <c r="J45" t="s">
        <v>176</v>
      </c>
      <c r="K45" s="24">
        <f>IF(I45="","",MAX(IFERROR(DATEVALUE(TRIM(MID(SUBSTITUTE(I45,";",REPT(" ",50)),1,50))),0),IFERROR(DATEVALUE(TRIM(MID(SUBSTITUTE(I45,";",REPT(" ",50)),51,50))),0),IFERROR(DATEVALUE(TRIM(MID(SUBSTITUTE(I45,";",REPT(" ",50)),101,50))),0),IFERROR(DATEVALUE(TRIM(MID(SUBSTITUTE(I45,";",REPT(" ",50)),151,50))),0),IFERROR(DATEVALUE(TRIM(MID(SUBSTITUTE(I45,";",REPT(" ",50)),201,50))),0),IFERROR(DATEVALUE(TRIM(MID(SUBSTITUTE(I45,";",REPT(" ",50)),251,50))),0),IFERROR(DATEVALUE(TRIM(MID(SUBSTITUTE(I45,";",REPT(" ",50)),301,50))),0),IFERROR(DATEVALUE(TRIM(MID(SUBSTITUTE(I45,";",REPT(" ",50)),351,50))),0),IFERROR(DATEVALUE(TRIM(MID(SUBSTITUTE(I45,";",REPT(" ",50)),401,50))),0),IFERROR(DATEVALUE(TRIM(MID(SUBSTITUTE(I45,";",REPT(" ",50)),451,50))),0)))</f>
        <v>45536</v>
      </c>
      <c r="L45">
        <f ca="1">IF(K45="","",TODAY()-K45)</f>
        <v>468</v>
      </c>
      <c r="M45" t="s">
        <v>303</v>
      </c>
      <c r="N45">
        <f ca="1">IF(M45="","",IF(L45="",INDEX($F$63:$F$66,MATCH(M45,$C$63:$C$66,0)),IF(L45&lt;=INDEX($D$63:$D$66,MATCH(M45,$C$63:$C$66,0)),0,IF(L45&lt;=INDEX($E$63:$E$66,MATCH(M45,$C$63:$C$66,0)),INDEX($F$63:$F$66,MATCH(M45,$C$63:$C$66,0)),INDEX($G$63:$G$66,MATCH(M45,$C$63:$C$66,0))))))</f>
        <v>2</v>
      </c>
      <c r="O45">
        <f ca="1">G45+N45</f>
        <v>2</v>
      </c>
      <c r="P45" t="s">
        <v>168</v>
      </c>
      <c r="Q45" t="s">
        <v>435</v>
      </c>
      <c r="R45" t="s">
        <v>944</v>
      </c>
    </row>
    <row r="46" spans="1:18" x14ac:dyDescent="0.2">
      <c r="A46" s="4"/>
      <c r="B46" s="5" t="s">
        <v>945</v>
      </c>
      <c r="C46" s="4"/>
      <c r="D46" s="4"/>
      <c r="E46" s="4"/>
      <c r="F46" s="4"/>
      <c r="G46" s="4"/>
      <c r="H46" s="4"/>
      <c r="I46" s="4"/>
      <c r="J46" s="4"/>
      <c r="K46" s="23" t="str">
        <f>IF(I46="","",MAX(IFERROR(DATEVALUE(TRIM(MID(SUBSTITUTE(I46,";",REPT(" ",50)),1,50))),0),IFERROR(DATEVALUE(TRIM(MID(SUBSTITUTE(I46,";",REPT(" ",50)),51,50))),0),IFERROR(DATEVALUE(TRIM(MID(SUBSTITUTE(I46,";",REPT(" ",50)),101,50))),0),IFERROR(DATEVALUE(TRIM(MID(SUBSTITUTE(I46,";",REPT(" ",50)),151,50))),0),IFERROR(DATEVALUE(TRIM(MID(SUBSTITUTE(I46,";",REPT(" ",50)),201,50))),0),IFERROR(DATEVALUE(TRIM(MID(SUBSTITUTE(I46,";",REPT(" ",50)),251,50))),0),IFERROR(DATEVALUE(TRIM(MID(SUBSTITUTE(I46,";",REPT(" ",50)),301,50))),0),IFERROR(DATEVALUE(TRIM(MID(SUBSTITUTE(I46,";",REPT(" ",50)),351,50))),0),IFERROR(DATEVALUE(TRIM(MID(SUBSTITUTE(I46,";",REPT(" ",50)),401,50))),0),IFERROR(DATEVALUE(TRIM(MID(SUBSTITUTE(I46,";",REPT(" ",50)),451,50))),0)))</f>
        <v/>
      </c>
      <c r="L46" s="4"/>
      <c r="M46" s="4"/>
      <c r="N46" s="4" t="str">
        <f>IF(M46="","",IF(L46="",INDEX($F$63:$F$66,MATCH(M46,$C$63:$C$66,0)),IF(L46&lt;=INDEX($D$63:$D$66,MATCH(M46,$C$63:$C$66,0)),0,IF(L46&lt;=INDEX($E$63:$E$66,MATCH(M46,$C$63:$C$66,0)),INDEX($F$63:$F$66,MATCH(M46,$C$63:$C$66,0)),INDEX($G$63:$G$66,MATCH(M46,$C$63:$C$66,0))))))</f>
        <v/>
      </c>
      <c r="O46" s="4"/>
      <c r="P46" s="4"/>
      <c r="Q46" s="4"/>
      <c r="R46" s="4"/>
    </row>
    <row r="47" spans="1:18" x14ac:dyDescent="0.2">
      <c r="A47" s="3"/>
      <c r="B47" s="44"/>
      <c r="C47" s="45"/>
      <c r="D47" s="45"/>
      <c r="E47" s="45"/>
      <c r="F47" s="45"/>
      <c r="G47" s="45"/>
      <c r="H47" s="45"/>
      <c r="I47" s="45"/>
      <c r="J47" s="45"/>
      <c r="K47" s="46"/>
      <c r="L47" s="45"/>
      <c r="M47" s="45"/>
      <c r="N47" s="45"/>
      <c r="O47" s="45"/>
      <c r="P47" s="45"/>
      <c r="Q47" s="45"/>
      <c r="R47" s="45"/>
    </row>
    <row r="48" spans="1:18" x14ac:dyDescent="0.2">
      <c r="A48" t="s">
        <v>438</v>
      </c>
      <c r="B48" t="s">
        <v>946</v>
      </c>
      <c r="C48" t="s">
        <v>947</v>
      </c>
      <c r="D48" t="s">
        <v>197</v>
      </c>
      <c r="E48">
        <f>IF(C48="Mostly regulated (&gt;70%)",0,IF(C48="Mixed (30–70%)",10,IF(C48="Mostly unregulated (&gt;70%)",20,IF(C48="Unknown",10,""))))</f>
        <v>0</v>
      </c>
      <c r="F48">
        <f>IF(D48="High",0,IF(D48="Medium",0.05,IF(D48="Low",0.1,IF(D48="Unknown",0.15,""))))</f>
        <v>0.05</v>
      </c>
      <c r="G48">
        <f>E48*(1+F48)</f>
        <v>0</v>
      </c>
      <c r="H48" t="s">
        <v>948</v>
      </c>
      <c r="I48" t="s">
        <v>949</v>
      </c>
      <c r="J48" t="s">
        <v>166</v>
      </c>
      <c r="K48" s="24">
        <f>IF(I48="","",MAX(IFERROR(DATEVALUE(TRIM(MID(SUBSTITUTE(I48,";",REPT(" ",50)),1,50))),0),IFERROR(DATEVALUE(TRIM(MID(SUBSTITUTE(I48,";",REPT(" ",50)),51,50))),0),IFERROR(DATEVALUE(TRIM(MID(SUBSTITUTE(I48,";",REPT(" ",50)),101,50))),0),IFERROR(DATEVALUE(TRIM(MID(SUBSTITUTE(I48,";",REPT(" ",50)),151,50))),0),IFERROR(DATEVALUE(TRIM(MID(SUBSTITUTE(I48,";",REPT(" ",50)),201,50))),0),IFERROR(DATEVALUE(TRIM(MID(SUBSTITUTE(I48,";",REPT(" ",50)),251,50))),0),IFERROR(DATEVALUE(TRIM(MID(SUBSTITUTE(I48,";",REPT(" ",50)),301,50))),0),IFERROR(DATEVALUE(TRIM(MID(SUBSTITUTE(I48,";",REPT(" ",50)),351,50))),0),IFERROR(DATEVALUE(TRIM(MID(SUBSTITUTE(I48,";",REPT(" ",50)),401,50))),0),IFERROR(DATEVALUE(TRIM(MID(SUBSTITUTE(I48,";",REPT(" ",50)),451,50))),0)))</f>
        <v>45597</v>
      </c>
      <c r="L48">
        <f ca="1">IF(K48="","",TODAY()-K48)</f>
        <v>407</v>
      </c>
      <c r="M48" t="s">
        <v>184</v>
      </c>
      <c r="N48">
        <f ca="1">IF(M48="","",IF(L48="",INDEX($F$63:$F$66,MATCH(M48,$C$63:$C$66,0)),IF(L48&lt;=INDEX($D$63:$D$66,MATCH(M48,$C$63:$C$66,0)),0,IF(L48&lt;=INDEX($E$63:$E$66,MATCH(M48,$C$63:$C$66,0)),INDEX($F$63:$F$66,MATCH(M48,$C$63:$C$66,0)),INDEX($G$63:$G$66,MATCH(M48,$C$63:$C$66,0))))))</f>
        <v>6</v>
      </c>
      <c r="O48">
        <f ca="1">G48+N48</f>
        <v>6</v>
      </c>
      <c r="P48" t="s">
        <v>168</v>
      </c>
      <c r="Q48" t="s">
        <v>950</v>
      </c>
      <c r="R48" t="s">
        <v>951</v>
      </c>
    </row>
    <row r="49" spans="1:18" x14ac:dyDescent="0.2">
      <c r="A49" t="s">
        <v>445</v>
      </c>
      <c r="B49" t="s">
        <v>952</v>
      </c>
      <c r="C49" t="s">
        <v>953</v>
      </c>
      <c r="D49" t="s">
        <v>197</v>
      </c>
      <c r="E49">
        <f>IF(C49="Limited (&lt;20%)",0,IF(C49="Moderate (20–60%)",10,IF(C49="High (&gt;60%) or privacy-DEX dominant",20,IF(C49="Unknown",10,""))))</f>
        <v>0</v>
      </c>
      <c r="F49">
        <f>IF(D49="High",0,IF(D49="Medium",0.05,IF(D49="Low",0.1,IF(D49="Unknown",0.15,""))))</f>
        <v>0.05</v>
      </c>
      <c r="G49">
        <f>E49*(1+F49)</f>
        <v>0</v>
      </c>
      <c r="H49" t="s">
        <v>948</v>
      </c>
      <c r="I49" t="s">
        <v>954</v>
      </c>
      <c r="J49" t="s">
        <v>166</v>
      </c>
      <c r="K49" s="24">
        <f>IF(I49="","",MAX(IFERROR(DATEVALUE(TRIM(MID(SUBSTITUTE(I49,";",REPT(" ",50)),1,50))),0),IFERROR(DATEVALUE(TRIM(MID(SUBSTITUTE(I49,";",REPT(" ",50)),51,50))),0),IFERROR(DATEVALUE(TRIM(MID(SUBSTITUTE(I49,";",REPT(" ",50)),101,50))),0),IFERROR(DATEVALUE(TRIM(MID(SUBSTITUTE(I49,";",REPT(" ",50)),151,50))),0),IFERROR(DATEVALUE(TRIM(MID(SUBSTITUTE(I49,";",REPT(" ",50)),201,50))),0),IFERROR(DATEVALUE(TRIM(MID(SUBSTITUTE(I49,";",REPT(" ",50)),251,50))),0),IFERROR(DATEVALUE(TRIM(MID(SUBSTITUTE(I49,";",REPT(" ",50)),301,50))),0),IFERROR(DATEVALUE(TRIM(MID(SUBSTITUTE(I49,";",REPT(" ",50)),351,50))),0),IFERROR(DATEVALUE(TRIM(MID(SUBSTITUTE(I49,";",REPT(" ",50)),401,50))),0),IFERROR(DATEVALUE(TRIM(MID(SUBSTITUTE(I49,";",REPT(" ",50)),451,50))),0)))</f>
        <v>45992</v>
      </c>
      <c r="L49">
        <f ca="1">IF(K49="","",TODAY()-K49)</f>
        <v>12</v>
      </c>
      <c r="M49" t="s">
        <v>184</v>
      </c>
      <c r="N49">
        <f ca="1">IF(M49="","",IF(L49="",INDEX($F$63:$F$66,MATCH(M49,$C$63:$C$66,0)),IF(L49&lt;=INDEX($D$63:$D$66,MATCH(M49,$C$63:$C$66,0)),0,IF(L49&lt;=INDEX($E$63:$E$66,MATCH(M49,$C$63:$C$66,0)),INDEX($F$63:$F$66,MATCH(M49,$C$63:$C$66,0)),INDEX($G$63:$G$66,MATCH(M49,$C$63:$C$66,0))))))</f>
        <v>0</v>
      </c>
      <c r="O49">
        <f ca="1">G49+N49</f>
        <v>0</v>
      </c>
      <c r="P49" t="s">
        <v>168</v>
      </c>
      <c r="Q49" t="s">
        <v>955</v>
      </c>
      <c r="R49" t="s">
        <v>956</v>
      </c>
    </row>
    <row r="50" spans="1:18" x14ac:dyDescent="0.2">
      <c r="A50" t="s">
        <v>451</v>
      </c>
      <c r="B50" t="s">
        <v>957</v>
      </c>
      <c r="C50" t="s">
        <v>958</v>
      </c>
      <c r="D50" t="s">
        <v>163</v>
      </c>
      <c r="E50">
        <f>IF(C50="High quality / regulated ramps",0,IF(C50="Mixed quality",10,IF(C50="Mostly unregulated / crypto-only ramps",20,IF(C50="Unknown",10,""))))</f>
        <v>0</v>
      </c>
      <c r="F50">
        <f>IF(D50="High",0,IF(D50="Medium",0.05,IF(D50="Low",0.1,IF(D50="Unknown",0.15,""))))</f>
        <v>0</v>
      </c>
      <c r="G50">
        <f>E50*(1+F50)</f>
        <v>0</v>
      </c>
      <c r="H50" t="s">
        <v>959</v>
      </c>
      <c r="I50" t="s">
        <v>960</v>
      </c>
      <c r="J50" t="s">
        <v>176</v>
      </c>
      <c r="K50" s="24">
        <f>IF(I50="","",MAX(IFERROR(DATEVALUE(TRIM(MID(SUBSTITUTE(I50,";",REPT(" ",50)),1,50))),0),IFERROR(DATEVALUE(TRIM(MID(SUBSTITUTE(I50,";",REPT(" ",50)),51,50))),0),IFERROR(DATEVALUE(TRIM(MID(SUBSTITUTE(I50,";",REPT(" ",50)),101,50))),0),IFERROR(DATEVALUE(TRIM(MID(SUBSTITUTE(I50,";",REPT(" ",50)),151,50))),0),IFERROR(DATEVALUE(TRIM(MID(SUBSTITUTE(I50,";",REPT(" ",50)),201,50))),0),IFERROR(DATEVALUE(TRIM(MID(SUBSTITUTE(I50,";",REPT(" ",50)),251,50))),0),IFERROR(DATEVALUE(TRIM(MID(SUBSTITUTE(I50,";",REPT(" ",50)),301,50))),0),IFERROR(DATEVALUE(TRIM(MID(SUBSTITUTE(I50,";",REPT(" ",50)),351,50))),0),IFERROR(DATEVALUE(TRIM(MID(SUBSTITUTE(I50,";",REPT(" ",50)),401,50))),0),IFERROR(DATEVALUE(TRIM(MID(SUBSTITUTE(I50,";",REPT(" ",50)),451,50))),0)))</f>
        <v>46000</v>
      </c>
      <c r="L50">
        <f ca="1">IF(K50="","",TODAY()-K50)</f>
        <v>4</v>
      </c>
      <c r="M50" t="s">
        <v>184</v>
      </c>
      <c r="N50">
        <f ca="1">IF(M50="","",IF(L50="",INDEX($F$63:$F$66,MATCH(M50,$C$63:$C$66,0)),IF(L50&lt;=INDEX($D$63:$D$66,MATCH(M50,$C$63:$C$66,0)),0,IF(L50&lt;=INDEX($E$63:$E$66,MATCH(M50,$C$63:$C$66,0)),INDEX($F$63:$F$66,MATCH(M50,$C$63:$C$66,0)),INDEX($G$63:$G$66,MATCH(M50,$C$63:$C$66,0))))))</f>
        <v>0</v>
      </c>
      <c r="O50">
        <f ca="1">G50+N50</f>
        <v>0</v>
      </c>
      <c r="P50" t="s">
        <v>168</v>
      </c>
      <c r="Q50" t="s">
        <v>961</v>
      </c>
      <c r="R50" t="s">
        <v>962</v>
      </c>
    </row>
    <row r="51" spans="1:18" x14ac:dyDescent="0.2">
      <c r="A51" t="s">
        <v>461</v>
      </c>
      <c r="B51" t="s">
        <v>963</v>
      </c>
      <c r="C51" t="s">
        <v>964</v>
      </c>
      <c r="D51" t="s">
        <v>163</v>
      </c>
      <c r="E51">
        <v>0</v>
      </c>
      <c r="F51">
        <f>IF(D51="High",0,IF(D51="Medium",0.05,IF(D51="Low",0.1,IF(D51="Unknown",0.15,""))))</f>
        <v>0</v>
      </c>
      <c r="G51">
        <f>E51*(1+F51)</f>
        <v>0</v>
      </c>
      <c r="H51" t="s">
        <v>965</v>
      </c>
      <c r="I51" t="s">
        <v>966</v>
      </c>
      <c r="J51" t="s">
        <v>176</v>
      </c>
      <c r="K51" s="24">
        <f>IF(I51="","",MAX(IFERROR(DATEVALUE(TRIM(MID(SUBSTITUTE(I51,";",REPT(" ",50)),1,50))),0),IFERROR(DATEVALUE(TRIM(MID(SUBSTITUTE(I51,";",REPT(" ",50)),51,50))),0),IFERROR(DATEVALUE(TRIM(MID(SUBSTITUTE(I51,";",REPT(" ",50)),101,50))),0),IFERROR(DATEVALUE(TRIM(MID(SUBSTITUTE(I51,";",REPT(" ",50)),151,50))),0),IFERROR(DATEVALUE(TRIM(MID(SUBSTITUTE(I51,";",REPT(" ",50)),201,50))),0),IFERROR(DATEVALUE(TRIM(MID(SUBSTITUTE(I51,";",REPT(" ",50)),251,50))),0),IFERROR(DATEVALUE(TRIM(MID(SUBSTITUTE(I51,";",REPT(" ",50)),301,50))),0),IFERROR(DATEVALUE(TRIM(MID(SUBSTITUTE(I51,";",REPT(" ",50)),351,50))),0),IFERROR(DATEVALUE(TRIM(MID(SUBSTITUTE(I51,";",REPT(" ",50)),401,50))),0),IFERROR(DATEVALUE(TRIM(MID(SUBSTITUTE(I51,";",REPT(" ",50)),451,50))),0)))</f>
        <v>46001</v>
      </c>
      <c r="L51">
        <f ca="1">IF(K51="","",TODAY()-K51)</f>
        <v>3</v>
      </c>
      <c r="M51" t="s">
        <v>303</v>
      </c>
      <c r="N51">
        <f ca="1">IF(M51="","",IF(L51="",INDEX($F$63:$F$66,MATCH(M51,$C$63:$C$66,0)),IF(L51&lt;=INDEX($D$63:$D$66,MATCH(M51,$C$63:$C$66,0)),0,IF(L51&lt;=INDEX($E$63:$E$66,MATCH(M51,$C$63:$C$66,0)),INDEX($F$63:$F$66,MATCH(M51,$C$63:$C$66,0)),INDEX($G$63:$G$66,MATCH(M51,$C$63:$C$66,0))))))</f>
        <v>0</v>
      </c>
      <c r="O51">
        <f ca="1">G51+N51</f>
        <v>0</v>
      </c>
      <c r="P51" t="s">
        <v>168</v>
      </c>
      <c r="Q51" t="s">
        <v>817</v>
      </c>
      <c r="R51" t="s">
        <v>967</v>
      </c>
    </row>
    <row r="52" spans="1:18" x14ac:dyDescent="0.2">
      <c r="A52" s="3"/>
      <c r="B52" s="44"/>
      <c r="C52" s="45"/>
      <c r="D52" s="45"/>
      <c r="E52" s="45"/>
      <c r="F52" s="45"/>
      <c r="G52" s="45"/>
      <c r="H52" s="45"/>
      <c r="I52" s="45"/>
      <c r="J52" s="45"/>
      <c r="K52" s="46"/>
      <c r="L52" s="45"/>
      <c r="M52" s="45"/>
      <c r="N52" s="45"/>
      <c r="O52" s="45"/>
      <c r="P52" s="45"/>
      <c r="Q52" s="45"/>
      <c r="R52" s="45"/>
    </row>
    <row r="53" spans="1:18" x14ac:dyDescent="0.2">
      <c r="A53" t="s">
        <v>467</v>
      </c>
      <c r="B53" t="s">
        <v>968</v>
      </c>
      <c r="C53" t="s">
        <v>259</v>
      </c>
      <c r="D53" t="s">
        <v>163</v>
      </c>
      <c r="E53">
        <f>IF(C53="No",0,IF(C53="Rumoured / uncertain",10,IF(C53="Yes – explicitly AML/CTF-related",20,IF(C53="Unknown",10,""))))</f>
        <v>0</v>
      </c>
      <c r="F53">
        <f>IF(D53="High",0,IF(D53="Medium",0.05,IF(D53="Low",0.1,IF(D53="Unknown",0.15,""))))</f>
        <v>0</v>
      </c>
      <c r="G53">
        <f>E53*(1+F53)</f>
        <v>0</v>
      </c>
      <c r="H53" t="s">
        <v>969</v>
      </c>
      <c r="I53" t="s">
        <v>970</v>
      </c>
      <c r="J53" t="s">
        <v>176</v>
      </c>
      <c r="K53" s="24">
        <f>IF(I53="","",MAX(IFERROR(DATEVALUE(TRIM(MID(SUBSTITUTE(I53,";",REPT(" ",50)),1,50))),0),IFERROR(DATEVALUE(TRIM(MID(SUBSTITUTE(I53,";",REPT(" ",50)),51,50))),0),IFERROR(DATEVALUE(TRIM(MID(SUBSTITUTE(I53,";",REPT(" ",50)),101,50))),0),IFERROR(DATEVALUE(TRIM(MID(SUBSTITUTE(I53,";",REPT(" ",50)),151,50))),0),IFERROR(DATEVALUE(TRIM(MID(SUBSTITUTE(I53,";",REPT(" ",50)),201,50))),0),IFERROR(DATEVALUE(TRIM(MID(SUBSTITUTE(I53,";",REPT(" ",50)),251,50))),0),IFERROR(DATEVALUE(TRIM(MID(SUBSTITUTE(I53,";",REPT(" ",50)),301,50))),0),IFERROR(DATEVALUE(TRIM(MID(SUBSTITUTE(I53,";",REPT(" ",50)),351,50))),0),IFERROR(DATEVALUE(TRIM(MID(SUBSTITUTE(I53,";",REPT(" ",50)),401,50))),0),IFERROR(DATEVALUE(TRIM(MID(SUBSTITUTE(I53,";",REPT(" ",50)),451,50))),0)))</f>
        <v>45999</v>
      </c>
      <c r="L53">
        <f ca="1">IF(K53="","",TODAY()-K53)</f>
        <v>5</v>
      </c>
      <c r="M53" t="s">
        <v>273</v>
      </c>
      <c r="N53">
        <f ca="1">IF(M53="","",IF(L53="",INDEX($F$63:$F$66,MATCH(M53,$C$63:$C$66,0)),IF(L53&lt;=INDEX($D$63:$D$66,MATCH(M53,$C$63:$C$66,0)),0,IF(L53&lt;=INDEX($E$63:$E$66,MATCH(M53,$C$63:$C$66,0)),INDEX($F$63:$F$66,MATCH(M53,$C$63:$C$66,0)),INDEX($G$63:$G$66,MATCH(M53,$C$63:$C$66,0))))))</f>
        <v>0</v>
      </c>
      <c r="O53">
        <f ca="1">G53+N53</f>
        <v>0</v>
      </c>
      <c r="P53" t="str">
        <f>IF(C53="Yes – explicitly AML/CTF-related","Review Required","No Review")</f>
        <v>No Review</v>
      </c>
      <c r="Q53" t="s">
        <v>971</v>
      </c>
      <c r="R53" t="s">
        <v>972</v>
      </c>
    </row>
    <row r="54" spans="1:18" x14ac:dyDescent="0.2">
      <c r="A54" t="s">
        <v>473</v>
      </c>
      <c r="B54" t="s">
        <v>973</v>
      </c>
      <c r="C54" t="s">
        <v>974</v>
      </c>
      <c r="D54" t="s">
        <v>163</v>
      </c>
      <c r="E54">
        <f>IF(C54="Limited presence",0,IF(C54="Some presence",10,IF(C54="Heavy / structural presence",20,IF(C54="Unknown",10,""))))</f>
        <v>10</v>
      </c>
      <c r="F54">
        <f>IF(D54="High",0,IF(D54="Medium",0.05,IF(D54="Low",0.1,IF(D54="Unknown",0.15,""))))</f>
        <v>0</v>
      </c>
      <c r="G54">
        <f>E54*(1+F54)</f>
        <v>10</v>
      </c>
      <c r="H54" t="s">
        <v>975</v>
      </c>
      <c r="I54" t="s">
        <v>976</v>
      </c>
      <c r="J54" t="s">
        <v>166</v>
      </c>
      <c r="K54" s="24">
        <f>IF(I54="","",MAX(IFERROR(DATEVALUE(TRIM(MID(SUBSTITUTE(I54,";",REPT(" ",50)),1,50))),0),IFERROR(DATEVALUE(TRIM(MID(SUBSTITUTE(I54,";",REPT(" ",50)),51,50))),0),IFERROR(DATEVALUE(TRIM(MID(SUBSTITUTE(I54,";",REPT(" ",50)),101,50))),0),IFERROR(DATEVALUE(TRIM(MID(SUBSTITUTE(I54,";",REPT(" ",50)),151,50))),0),IFERROR(DATEVALUE(TRIM(MID(SUBSTITUTE(I54,";",REPT(" ",50)),201,50))),0),IFERROR(DATEVALUE(TRIM(MID(SUBSTITUTE(I54,";",REPT(" ",50)),251,50))),0),IFERROR(DATEVALUE(TRIM(MID(SUBSTITUTE(I54,";",REPT(" ",50)),301,50))),0),IFERROR(DATEVALUE(TRIM(MID(SUBSTITUTE(I54,";",REPT(" ",50)),351,50))),0),IFERROR(DATEVALUE(TRIM(MID(SUBSTITUTE(I54,";",REPT(" ",50)),401,50))),0),IFERROR(DATEVALUE(TRIM(MID(SUBSTITUTE(I54,";",REPT(" ",50)),451,50))),0)))</f>
        <v>46001</v>
      </c>
      <c r="L54">
        <f ca="1">IF(K54="","",TODAY()-K54)</f>
        <v>3</v>
      </c>
      <c r="M54" t="s">
        <v>184</v>
      </c>
      <c r="N54">
        <f ca="1">IF(M54="","",IF(L54="",INDEX($F$63:$F$66,MATCH(M54,$C$63:$C$66,0)),IF(L54&lt;=INDEX($D$63:$D$66,MATCH(M54,$C$63:$C$66,0)),0,IF(L54&lt;=INDEX($E$63:$E$66,MATCH(M54,$C$63:$C$66,0)),INDEX($F$63:$F$66,MATCH(M54,$C$63:$C$66,0)),INDEX($G$63:$G$66,MATCH(M54,$C$63:$C$66,0))))))</f>
        <v>0</v>
      </c>
      <c r="O54">
        <f ca="1">G54+N54</f>
        <v>10</v>
      </c>
      <c r="P54" t="s">
        <v>168</v>
      </c>
      <c r="Q54" t="s">
        <v>977</v>
      </c>
      <c r="R54" t="s">
        <v>978</v>
      </c>
    </row>
    <row r="55" spans="1:18" x14ac:dyDescent="0.2">
      <c r="A55" t="s">
        <v>479</v>
      </c>
      <c r="B55" t="s">
        <v>979</v>
      </c>
      <c r="C55" t="s">
        <v>980</v>
      </c>
      <c r="D55" t="s">
        <v>163</v>
      </c>
      <c r="E55">
        <f>IF(C55="Strong / regulated",0,IF(C55="Mixed",10,IF(C55="Weak",20,IF(C55="Unknown",10,""))))</f>
        <v>0</v>
      </c>
      <c r="F55">
        <f>IF(D55="High",0,IF(D55="Medium",0.05,IF(D55="Low",0.1,IF(D55="Unknown",0.15,""))))</f>
        <v>0</v>
      </c>
      <c r="G55">
        <f>E55*(1+F55)</f>
        <v>0</v>
      </c>
      <c r="H55" t="s">
        <v>981</v>
      </c>
      <c r="I55" t="s">
        <v>982</v>
      </c>
      <c r="J55" t="s">
        <v>176</v>
      </c>
      <c r="K55" s="24">
        <f>IF(I55="","",MAX(IFERROR(DATEVALUE(TRIM(MID(SUBSTITUTE(I55,";",REPT(" ",50)),1,50))),0),IFERROR(DATEVALUE(TRIM(MID(SUBSTITUTE(I55,";",REPT(" ",50)),51,50))),0),IFERROR(DATEVALUE(TRIM(MID(SUBSTITUTE(I55,";",REPT(" ",50)),101,50))),0),IFERROR(DATEVALUE(TRIM(MID(SUBSTITUTE(I55,";",REPT(" ",50)),151,50))),0),IFERROR(DATEVALUE(TRIM(MID(SUBSTITUTE(I55,";",REPT(" ",50)),201,50))),0),IFERROR(DATEVALUE(TRIM(MID(SUBSTITUTE(I55,";",REPT(" ",50)),251,50))),0),IFERROR(DATEVALUE(TRIM(MID(SUBSTITUTE(I55,";",REPT(" ",50)),301,50))),0),IFERROR(DATEVALUE(TRIM(MID(SUBSTITUTE(I55,";",REPT(" ",50)),351,50))),0),IFERROR(DATEVALUE(TRIM(MID(SUBSTITUTE(I55,";",REPT(" ",50)),401,50))),0),IFERROR(DATEVALUE(TRIM(MID(SUBSTITUTE(I55,";",REPT(" ",50)),451,50))),0)))</f>
        <v>45992</v>
      </c>
      <c r="L55">
        <f ca="1">IF(K55="","",TODAY()-K55)</f>
        <v>12</v>
      </c>
      <c r="M55" t="s">
        <v>184</v>
      </c>
      <c r="N55">
        <f ca="1">IF(M55="","",IF(L55="",INDEX($F$63:$F$66,MATCH(M55,$C$63:$C$66,0)),IF(L55&lt;=INDEX($D$63:$D$66,MATCH(M55,$C$63:$C$66,0)),0,IF(L55&lt;=INDEX($E$63:$E$66,MATCH(M55,$C$63:$C$66,0)),INDEX($F$63:$F$66,MATCH(M55,$C$63:$C$66,0)),INDEX($G$63:$G$66,MATCH(M55,$C$63:$C$66,0))))))</f>
        <v>0</v>
      </c>
      <c r="O55">
        <f ca="1">G55+N55</f>
        <v>0</v>
      </c>
      <c r="P55" t="s">
        <v>168</v>
      </c>
      <c r="Q55" t="s">
        <v>983</v>
      </c>
      <c r="R55" t="s">
        <v>984</v>
      </c>
    </row>
    <row r="56" spans="1:18" x14ac:dyDescent="0.2">
      <c r="A56" t="s">
        <v>497</v>
      </c>
      <c r="B56" t="s">
        <v>985</v>
      </c>
      <c r="C56" t="s">
        <v>986</v>
      </c>
      <c r="D56" t="s">
        <v>163</v>
      </c>
      <c r="E56">
        <v>0</v>
      </c>
      <c r="F56">
        <f>IF(D56="High",0,IF(D56="Medium",0.05,IF(D56="Low",0.1,IF(D56="Unknown",0.15,""))))</f>
        <v>0</v>
      </c>
      <c r="G56">
        <f>E56*(1+F56)</f>
        <v>0</v>
      </c>
      <c r="H56" t="s">
        <v>987</v>
      </c>
      <c r="I56" t="s">
        <v>988</v>
      </c>
      <c r="J56" t="s">
        <v>176</v>
      </c>
      <c r="K56" s="24">
        <f>IF(I56="","",MAX(IFERROR(DATEVALUE(TRIM(MID(SUBSTITUTE(I56,";",REPT(" ",50)),1,50))),0),IFERROR(DATEVALUE(TRIM(MID(SUBSTITUTE(I56,";",REPT(" ",50)),51,50))),0),IFERROR(DATEVALUE(TRIM(MID(SUBSTITUTE(I56,";",REPT(" ",50)),101,50))),0),IFERROR(DATEVALUE(TRIM(MID(SUBSTITUTE(I56,";",REPT(" ",50)),151,50))),0),IFERROR(DATEVALUE(TRIM(MID(SUBSTITUTE(I56,";",REPT(" ",50)),201,50))),0),IFERROR(DATEVALUE(TRIM(MID(SUBSTITUTE(I56,";",REPT(" ",50)),251,50))),0),IFERROR(DATEVALUE(TRIM(MID(SUBSTITUTE(I56,";",REPT(" ",50)),301,50))),0),IFERROR(DATEVALUE(TRIM(MID(SUBSTITUTE(I56,";",REPT(" ",50)),351,50))),0),IFERROR(DATEVALUE(TRIM(MID(SUBSTITUTE(I56,";",REPT(" ",50)),401,50))),0),IFERROR(DATEVALUE(TRIM(MID(SUBSTITUTE(I56,";",REPT(" ",50)),451,50))),0)))</f>
        <v>45999</v>
      </c>
      <c r="L56">
        <f ca="1">IF(K56="","",TODAY()-K56)</f>
        <v>5</v>
      </c>
      <c r="M56" t="s">
        <v>184</v>
      </c>
      <c r="N56">
        <f ca="1">IF(M56="","",IF(L56="",INDEX($F$63:$F$66,MATCH(M56,$C$63:$C$66,0)),IF(L56&lt;=INDEX($D$63:$D$66,MATCH(M56,$C$63:$C$66,0)),0,IF(L56&lt;=INDEX($E$63:$E$66,MATCH(M56,$C$63:$C$66,0)),INDEX($F$63:$F$66,MATCH(M56,$C$63:$C$66,0)),INDEX($G$63:$G$66,MATCH(M56,$C$63:$C$66,0))))))</f>
        <v>0</v>
      </c>
      <c r="O56">
        <f ca="1">G56+N56</f>
        <v>0</v>
      </c>
      <c r="P56" t="s">
        <v>168</v>
      </c>
      <c r="Q56" t="s">
        <v>817</v>
      </c>
      <c r="R56" t="s">
        <v>989</v>
      </c>
    </row>
    <row r="61" spans="1:18" x14ac:dyDescent="0.2">
      <c r="C61" s="55" t="s">
        <v>552</v>
      </c>
      <c r="D61" s="41"/>
      <c r="E61" s="41"/>
      <c r="F61" s="41"/>
      <c r="G61" s="42"/>
    </row>
    <row r="62" spans="1:18" x14ac:dyDescent="0.2">
      <c r="C62" s="30" t="s">
        <v>152</v>
      </c>
      <c r="D62" s="30" t="s">
        <v>553</v>
      </c>
      <c r="E62" s="30" t="s">
        <v>554</v>
      </c>
      <c r="F62" s="30" t="s">
        <v>555</v>
      </c>
      <c r="G62" s="28" t="s">
        <v>556</v>
      </c>
    </row>
    <row r="63" spans="1:18" x14ac:dyDescent="0.2">
      <c r="C63" s="7" t="s">
        <v>273</v>
      </c>
      <c r="D63" s="27">
        <v>90</v>
      </c>
      <c r="E63" s="27">
        <v>180</v>
      </c>
      <c r="F63" s="27">
        <v>5</v>
      </c>
      <c r="G63" s="29">
        <v>10</v>
      </c>
    </row>
    <row r="64" spans="1:18" x14ac:dyDescent="0.2">
      <c r="C64" s="8" t="s">
        <v>184</v>
      </c>
      <c r="D64">
        <v>180</v>
      </c>
      <c r="E64">
        <v>365</v>
      </c>
      <c r="F64">
        <v>3</v>
      </c>
      <c r="G64" s="14">
        <v>6</v>
      </c>
    </row>
    <row r="65" spans="3:7" x14ac:dyDescent="0.2">
      <c r="C65" s="8" t="s">
        <v>303</v>
      </c>
      <c r="D65">
        <v>365</v>
      </c>
      <c r="E65">
        <v>730</v>
      </c>
      <c r="F65">
        <v>2</v>
      </c>
      <c r="G65" s="14">
        <v>4</v>
      </c>
    </row>
    <row r="66" spans="3:7" x14ac:dyDescent="0.2">
      <c r="C66" s="9" t="s">
        <v>167</v>
      </c>
      <c r="D66" s="16">
        <v>9999</v>
      </c>
      <c r="E66" s="16">
        <v>9999</v>
      </c>
      <c r="F66" s="16">
        <v>0</v>
      </c>
      <c r="G66" s="17">
        <v>0</v>
      </c>
    </row>
    <row r="70" spans="3:7" ht="16" customHeight="1" thickBot="1" x14ac:dyDescent="0.25"/>
    <row r="71" spans="3:7" ht="16" customHeight="1" thickBot="1" x14ac:dyDescent="0.25">
      <c r="C71" s="52" t="s">
        <v>557</v>
      </c>
      <c r="D71" s="53"/>
      <c r="E71" s="54"/>
    </row>
    <row r="72" spans="3:7" x14ac:dyDescent="0.2">
      <c r="C72" s="47" t="s">
        <v>558</v>
      </c>
      <c r="D72" s="48"/>
      <c r="E72" s="8">
        <f ca="1">IF(COUNTIFS($A$4:$A$56,"A*",$C$4:$C$56,"&lt;&gt;")=0,"",AVERAGEIFS($O$4:$O$56,$A$4:$A$56,"A*",$C$4:$C$56,"&lt;&gt;"))</f>
        <v>2.875</v>
      </c>
    </row>
    <row r="73" spans="3:7" x14ac:dyDescent="0.2">
      <c r="C73" s="47" t="s">
        <v>559</v>
      </c>
      <c r="D73" s="48"/>
      <c r="E73" s="8">
        <f ca="1">IF(COUNTIFS($A$4:$A$56,"B*",$C$4:$C$56,"&lt;&gt;")=0,"",AVERAGEIFS($O$4:$O$56,$A$4:$A$56,"B*",$C$4:$C$56,"&lt;&gt;"))</f>
        <v>5.25</v>
      </c>
    </row>
    <row r="74" spans="3:7" x14ac:dyDescent="0.2">
      <c r="C74" s="47" t="s">
        <v>560</v>
      </c>
      <c r="D74" s="48"/>
      <c r="E74" s="8">
        <f ca="1">IF(COUNTIFS($A$4:$A$56,"C*",$C$4:$C$56,"&lt;&gt;")=0,"",AVERAGEIFS($O$4:$O$56,$A$4:$A$56,"C*",$C$4:$C$56,"&lt;&gt;"))</f>
        <v>7.875</v>
      </c>
    </row>
    <row r="75" spans="3:7" x14ac:dyDescent="0.2">
      <c r="C75" s="47" t="s">
        <v>561</v>
      </c>
      <c r="D75" s="48"/>
      <c r="E75" s="8">
        <f ca="1">IF(COUNTIFS($A$4:$A$56,"D*",$C$4:$C$56,"&lt;&gt;")=0,"",AVERAGEIFS($O$4:$O$56,$A$4:$A$56,"D*",$C$4:$C$56,"&lt;&gt;"))</f>
        <v>9.875</v>
      </c>
    </row>
    <row r="76" spans="3:7" x14ac:dyDescent="0.2">
      <c r="C76" s="47" t="s">
        <v>562</v>
      </c>
      <c r="D76" s="48"/>
      <c r="E76" s="8">
        <f ca="1">IF(COUNTIFS($A$4:$A$56,"E*",$C$4:$C$56,"&lt;&gt;")=0,"",AVERAGEIFS($O$4:$O$56,$A$4:$A$56,"E*",$C$4:$C$56,"&lt;&gt;"))</f>
        <v>2</v>
      </c>
    </row>
    <row r="77" spans="3:7" x14ac:dyDescent="0.2">
      <c r="C77" s="47" t="s">
        <v>563</v>
      </c>
      <c r="D77" s="48"/>
      <c r="E77" s="8">
        <f ca="1">IF(COUNTIF($C$4:$C$56,"&lt;&gt;")=0,"",AVERAGEIFS($O$4:$O$56,$C$4:$C$56,"&lt;&gt;"))</f>
        <v>5.5750000000000002</v>
      </c>
    </row>
    <row r="78" spans="3:7" x14ac:dyDescent="0.2">
      <c r="C78" s="47" t="s">
        <v>564</v>
      </c>
      <c r="D78" s="48"/>
      <c r="E78" s="8" t="str">
        <f ca="1">IF(E77="","",IF(E77&lt;3,"Very Low",IF(E77&lt;6,"Low",IF(E77&lt;9,"Medium",IF(E77&lt;12,"Medium-High","High")))))</f>
        <v>Low</v>
      </c>
    </row>
    <row r="79" spans="3:7" x14ac:dyDescent="0.2">
      <c r="C79" s="49" t="s">
        <v>565</v>
      </c>
      <c r="D79" s="50"/>
      <c r="E79" s="9" t="str">
        <f ca="1">IF(COUNT($E$72:$E$76)=0,"",IF($E$72=MIN($E$72:$E$76),"A",IF($E$73=MIN($E$72:$E$76),"B",IF($E$74=MIN($E$72:$E$76),"C",IF($E$75=MIN($E$72:$E$76),"D","E")))))</f>
        <v>E</v>
      </c>
    </row>
  </sheetData>
  <mergeCells count="20">
    <mergeCell ref="C79:D79"/>
    <mergeCell ref="C73:D73"/>
    <mergeCell ref="C71:E71"/>
    <mergeCell ref="B52:R52"/>
    <mergeCell ref="C75:D75"/>
    <mergeCell ref="C76:D76"/>
    <mergeCell ref="C61:G61"/>
    <mergeCell ref="C72:D72"/>
    <mergeCell ref="C78:D78"/>
    <mergeCell ref="C77:D77"/>
    <mergeCell ref="B47:R47"/>
    <mergeCell ref="B25:R25"/>
    <mergeCell ref="C74:D74"/>
    <mergeCell ref="B3:R3"/>
    <mergeCell ref="B8:R8"/>
    <mergeCell ref="B14:R14"/>
    <mergeCell ref="B19:R19"/>
    <mergeCell ref="B30:R30"/>
    <mergeCell ref="B41:R41"/>
    <mergeCell ref="B36:R36"/>
  </mergeCells>
  <conditionalFormatting sqref="O4:O56">
    <cfRule type="colorScale" priority="11">
      <colorScale>
        <cfvo type="num" val="0"/>
        <cfvo type="percentile" val="50"/>
        <cfvo type="num" val="25"/>
        <color rgb="FF73FB79"/>
        <color rgb="FFFFFD78"/>
        <color rgb="FFFF2600"/>
      </colorScale>
    </cfRule>
  </conditionalFormatting>
  <conditionalFormatting sqref="P4:P56">
    <cfRule type="cellIs" dxfId="19" priority="12" operator="equal">
      <formula>"No Review"</formula>
    </cfRule>
    <cfRule type="cellIs" dxfId="18" priority="13" operator="equal">
      <formula>"Review Required"</formula>
    </cfRule>
  </conditionalFormatting>
  <dataValidations count="1">
    <dataValidation type="list" showInputMessage="1" showErrorMessage="1" sqref="M3:M66" xr:uid="{00000000-0002-0000-0300-000000000000}">
      <formula1>"Critical–Fast,Operational–Medium,Background–Slow,Evergreen–No Penalty"</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126"/>
  <sheetViews>
    <sheetView topLeftCell="J1" workbookViewId="0">
      <selection activeCell="S13" sqref="S13"/>
    </sheetView>
  </sheetViews>
  <sheetFormatPr baseColWidth="10" defaultColWidth="8.83203125" defaultRowHeight="15" x14ac:dyDescent="0.2"/>
  <cols>
    <col min="1" max="1" width="13.5" customWidth="1"/>
    <col min="2" max="2" width="180.33203125" customWidth="1"/>
    <col min="3" max="6" width="16.5" customWidth="1"/>
    <col min="7" max="7" width="23" customWidth="1"/>
    <col min="8" max="10" width="16.5" customWidth="1"/>
    <col min="11" max="11" width="22.33203125" style="24" customWidth="1"/>
    <col min="12" max="15" width="16.5" customWidth="1"/>
    <col min="16" max="16" width="18.6640625" customWidth="1"/>
    <col min="17" max="17" width="85.6640625" customWidth="1"/>
    <col min="18" max="18" width="66.33203125" customWidth="1"/>
    <col min="20" max="23" width="16.83203125" customWidth="1"/>
  </cols>
  <sheetData>
    <row r="1" spans="1:19" x14ac:dyDescent="0.2">
      <c r="A1" s="1" t="s">
        <v>140</v>
      </c>
      <c r="B1" s="1" t="s">
        <v>141</v>
      </c>
      <c r="C1" s="1" t="s">
        <v>142</v>
      </c>
      <c r="D1" s="1" t="s">
        <v>143</v>
      </c>
      <c r="E1" s="1" t="s">
        <v>144</v>
      </c>
      <c r="F1" s="1" t="s">
        <v>145</v>
      </c>
      <c r="G1" s="1" t="s">
        <v>146</v>
      </c>
      <c r="H1" s="1" t="s">
        <v>147</v>
      </c>
      <c r="I1" s="1" t="s">
        <v>148</v>
      </c>
      <c r="J1" s="1" t="s">
        <v>149</v>
      </c>
      <c r="K1" s="22" t="s">
        <v>150</v>
      </c>
      <c r="L1" s="1" t="s">
        <v>151</v>
      </c>
      <c r="M1" s="1" t="s">
        <v>152</v>
      </c>
      <c r="N1" s="1" t="s">
        <v>153</v>
      </c>
      <c r="O1" s="1" t="s">
        <v>154</v>
      </c>
      <c r="P1" s="1" t="s">
        <v>155</v>
      </c>
      <c r="Q1" s="1" t="s">
        <v>156</v>
      </c>
      <c r="R1" s="1" t="s">
        <v>157</v>
      </c>
      <c r="S1" t="s">
        <v>158</v>
      </c>
    </row>
    <row r="2" spans="1:19" x14ac:dyDescent="0.2">
      <c r="A2" s="4"/>
      <c r="B2" s="5" t="s">
        <v>990</v>
      </c>
      <c r="C2" s="4"/>
      <c r="D2" s="4"/>
      <c r="E2" s="4"/>
      <c r="F2" s="4"/>
      <c r="G2" s="4"/>
      <c r="H2" s="4"/>
      <c r="I2" s="4"/>
      <c r="J2" s="4"/>
      <c r="K2" s="23"/>
      <c r="L2" s="4"/>
      <c r="M2" s="4"/>
      <c r="N2" s="4"/>
      <c r="O2" s="4"/>
      <c r="P2" s="4"/>
      <c r="Q2" s="4"/>
      <c r="R2" s="4"/>
    </row>
    <row r="3" spans="1:19" x14ac:dyDescent="0.2">
      <c r="A3" s="3"/>
      <c r="B3" s="44"/>
      <c r="C3" s="45"/>
      <c r="D3" s="45"/>
      <c r="E3" s="45"/>
      <c r="F3" s="45"/>
      <c r="G3" s="45"/>
      <c r="H3" s="45"/>
      <c r="I3" s="45"/>
      <c r="J3" s="45"/>
      <c r="K3" s="46"/>
      <c r="L3" s="45"/>
      <c r="M3" s="45"/>
      <c r="N3" s="45"/>
      <c r="O3" s="45"/>
      <c r="P3" s="45"/>
      <c r="Q3" s="45"/>
      <c r="R3" s="45"/>
    </row>
    <row r="4" spans="1:19" x14ac:dyDescent="0.2">
      <c r="A4" t="s">
        <v>160</v>
      </c>
      <c r="B4" t="s">
        <v>991</v>
      </c>
      <c r="C4" t="s">
        <v>992</v>
      </c>
      <c r="D4" t="s">
        <v>163</v>
      </c>
      <c r="E4">
        <f>IF(C4="Multiple audits",0,IF(C4="Single audit",10,IF(C4="No audit",20,IF(C4="Unknown",10,""))))</f>
        <v>0</v>
      </c>
      <c r="F4">
        <f t="shared" ref="F4:F9" si="0">IF(D4="High",0,IF(D4="Medium",0.05,IF(D4="Low",0.1,IF(D4="Unknown",0.15,""))))</f>
        <v>0</v>
      </c>
      <c r="G4">
        <f t="shared" ref="G4:G9" si="1">E4*(1+F4)</f>
        <v>0</v>
      </c>
      <c r="H4" t="s">
        <v>993</v>
      </c>
      <c r="I4" t="s">
        <v>994</v>
      </c>
      <c r="J4" t="s">
        <v>166</v>
      </c>
      <c r="K4" s="24">
        <f t="shared" ref="K4:K9" si="2">IF(I4="","",MAX(IFERROR(DATEVALUE(TRIM(MID(SUBSTITUTE(I4,";",REPT(" ",50)),1,50))),0),IFERROR(DATEVALUE(TRIM(MID(SUBSTITUTE(I4,";",REPT(" ",50)),51,50))),0),IFERROR(DATEVALUE(TRIM(MID(SUBSTITUTE(I4,";",REPT(" ",50)),101,50))),0),IFERROR(DATEVALUE(TRIM(MID(SUBSTITUTE(I4,";",REPT(" ",50)),151,50))),0),IFERROR(DATEVALUE(TRIM(MID(SUBSTITUTE(I4,";",REPT(" ",50)),201,50))),0),IFERROR(DATEVALUE(TRIM(MID(SUBSTITUTE(I4,";",REPT(" ",50)),251,50))),0),IFERROR(DATEVALUE(TRIM(MID(SUBSTITUTE(I4,";",REPT(" ",50)),301,50))),0),IFERROR(DATEVALUE(TRIM(MID(SUBSTITUTE(I4,";",REPT(" ",50)),351,50))),0),IFERROR(DATEVALUE(TRIM(MID(SUBSTITUTE(I4,";",REPT(" ",50)),401,50))),0),IFERROR(DATEVALUE(TRIM(MID(SUBSTITUTE(I4,";",REPT(" ",50)),451,50))),0)))</f>
        <v>45580</v>
      </c>
      <c r="L4">
        <f ca="1">IF(K4="","",TODAY()-K4)</f>
        <v>424</v>
      </c>
      <c r="M4" t="s">
        <v>303</v>
      </c>
      <c r="N4">
        <f t="shared" ref="N4:N9" ca="1" si="3">IF(M4="","",IF(L4="",INDEX($F$110:$F$113,MATCH(M4,$C$110:$C$113,0)),IF(L4&lt;=INDEX($D$110:$D$113,MATCH(M4,$C$110:$C$113,0)),0,IF(L4&lt;=INDEX($E$110:$E$113,MATCH(M4,$C$110:$C$113,0)),INDEX($F$110:$F$113,MATCH(M4,$C$110:$C$113,0)),INDEX($G$110:$G$113,MATCH(M4,$C$110:$C$113,0))))))</f>
        <v>2</v>
      </c>
      <c r="O4">
        <f>G4+N3</f>
        <v>0</v>
      </c>
      <c r="P4" t="str">
        <f>IF(AND(C4="No audit",OR(D4="High",D4="Medium")),"Review Required","No Review")</f>
        <v>No Review</v>
      </c>
      <c r="Q4" t="s">
        <v>995</v>
      </c>
      <c r="R4" t="s">
        <v>996</v>
      </c>
    </row>
    <row r="5" spans="1:19" x14ac:dyDescent="0.2">
      <c r="A5" t="s">
        <v>171</v>
      </c>
      <c r="B5" t="s">
        <v>997</v>
      </c>
      <c r="C5" t="s">
        <v>998</v>
      </c>
      <c r="D5" t="s">
        <v>163</v>
      </c>
      <c r="E5">
        <f>IF(C5="Tier-1",0,IF(C5="Tier-2",10,IF(C5="Low-tier or self-audited",20,IF(C5="Unknown",10,""))))</f>
        <v>0</v>
      </c>
      <c r="F5">
        <f t="shared" si="0"/>
        <v>0</v>
      </c>
      <c r="G5">
        <f t="shared" si="1"/>
        <v>0</v>
      </c>
      <c r="H5" t="s">
        <v>999</v>
      </c>
      <c r="I5" t="s">
        <v>1000</v>
      </c>
      <c r="J5" t="s">
        <v>176</v>
      </c>
      <c r="K5" s="24">
        <f t="shared" si="2"/>
        <v>45992</v>
      </c>
      <c r="L5">
        <f ca="1">IF(K5="","",TODAY()-K5)</f>
        <v>12</v>
      </c>
      <c r="M5" t="s">
        <v>167</v>
      </c>
      <c r="N5">
        <f t="shared" ca="1" si="3"/>
        <v>0</v>
      </c>
      <c r="O5">
        <f ca="1">G5+N4</f>
        <v>2</v>
      </c>
      <c r="P5" t="s">
        <v>168</v>
      </c>
      <c r="R5" t="s">
        <v>1001</v>
      </c>
    </row>
    <row r="6" spans="1:19" x14ac:dyDescent="0.2">
      <c r="A6" t="s">
        <v>179</v>
      </c>
      <c r="B6" t="s">
        <v>1002</v>
      </c>
      <c r="C6" t="s">
        <v>1003</v>
      </c>
      <c r="D6" t="s">
        <v>197</v>
      </c>
      <c r="E6">
        <f>IF(C6="&lt;12 months",0,IF(C6="12–24 months",10,IF(C6="&gt;24 months",20,IF(C6="Unknown",10,""))))</f>
        <v>10</v>
      </c>
      <c r="F6">
        <f t="shared" si="0"/>
        <v>0.05</v>
      </c>
      <c r="G6">
        <f t="shared" si="1"/>
        <v>10.5</v>
      </c>
      <c r="H6" t="s">
        <v>1004</v>
      </c>
      <c r="I6" t="s">
        <v>1005</v>
      </c>
      <c r="J6" t="s">
        <v>166</v>
      </c>
      <c r="K6" s="24">
        <f t="shared" si="2"/>
        <v>45448</v>
      </c>
      <c r="L6">
        <f ca="1">IF(K6="","",TODAY()-K6)</f>
        <v>556</v>
      </c>
      <c r="M6" t="s">
        <v>184</v>
      </c>
      <c r="N6">
        <f t="shared" ca="1" si="3"/>
        <v>6</v>
      </c>
      <c r="O6">
        <f ca="1">G6+N6</f>
        <v>16.5</v>
      </c>
      <c r="P6" t="s">
        <v>168</v>
      </c>
      <c r="R6" t="s">
        <v>1006</v>
      </c>
    </row>
    <row r="7" spans="1:19" x14ac:dyDescent="0.2">
      <c r="A7" t="s">
        <v>187</v>
      </c>
      <c r="B7" t="s">
        <v>1007</v>
      </c>
      <c r="C7" t="s">
        <v>1008</v>
      </c>
      <c r="D7" t="s">
        <v>197</v>
      </c>
      <c r="E7">
        <f>IF(C7="All upgrades re-audited",0,IF(C7="Some re-audited",10,IF(C7="No re-audit",20,IF(C7="Unknown",10,""))))</f>
        <v>10</v>
      </c>
      <c r="F7">
        <f t="shared" si="0"/>
        <v>0.05</v>
      </c>
      <c r="G7">
        <f t="shared" si="1"/>
        <v>10.5</v>
      </c>
      <c r="H7" t="s">
        <v>1009</v>
      </c>
      <c r="I7" t="s">
        <v>1010</v>
      </c>
      <c r="J7" t="s">
        <v>176</v>
      </c>
      <c r="K7" s="24">
        <f t="shared" si="2"/>
        <v>45377</v>
      </c>
      <c r="L7">
        <f ca="1">IF(K7="","",TODAY()-K7)</f>
        <v>627</v>
      </c>
      <c r="M7" t="s">
        <v>184</v>
      </c>
      <c r="N7">
        <f t="shared" ca="1" si="3"/>
        <v>6</v>
      </c>
      <c r="O7">
        <f ca="1">G7+N7</f>
        <v>16.5</v>
      </c>
      <c r="P7" t="str">
        <f>IF(AND(C7="No re-audit",OR(D7="High",D7="Medium")),"Review Required","No Review")</f>
        <v>No Review</v>
      </c>
      <c r="Q7" t="s">
        <v>1011</v>
      </c>
      <c r="R7" t="s">
        <v>1012</v>
      </c>
    </row>
    <row r="8" spans="1:19" x14ac:dyDescent="0.2">
      <c r="A8" t="s">
        <v>194</v>
      </c>
      <c r="B8" t="s">
        <v>1013</v>
      </c>
      <c r="C8" t="s">
        <v>319</v>
      </c>
      <c r="D8" t="s">
        <v>330</v>
      </c>
      <c r="E8">
        <f>IF(C8="No high-severity",0,IF(C8="High findings remediated",10,IF(C8="High findings unremediated",20,IF(C8="Unknown",10,""))))</f>
        <v>10</v>
      </c>
      <c r="F8">
        <f t="shared" si="0"/>
        <v>0.1</v>
      </c>
      <c r="G8">
        <f t="shared" si="1"/>
        <v>11</v>
      </c>
      <c r="H8" t="s">
        <v>1014</v>
      </c>
      <c r="I8" t="s">
        <v>816</v>
      </c>
      <c r="J8" t="s">
        <v>166</v>
      </c>
      <c r="K8" s="24">
        <f t="shared" si="2"/>
        <v>45566</v>
      </c>
      <c r="L8">
        <f ca="1">IF(K8="","",TODAY()-K8)</f>
        <v>438</v>
      </c>
      <c r="M8" t="s">
        <v>184</v>
      </c>
      <c r="N8">
        <f t="shared" ca="1" si="3"/>
        <v>6</v>
      </c>
      <c r="O8">
        <f ca="1">G8+N8</f>
        <v>17</v>
      </c>
      <c r="P8" t="str">
        <f>IF(AND(C8="High findings unremediated",OR(D8="High",D8="Medium")),"Review Required","No Review")</f>
        <v>No Review</v>
      </c>
      <c r="Q8" t="s">
        <v>1015</v>
      </c>
      <c r="R8" t="s">
        <v>1016</v>
      </c>
    </row>
    <row r="9" spans="1:19" x14ac:dyDescent="0.2">
      <c r="A9" t="s">
        <v>200</v>
      </c>
      <c r="B9" t="s">
        <v>1017</v>
      </c>
      <c r="C9" t="s">
        <v>1018</v>
      </c>
      <c r="D9" t="s">
        <v>163</v>
      </c>
      <c r="E9">
        <v>0</v>
      </c>
      <c r="F9">
        <f t="shared" si="0"/>
        <v>0</v>
      </c>
      <c r="G9">
        <f t="shared" si="1"/>
        <v>0</v>
      </c>
      <c r="H9" t="s">
        <v>1019</v>
      </c>
      <c r="I9" t="s">
        <v>1020</v>
      </c>
      <c r="J9" t="s">
        <v>166</v>
      </c>
      <c r="K9">
        <f t="shared" si="2"/>
        <v>45999</v>
      </c>
      <c r="M9" t="s">
        <v>303</v>
      </c>
      <c r="N9">
        <f t="shared" si="3"/>
        <v>2</v>
      </c>
      <c r="O9">
        <f>G9+N9</f>
        <v>2</v>
      </c>
      <c r="P9" t="s">
        <v>168</v>
      </c>
      <c r="Q9" t="s">
        <v>863</v>
      </c>
      <c r="R9" t="s">
        <v>1021</v>
      </c>
    </row>
    <row r="10" spans="1:19" x14ac:dyDescent="0.2">
      <c r="A10" s="3"/>
      <c r="B10" s="44"/>
      <c r="C10" s="45"/>
      <c r="D10" s="45"/>
      <c r="E10" s="45"/>
      <c r="F10" s="45"/>
      <c r="G10" s="45"/>
      <c r="H10" s="45"/>
      <c r="I10" s="45"/>
      <c r="J10" s="45"/>
      <c r="K10" s="46"/>
      <c r="L10" s="45"/>
      <c r="M10" s="45"/>
      <c r="N10" s="45"/>
      <c r="O10" s="45"/>
      <c r="P10" s="45"/>
      <c r="Q10" s="45"/>
      <c r="R10" s="45"/>
    </row>
    <row r="11" spans="1:19" x14ac:dyDescent="0.2">
      <c r="A11" t="s">
        <v>207</v>
      </c>
      <c r="B11" t="s">
        <v>1022</v>
      </c>
      <c r="C11" t="s">
        <v>1023</v>
      </c>
      <c r="D11" t="s">
        <v>163</v>
      </c>
      <c r="E11">
        <f>IF(C11="Mature (&gt;24 months)",0,IF(C11="Mid-stage (6–24 months)",10,IF(C11="Early (&lt;6 months)",20,IF(C11="Unknown",10,""))))</f>
        <v>0</v>
      </c>
      <c r="F11">
        <f>IF(D11="High",0,IF(D11="Medium",0.05,IF(D11="Low",0.1,IF(D11="Unknown",0.15,""))))</f>
        <v>0</v>
      </c>
      <c r="G11">
        <f>E11*(1+F11)</f>
        <v>0</v>
      </c>
      <c r="H11" t="s">
        <v>1024</v>
      </c>
      <c r="I11" t="s">
        <v>1025</v>
      </c>
      <c r="J11" t="s">
        <v>176</v>
      </c>
      <c r="K11" s="24">
        <f>IF(I11="","",MAX(IFERROR(DATEVALUE(TRIM(MID(SUBSTITUTE(I11,";",REPT(" ",50)),1,50))),0),IFERROR(DATEVALUE(TRIM(MID(SUBSTITUTE(I11,";",REPT(" ",50)),51,50))),0),IFERROR(DATEVALUE(TRIM(MID(SUBSTITUTE(I11,";",REPT(" ",50)),101,50))),0),IFERROR(DATEVALUE(TRIM(MID(SUBSTITUTE(I11,";",REPT(" ",50)),151,50))),0),IFERROR(DATEVALUE(TRIM(MID(SUBSTITUTE(I11,";",REPT(" ",50)),201,50))),0),IFERROR(DATEVALUE(TRIM(MID(SUBSTITUTE(I11,";",REPT(" ",50)),251,50))),0),IFERROR(DATEVALUE(TRIM(MID(SUBSTITUTE(I11,";",REPT(" ",50)),301,50))),0),IFERROR(DATEVALUE(TRIM(MID(SUBSTITUTE(I11,";",REPT(" ",50)),351,50))),0),IFERROR(DATEVALUE(TRIM(MID(SUBSTITUTE(I11,";",REPT(" ",50)),401,50))),0),IFERROR(DATEVALUE(TRIM(MID(SUBSTITUTE(I11,";",REPT(" ",50)),451,50))),0)))</f>
        <v>45597</v>
      </c>
      <c r="L11">
        <f ca="1">IF(K11="","",TODAY()-K11)</f>
        <v>407</v>
      </c>
      <c r="M11" t="s">
        <v>167</v>
      </c>
      <c r="N11">
        <f ca="1">IF(M11="","",IF(L11="",INDEX($F$110:$F$113,MATCH(M11,$C$110:$C$113,0)),IF(L11&lt;=INDEX($D$110:$D$113,MATCH(M11,$C$110:$C$113,0)),0,IF(L11&lt;=INDEX($E$110:$E$113,MATCH(M11,$C$110:$C$113,0)),INDEX($F$110:$F$113,MATCH(M11,$C$110:$C$113,0)),INDEX($G$110:$G$113,MATCH(M11,$C$110:$C$113,0))))))</f>
        <v>0</v>
      </c>
      <c r="O11">
        <f ca="1">G11+N11</f>
        <v>0</v>
      </c>
      <c r="P11" t="s">
        <v>168</v>
      </c>
      <c r="R11" t="s">
        <v>1026</v>
      </c>
    </row>
    <row r="12" spans="1:19" x14ac:dyDescent="0.2">
      <c r="A12" t="s">
        <v>213</v>
      </c>
      <c r="B12" t="s">
        <v>1027</v>
      </c>
      <c r="C12" t="s">
        <v>1028</v>
      </c>
      <c r="D12" t="s">
        <v>163</v>
      </c>
      <c r="E12">
        <f>IF(C12="Fully open-source",0,IF(C12="Partially open-source",10,IF(C12="Closed-source",20,IF(C12="Unknown",10,""))))</f>
        <v>0</v>
      </c>
      <c r="F12">
        <f>IF(D12="High",0,IF(D12="Medium",0.05,IF(D12="Low",0.1,IF(D12="Unknown",0.15,""))))</f>
        <v>0</v>
      </c>
      <c r="G12">
        <f>E12*(1+F12)</f>
        <v>0</v>
      </c>
      <c r="H12" t="s">
        <v>1029</v>
      </c>
      <c r="I12" t="s">
        <v>701</v>
      </c>
      <c r="J12" t="s">
        <v>166</v>
      </c>
      <c r="K12" s="24">
        <f>IF(I12="","",MAX(IFERROR(DATEVALUE(TRIM(MID(SUBSTITUTE(I12,";",REPT(" ",50)),1,50))),0),IFERROR(DATEVALUE(TRIM(MID(SUBSTITUTE(I12,";",REPT(" ",50)),51,50))),0),IFERROR(DATEVALUE(TRIM(MID(SUBSTITUTE(I12,";",REPT(" ",50)),101,50))),0),IFERROR(DATEVALUE(TRIM(MID(SUBSTITUTE(I12,";",REPT(" ",50)),151,50))),0),IFERROR(DATEVALUE(TRIM(MID(SUBSTITUTE(I12,";",REPT(" ",50)),201,50))),0),IFERROR(DATEVALUE(TRIM(MID(SUBSTITUTE(I12,";",REPT(" ",50)),251,50))),0),IFERROR(DATEVALUE(TRIM(MID(SUBSTITUTE(I12,";",REPT(" ",50)),301,50))),0),IFERROR(DATEVALUE(TRIM(MID(SUBSTITUTE(I12,";",REPT(" ",50)),351,50))),0),IFERROR(DATEVALUE(TRIM(MID(SUBSTITUTE(I12,";",REPT(" ",50)),401,50))),0),IFERROR(DATEVALUE(TRIM(MID(SUBSTITUTE(I12,";",REPT(" ",50)),451,50))),0)))</f>
        <v>45627</v>
      </c>
      <c r="L12">
        <f ca="1">IF(K12="","",TODAY()-K12)</f>
        <v>377</v>
      </c>
      <c r="M12" t="s">
        <v>167</v>
      </c>
      <c r="N12">
        <f ca="1">IF(M12="","",IF(L12="",INDEX($F$110:$F$113,MATCH(M12,$C$110:$C$113,0)),IF(L12&lt;=INDEX($D$110:$D$113,MATCH(M12,$C$110:$C$113,0)),0,IF(L12&lt;=INDEX($E$110:$E$113,MATCH(M12,$C$110:$C$113,0)),INDEX($F$110:$F$113,MATCH(M12,$C$110:$C$113,0)),INDEX($G$110:$G$113,MATCH(M12,$C$110:$C$113,0))))))</f>
        <v>0</v>
      </c>
      <c r="O12">
        <f ca="1">G12+N12</f>
        <v>0</v>
      </c>
      <c r="P12" t="str">
        <f>IF(AND(C12="Closed-source",OR(D12="High",D12="Medium")),"Review Required","No Review")</f>
        <v>No Review</v>
      </c>
      <c r="Q12" t="s">
        <v>1030</v>
      </c>
      <c r="R12" t="s">
        <v>1031</v>
      </c>
    </row>
    <row r="13" spans="1:19" x14ac:dyDescent="0.2">
      <c r="A13" t="s">
        <v>217</v>
      </c>
      <c r="B13" t="s">
        <v>1032</v>
      </c>
      <c r="C13" t="s">
        <v>1033</v>
      </c>
      <c r="D13" t="s">
        <v>163</v>
      </c>
      <c r="E13">
        <f>IF(C13="Comprehensive",0,IF(C13="Partial",10,IF(C13="Minimal/outdated",20,IF(C13="Unknown",10,""))))</f>
        <v>0</v>
      </c>
      <c r="F13">
        <f>IF(D13="High",0,IF(D13="Medium",0.05,IF(D13="Low",0.1,IF(D13="Unknown",0.15,""))))</f>
        <v>0</v>
      </c>
      <c r="G13">
        <f>E13*(1+F13)</f>
        <v>0</v>
      </c>
      <c r="H13" t="s">
        <v>1034</v>
      </c>
      <c r="I13" t="s">
        <v>1035</v>
      </c>
      <c r="J13" t="s">
        <v>176</v>
      </c>
      <c r="K13" s="24">
        <f>IF(I13="","",MAX(IFERROR(DATEVALUE(TRIM(MID(SUBSTITUTE(I13,";",REPT(" ",50)),1,50))),0),IFERROR(DATEVALUE(TRIM(MID(SUBSTITUTE(I13,";",REPT(" ",50)),51,50))),0),IFERROR(DATEVALUE(TRIM(MID(SUBSTITUTE(I13,";",REPT(" ",50)),101,50))),0),IFERROR(DATEVALUE(TRIM(MID(SUBSTITUTE(I13,";",REPT(" ",50)),151,50))),0),IFERROR(DATEVALUE(TRIM(MID(SUBSTITUTE(I13,";",REPT(" ",50)),201,50))),0),IFERROR(DATEVALUE(TRIM(MID(SUBSTITUTE(I13,";",REPT(" ",50)),251,50))),0),IFERROR(DATEVALUE(TRIM(MID(SUBSTITUTE(I13,";",REPT(" ",50)),301,50))),0),IFERROR(DATEVALUE(TRIM(MID(SUBSTITUTE(I13,";",REPT(" ",50)),351,50))),0),IFERROR(DATEVALUE(TRIM(MID(SUBSTITUTE(I13,";",REPT(" ",50)),401,50))),0),IFERROR(DATEVALUE(TRIM(MID(SUBSTITUTE(I13,";",REPT(" ",50)),451,50))),0)))</f>
        <v>45566</v>
      </c>
      <c r="L13">
        <f ca="1">IF(K13="","",TODAY()-K13)</f>
        <v>438</v>
      </c>
      <c r="M13" t="s">
        <v>167</v>
      </c>
      <c r="N13">
        <f ca="1">IF(M13="","",IF(L13="",INDEX($F$110:$F$113,MATCH(M13,$C$110:$C$113,0)),IF(L13&lt;=INDEX($D$110:$D$113,MATCH(M13,$C$110:$C$113,0)),0,IF(L13&lt;=INDEX($E$110:$E$113,MATCH(M13,$C$110:$C$113,0)),INDEX($F$110:$F$113,MATCH(M13,$C$110:$C$113,0)),INDEX($G$110:$G$113,MATCH(M13,$C$110:$C$113,0))))))</f>
        <v>0</v>
      </c>
      <c r="O13">
        <f ca="1">G13+N13</f>
        <v>0</v>
      </c>
      <c r="P13" t="s">
        <v>168</v>
      </c>
      <c r="R13" t="s">
        <v>1036</v>
      </c>
    </row>
    <row r="14" spans="1:19" x14ac:dyDescent="0.2">
      <c r="A14" t="s">
        <v>1037</v>
      </c>
      <c r="B14" t="s">
        <v>1038</v>
      </c>
      <c r="C14" t="s">
        <v>319</v>
      </c>
      <c r="D14" t="s">
        <v>197</v>
      </c>
      <c r="E14">
        <f>IF(C14="Yes – core components",0,IF(C14="Yes – limited components",10,IF(C14="No",20,IF(C14="Unknown",10,""))))</f>
        <v>10</v>
      </c>
      <c r="F14">
        <f>IF(D14="High",0,IF(D14="Medium",0.05,IF(D14="Low",0.1,IF(D14="Unknown",0.15,""))))</f>
        <v>0.05</v>
      </c>
      <c r="G14">
        <f>E14*(1+F14)</f>
        <v>10.5</v>
      </c>
      <c r="H14" t="s">
        <v>1039</v>
      </c>
      <c r="I14" t="s">
        <v>1040</v>
      </c>
      <c r="J14" t="s">
        <v>176</v>
      </c>
      <c r="K14" s="24">
        <f>IF(I14="","",MAX(IFERROR(DATEVALUE(TRIM(MID(SUBSTITUTE(I14,";",REPT(" ",50)),1,50))),0),IFERROR(DATEVALUE(TRIM(MID(SUBSTITUTE(I14,";",REPT(" ",50)),51,50))),0),IFERROR(DATEVALUE(TRIM(MID(SUBSTITUTE(I14,";",REPT(" ",50)),101,50))),0),IFERROR(DATEVALUE(TRIM(MID(SUBSTITUTE(I14,";",REPT(" ",50)),151,50))),0),IFERROR(DATEVALUE(TRIM(MID(SUBSTITUTE(I14,";",REPT(" ",50)),201,50))),0),IFERROR(DATEVALUE(TRIM(MID(SUBSTITUTE(I14,";",REPT(" ",50)),251,50))),0),IFERROR(DATEVALUE(TRIM(MID(SUBSTITUTE(I14,";",REPT(" ",50)),301,50))),0),IFERROR(DATEVALUE(TRIM(MID(SUBSTITUTE(I14,";",REPT(" ",50)),351,50))),0),IFERROR(DATEVALUE(TRIM(MID(SUBSTITUTE(I14,";",REPT(" ",50)),401,50))),0),IFERROR(DATEVALUE(TRIM(MID(SUBSTITUTE(I14,";",REPT(" ",50)),451,50))),0)))</f>
        <v>45684</v>
      </c>
      <c r="L14">
        <f ca="1">IF(K14="","",TODAY()-K14)</f>
        <v>320</v>
      </c>
      <c r="M14" t="s">
        <v>167</v>
      </c>
      <c r="N14">
        <f ca="1">IF(M14="","",IF(L14="",INDEX($F$110:$F$113,MATCH(M14,$C$110:$C$113,0)),IF(L14&lt;=INDEX($D$110:$D$113,MATCH(M14,$C$110:$C$113,0)),0,IF(L14&lt;=INDEX($E$110:$E$113,MATCH(M14,$C$110:$C$113,0)),INDEX($F$110:$F$113,MATCH(M14,$C$110:$C$113,0)),INDEX($G$110:$G$113,MATCH(M14,$C$110:$C$113,0))))))</f>
        <v>0</v>
      </c>
      <c r="O14">
        <f ca="1">G14+N14</f>
        <v>10.5</v>
      </c>
      <c r="P14" t="s">
        <v>168</v>
      </c>
      <c r="R14" t="s">
        <v>1041</v>
      </c>
    </row>
    <row r="15" spans="1:19" x14ac:dyDescent="0.2">
      <c r="A15" t="s">
        <v>222</v>
      </c>
      <c r="B15" t="s">
        <v>1042</v>
      </c>
      <c r="C15" t="s">
        <v>1043</v>
      </c>
      <c r="D15" t="s">
        <v>163</v>
      </c>
      <c r="E15">
        <v>0</v>
      </c>
      <c r="F15">
        <f>IF(D15="High",0,IF(D15="Medium",0.05,IF(D15="Low",0.1,IF(D15="Unknown",0.15,""))))</f>
        <v>0</v>
      </c>
      <c r="G15">
        <f>E15*(1+F15)</f>
        <v>0</v>
      </c>
      <c r="H15" t="s">
        <v>1044</v>
      </c>
      <c r="J15" t="s">
        <v>176</v>
      </c>
      <c r="K15" t="str">
        <f>IF(I15="","",MAX(IFERROR(DATEVALUE(TRIM(MID(SUBSTITUTE(I15,";",REPT(" ",50)),1,50))),0),IFERROR(DATEVALUE(TRIM(MID(SUBSTITUTE(I15,";",REPT(" ",50)),51,50))),0),IFERROR(DATEVALUE(TRIM(MID(SUBSTITUTE(I15,";",REPT(" ",50)),101,50))),0),IFERROR(DATEVALUE(TRIM(MID(SUBSTITUTE(I15,";",REPT(" ",50)),151,50))),0),IFERROR(DATEVALUE(TRIM(MID(SUBSTITUTE(I15,";",REPT(" ",50)),201,50))),0),IFERROR(DATEVALUE(TRIM(MID(SUBSTITUTE(I15,";",REPT(" ",50)),251,50))),0),IFERROR(DATEVALUE(TRIM(MID(SUBSTITUTE(I15,";",REPT(" ",50)),301,50))),0),IFERROR(DATEVALUE(TRIM(MID(SUBSTITUTE(I15,";",REPT(" ",50)),351,50))),0),IFERROR(DATEVALUE(TRIM(MID(SUBSTITUTE(I15,";",REPT(" ",50)),401,50))),0),IFERROR(DATEVALUE(TRIM(MID(SUBSTITUTE(I15,";",REPT(" ",50)),451,50))),0)))</f>
        <v/>
      </c>
      <c r="M15" t="s">
        <v>167</v>
      </c>
      <c r="N15">
        <f>IF(M15="","",IF(L15="",INDEX($F$110:$F$113,MATCH(M15,$C$110:$C$113,0)),IF(L15&lt;=INDEX($D$110:$D$113,MATCH(M15,$C$110:$C$113,0)),0,IF(L15&lt;=INDEX($E$110:$E$113,MATCH(M15,$C$110:$C$113,0)),INDEX($F$110:$F$113,MATCH(M15,$C$110:$C$113,0)),INDEX($G$110:$G$113,MATCH(M15,$C$110:$C$113,0))))))</f>
        <v>0</v>
      </c>
      <c r="O15">
        <f>G15+N15</f>
        <v>0</v>
      </c>
      <c r="P15" t="s">
        <v>168</v>
      </c>
      <c r="Q15" t="s">
        <v>863</v>
      </c>
      <c r="R15" t="s">
        <v>1045</v>
      </c>
    </row>
    <row r="16" spans="1:19" x14ac:dyDescent="0.2">
      <c r="A16" s="3"/>
      <c r="B16" s="44"/>
      <c r="C16" s="45"/>
      <c r="D16" s="45"/>
      <c r="E16" s="45"/>
      <c r="F16" s="45"/>
      <c r="G16" s="45"/>
      <c r="H16" s="45"/>
      <c r="I16" s="45"/>
      <c r="J16" s="45"/>
      <c r="K16" s="46"/>
      <c r="L16" s="45"/>
      <c r="M16" s="45"/>
      <c r="N16" s="45"/>
      <c r="O16" s="45"/>
      <c r="P16" s="45"/>
      <c r="Q16" s="45"/>
      <c r="R16" s="45"/>
    </row>
    <row r="17" spans="1:18" x14ac:dyDescent="0.2">
      <c r="A17" t="s">
        <v>227</v>
      </c>
      <c r="B17" t="s">
        <v>1046</v>
      </c>
      <c r="C17" t="s">
        <v>319</v>
      </c>
      <c r="D17" t="s">
        <v>330</v>
      </c>
      <c r="E17">
        <f>IF(C17="High coverage (&gt;80%)",0,IF(C17="Some coverage (20–80%)",10,IF(C17="Minimal/no coverage",20,IF(C17="Unknown",10,""))))</f>
        <v>10</v>
      </c>
      <c r="F17">
        <f>IF(D17="High",0,IF(D17="Medium",0.05,IF(D17="Low",0.1,IF(D17="Unknown",0.15,""))))</f>
        <v>0.1</v>
      </c>
      <c r="G17">
        <f>E17*(1+F17)</f>
        <v>11</v>
      </c>
      <c r="H17" t="s">
        <v>1047</v>
      </c>
      <c r="J17" t="s">
        <v>166</v>
      </c>
      <c r="K17" s="24" t="str">
        <f>IF(I17="","",MAX(IFERROR(DATEVALUE(TRIM(MID(SUBSTITUTE(I17,";",REPT(" ",50)),1,50))),0),IFERROR(DATEVALUE(TRIM(MID(SUBSTITUTE(I17,";",REPT(" ",50)),51,50))),0),IFERROR(DATEVALUE(TRIM(MID(SUBSTITUTE(I17,";",REPT(" ",50)),101,50))),0),IFERROR(DATEVALUE(TRIM(MID(SUBSTITUTE(I17,";",REPT(" ",50)),151,50))),0),IFERROR(DATEVALUE(TRIM(MID(SUBSTITUTE(I17,";",REPT(" ",50)),201,50))),0),IFERROR(DATEVALUE(TRIM(MID(SUBSTITUTE(I17,";",REPT(" ",50)),251,50))),0),IFERROR(DATEVALUE(TRIM(MID(SUBSTITUTE(I17,";",REPT(" ",50)),301,50))),0),IFERROR(DATEVALUE(TRIM(MID(SUBSTITUTE(I17,";",REPT(" ",50)),351,50))),0),IFERROR(DATEVALUE(TRIM(MID(SUBSTITUTE(I17,";",REPT(" ",50)),401,50))),0),IFERROR(DATEVALUE(TRIM(MID(SUBSTITUTE(I17,";",REPT(" ",50)),451,50))),0)))</f>
        <v/>
      </c>
      <c r="L17" t="str">
        <f ca="1">IF(K17="","",TODAY()-K17)</f>
        <v/>
      </c>
      <c r="M17" t="s">
        <v>184</v>
      </c>
      <c r="N17">
        <f ca="1">IF(M17="","",IF(L17="",INDEX($F$110:$F$113,MATCH(M17,$C$110:$C$113,0)),IF(L17&lt;=INDEX($D$110:$D$113,MATCH(M17,$C$110:$C$113,0)),0,IF(L17&lt;=INDEX($E$110:$E$113,MATCH(M17,$C$110:$C$113,0)),INDEX($F$110:$F$113,MATCH(M17,$C$110:$C$113,0)),INDEX($G$110:$G$113,MATCH(M17,$C$110:$C$113,0))))))</f>
        <v>3</v>
      </c>
      <c r="O17">
        <f ca="1">G17+N17</f>
        <v>14</v>
      </c>
      <c r="P17" t="s">
        <v>168</v>
      </c>
      <c r="R17" t="s">
        <v>1048</v>
      </c>
    </row>
    <row r="18" spans="1:18" x14ac:dyDescent="0.2">
      <c r="A18" t="s">
        <v>1049</v>
      </c>
      <c r="B18" t="s">
        <v>1050</v>
      </c>
      <c r="C18" t="s">
        <v>1051</v>
      </c>
      <c r="D18" t="s">
        <v>163</v>
      </c>
      <c r="E18">
        <f>IF(C18="Stable with no major issues",0,IF(C18="Some issues but resolved",10,IF(C18="Frequent stability problems",20,IF(C18="Unknown",10,""))))</f>
        <v>10</v>
      </c>
      <c r="F18">
        <f>IF(D18="High",0,IF(D18="Medium",0.05,IF(D18="Low",0.1,IF(D18="Unknown",0.15,""))))</f>
        <v>0</v>
      </c>
      <c r="G18">
        <f>E18*(1+F18)</f>
        <v>10</v>
      </c>
      <c r="H18" t="s">
        <v>1052</v>
      </c>
      <c r="I18" t="s">
        <v>1053</v>
      </c>
      <c r="J18" t="s">
        <v>176</v>
      </c>
      <c r="K18" s="24">
        <f>IF(I18="","",MAX(IFERROR(DATEVALUE(TRIM(MID(SUBSTITUTE(I18,";",REPT(" ",50)),1,50))),0),IFERROR(DATEVALUE(TRIM(MID(SUBSTITUTE(I18,";",REPT(" ",50)),51,50))),0),IFERROR(DATEVALUE(TRIM(MID(SUBSTITUTE(I18,";",REPT(" ",50)),101,50))),0),IFERROR(DATEVALUE(TRIM(MID(SUBSTITUTE(I18,";",REPT(" ",50)),151,50))),0),IFERROR(DATEVALUE(TRIM(MID(SUBSTITUTE(I18,";",REPT(" ",50)),201,50))),0),IFERROR(DATEVALUE(TRIM(MID(SUBSTITUTE(I18,";",REPT(" ",50)),251,50))),0),IFERROR(DATEVALUE(TRIM(MID(SUBSTITUTE(I18,";",REPT(" ",50)),301,50))),0),IFERROR(DATEVALUE(TRIM(MID(SUBSTITUTE(I18,";",REPT(" ",50)),351,50))),0),IFERROR(DATEVALUE(TRIM(MID(SUBSTITUTE(I18,";",REPT(" ",50)),401,50))),0),IFERROR(DATEVALUE(TRIM(MID(SUBSTITUTE(I18,";",REPT(" ",50)),451,50))),0)))</f>
        <v>46001</v>
      </c>
      <c r="L18">
        <f ca="1">IF(K18="","",TODAY()-K18)</f>
        <v>3</v>
      </c>
      <c r="M18" t="s">
        <v>184</v>
      </c>
      <c r="N18">
        <f ca="1">IF(M18="","",IF(L18="",INDEX($F$110:$F$113,MATCH(M18,$C$110:$C$113,0)),IF(L18&lt;=INDEX($D$110:$D$113,MATCH(M18,$C$110:$C$113,0)),0,IF(L18&lt;=INDEX($E$110:$E$113,MATCH(M18,$C$110:$C$113,0)),INDEX($F$110:$F$113,MATCH(M18,$C$110:$C$113,0)),INDEX($G$110:$G$113,MATCH(M18,$C$110:$C$113,0))))))</f>
        <v>0</v>
      </c>
      <c r="O18">
        <f ca="1">G18+N18</f>
        <v>10</v>
      </c>
      <c r="P18" t="s">
        <v>168</v>
      </c>
      <c r="R18" t="s">
        <v>1054</v>
      </c>
    </row>
    <row r="19" spans="1:18" x14ac:dyDescent="0.2">
      <c r="A19" t="s">
        <v>1055</v>
      </c>
      <c r="B19" t="s">
        <v>1056</v>
      </c>
      <c r="C19" t="s">
        <v>1057</v>
      </c>
      <c r="D19" t="s">
        <v>163</v>
      </c>
      <c r="E19">
        <f>IF(C19="Clear CI/CD pipeline documented",0,IF(C19="Partial visibility",10,IF(C19="No visible CI/CD process",20,IF(C19="Unknown",10,""))))</f>
        <v>10</v>
      </c>
      <c r="F19">
        <f>IF(D19="High",0,IF(D19="Medium",0.05,IF(D19="Low",0.1,IF(D19="Unknown",0.15,""))))</f>
        <v>0</v>
      </c>
      <c r="G19">
        <f>E19*(1+F19)</f>
        <v>10</v>
      </c>
      <c r="H19" t="s">
        <v>1058</v>
      </c>
      <c r="I19" t="s">
        <v>1059</v>
      </c>
      <c r="J19" t="s">
        <v>166</v>
      </c>
      <c r="K19" s="24">
        <f>IF(I19="","",MAX(IFERROR(DATEVALUE(TRIM(MID(SUBSTITUTE(I19,";",REPT(" ",50)),1,50))),0),IFERROR(DATEVALUE(TRIM(MID(SUBSTITUTE(I19,";",REPT(" ",50)),51,50))),0),IFERROR(DATEVALUE(TRIM(MID(SUBSTITUTE(I19,";",REPT(" ",50)),101,50))),0),IFERROR(DATEVALUE(TRIM(MID(SUBSTITUTE(I19,";",REPT(" ",50)),151,50))),0),IFERROR(DATEVALUE(TRIM(MID(SUBSTITUTE(I19,";",REPT(" ",50)),201,50))),0),IFERROR(DATEVALUE(TRIM(MID(SUBSTITUTE(I19,";",REPT(" ",50)),251,50))),0),IFERROR(DATEVALUE(TRIM(MID(SUBSTITUTE(I19,";",REPT(" ",50)),301,50))),0),IFERROR(DATEVALUE(TRIM(MID(SUBSTITUTE(I19,";",REPT(" ",50)),351,50))),0),IFERROR(DATEVALUE(TRIM(MID(SUBSTITUTE(I19,";",REPT(" ",50)),401,50))),0),IFERROR(DATEVALUE(TRIM(MID(SUBSTITUTE(I19,";",REPT(" ",50)),451,50))),0)))</f>
        <v>45996</v>
      </c>
      <c r="L19">
        <f ca="1">IF(K19="","",TODAY()-K19)</f>
        <v>8</v>
      </c>
      <c r="M19" t="s">
        <v>184</v>
      </c>
      <c r="N19">
        <f ca="1">IF(M19="","",IF(L19="",INDEX($F$110:$F$113,MATCH(M19,$C$110:$C$113,0)),IF(L19&lt;=INDEX($D$110:$D$113,MATCH(M19,$C$110:$C$113,0)),0,IF(L19&lt;=INDEX($E$110:$E$113,MATCH(M19,$C$110:$C$113,0)),INDEX($F$110:$F$113,MATCH(M19,$C$110:$C$113,0)),INDEX($G$110:$G$113,MATCH(M19,$C$110:$C$113,0))))))</f>
        <v>0</v>
      </c>
      <c r="O19">
        <f ca="1">G19+N19</f>
        <v>10</v>
      </c>
      <c r="P19" t="s">
        <v>168</v>
      </c>
      <c r="R19" t="s">
        <v>1060</v>
      </c>
    </row>
    <row r="20" spans="1:18" x14ac:dyDescent="0.2">
      <c r="A20" t="s">
        <v>1061</v>
      </c>
      <c r="B20" t="s">
        <v>1062</v>
      </c>
      <c r="C20" t="s">
        <v>1063</v>
      </c>
      <c r="D20" t="s">
        <v>163</v>
      </c>
      <c r="E20">
        <f>IF(C20="No notable issues",0,IF(C20="Some issues flagged",10,IF(C20="Structural/recurring issues",20,IF(C20="Unknown",10,""))))</f>
        <v>10</v>
      </c>
      <c r="F20">
        <f>IF(D20="High",0,IF(D20="Medium",0.05,IF(D20="Low",0.1,IF(D20="Unknown",0.15,""))))</f>
        <v>0</v>
      </c>
      <c r="G20">
        <f>E20*(1+F20)</f>
        <v>10</v>
      </c>
      <c r="H20" t="s">
        <v>1064</v>
      </c>
      <c r="I20" t="s">
        <v>1065</v>
      </c>
      <c r="J20" t="s">
        <v>166</v>
      </c>
      <c r="K20" s="24">
        <f>IF(I20="","",MAX(IFERROR(DATEVALUE(TRIM(MID(SUBSTITUTE(I20,";",REPT(" ",50)),1,50))),0),IFERROR(DATEVALUE(TRIM(MID(SUBSTITUTE(I20,";",REPT(" ",50)),51,50))),0),IFERROR(DATEVALUE(TRIM(MID(SUBSTITUTE(I20,";",REPT(" ",50)),101,50))),0),IFERROR(DATEVALUE(TRIM(MID(SUBSTITUTE(I20,";",REPT(" ",50)),151,50))),0),IFERROR(DATEVALUE(TRIM(MID(SUBSTITUTE(I20,";",REPT(" ",50)),201,50))),0),IFERROR(DATEVALUE(TRIM(MID(SUBSTITUTE(I20,";",REPT(" ",50)),251,50))),0),IFERROR(DATEVALUE(TRIM(MID(SUBSTITUTE(I20,";",REPT(" ",50)),301,50))),0),IFERROR(DATEVALUE(TRIM(MID(SUBSTITUTE(I20,";",REPT(" ",50)),351,50))),0),IFERROR(DATEVALUE(TRIM(MID(SUBSTITUTE(I20,";",REPT(" ",50)),401,50))),0),IFERROR(DATEVALUE(TRIM(MID(SUBSTITUTE(I20,";",REPT(" ",50)),451,50))),0)))</f>
        <v>44562</v>
      </c>
      <c r="L20">
        <f ca="1">IF(K20="","",TODAY()-K20)</f>
        <v>1442</v>
      </c>
      <c r="M20" t="s">
        <v>303</v>
      </c>
      <c r="N20">
        <f ca="1">IF(M20="","",IF(L20="",INDEX($F$110:$F$113,MATCH(M20,$C$110:$C$113,0)),IF(L20&lt;=INDEX($D$110:$D$113,MATCH(M20,$C$110:$C$113,0)),0,IF(L20&lt;=INDEX($E$110:$E$113,MATCH(M20,$C$110:$C$113,0)),INDEX($F$110:$F$113,MATCH(M20,$C$110:$C$113,0)),INDEX($G$110:$G$113,MATCH(M20,$C$110:$C$113,0))))))</f>
        <v>4</v>
      </c>
      <c r="O20">
        <f ca="1">G20+N20</f>
        <v>14</v>
      </c>
      <c r="P20" t="str">
        <f>IF(AND(C20="Structural/recurring issues",OR(D20="High",D20="Medium")),"Review Required","No Review")</f>
        <v>No Review</v>
      </c>
      <c r="Q20" t="s">
        <v>1066</v>
      </c>
      <c r="R20" t="s">
        <v>1067</v>
      </c>
    </row>
    <row r="21" spans="1:18" x14ac:dyDescent="0.2">
      <c r="A21" t="s">
        <v>234</v>
      </c>
      <c r="B21" t="s">
        <v>1068</v>
      </c>
      <c r="C21" t="s">
        <v>1069</v>
      </c>
      <c r="D21" t="s">
        <v>163</v>
      </c>
      <c r="E21">
        <v>0</v>
      </c>
      <c r="F21">
        <f>IF(D21="High",0,IF(D21="Medium",0.05,IF(D21="Low",0.1,IF(D21="Unknown",0.15,""))))</f>
        <v>0</v>
      </c>
      <c r="G21">
        <f>E21*(1+F21)</f>
        <v>0</v>
      </c>
      <c r="H21" t="s">
        <v>1070</v>
      </c>
      <c r="I21" t="s">
        <v>1071</v>
      </c>
      <c r="J21" t="s">
        <v>176</v>
      </c>
      <c r="K21">
        <f>IF(I21="","",MAX(IFERROR(DATEVALUE(TRIM(MID(SUBSTITUTE(I21,";",REPT(" ",50)),1,50))),0),IFERROR(DATEVALUE(TRIM(MID(SUBSTITUTE(I21,";",REPT(" ",50)),51,50))),0),IFERROR(DATEVALUE(TRIM(MID(SUBSTITUTE(I21,";",REPT(" ",50)),101,50))),0),IFERROR(DATEVALUE(TRIM(MID(SUBSTITUTE(I21,";",REPT(" ",50)),151,50))),0),IFERROR(DATEVALUE(TRIM(MID(SUBSTITUTE(I21,";",REPT(" ",50)),201,50))),0),IFERROR(DATEVALUE(TRIM(MID(SUBSTITUTE(I21,";",REPT(" ",50)),251,50))),0),IFERROR(DATEVALUE(TRIM(MID(SUBSTITUTE(I21,";",REPT(" ",50)),301,50))),0),IFERROR(DATEVALUE(TRIM(MID(SUBSTITUTE(I21,";",REPT(" ",50)),351,50))),0),IFERROR(DATEVALUE(TRIM(MID(SUBSTITUTE(I21,";",REPT(" ",50)),401,50))),0),IFERROR(DATEVALUE(TRIM(MID(SUBSTITUTE(I21,";",REPT(" ",50)),451,50))),0)))</f>
        <v>45338</v>
      </c>
      <c r="M21" t="s">
        <v>303</v>
      </c>
      <c r="N21">
        <f>IF(M21="","",IF(L21="",INDEX($F$110:$F$113,MATCH(M21,$C$110:$C$113,0)),IF(L21&lt;=INDEX($D$110:$D$113,MATCH(M21,$C$110:$C$113,0)),0,IF(L21&lt;=INDEX($E$110:$E$113,MATCH(M21,$C$110:$C$113,0)),INDEX($F$110:$F$113,MATCH(M21,$C$110:$C$113,0)),INDEX($G$110:$G$113,MATCH(M21,$C$110:$C$113,0))))))</f>
        <v>2</v>
      </c>
      <c r="O21">
        <f>G21+N21</f>
        <v>2</v>
      </c>
      <c r="P21" t="s">
        <v>168</v>
      </c>
      <c r="Q21" t="s">
        <v>863</v>
      </c>
      <c r="R21" t="s">
        <v>1072</v>
      </c>
    </row>
    <row r="22" spans="1:18" x14ac:dyDescent="0.2">
      <c r="A22" s="3"/>
      <c r="B22" s="44"/>
      <c r="C22" s="45"/>
      <c r="D22" s="45"/>
      <c r="E22" s="45"/>
      <c r="F22" s="45"/>
      <c r="G22" s="45"/>
      <c r="H22" s="45"/>
      <c r="I22" s="45"/>
      <c r="J22" s="45"/>
      <c r="K22" s="46"/>
      <c r="L22" s="45"/>
      <c r="M22" s="45"/>
      <c r="N22" s="45"/>
      <c r="O22" s="45"/>
      <c r="P22" s="45"/>
      <c r="Q22" s="45"/>
      <c r="R22" s="45"/>
    </row>
    <row r="23" spans="1:18" x14ac:dyDescent="0.2">
      <c r="A23" t="s">
        <v>1073</v>
      </c>
      <c r="B23" t="s">
        <v>1074</v>
      </c>
      <c r="C23" t="s">
        <v>1075</v>
      </c>
      <c r="D23" t="s">
        <v>163</v>
      </c>
      <c r="E23">
        <f>IF(C23="Up-to-date reputable libraries",0,IF(C23="Some outdated components",10,IF(C23="High-risk/deprecated libraries",20,IF(C23="Unknown",10,""))))</f>
        <v>0</v>
      </c>
      <c r="F23">
        <f>IF(D23="High",0,IF(D23="Medium",0.05,IF(D23="Low",0.1,IF(D23="Unknown",0.15,""))))</f>
        <v>0</v>
      </c>
      <c r="G23">
        <f>E23*(1+F23)</f>
        <v>0</v>
      </c>
      <c r="H23" t="s">
        <v>1076</v>
      </c>
      <c r="I23" t="s">
        <v>1077</v>
      </c>
      <c r="J23" t="s">
        <v>166</v>
      </c>
      <c r="K23" s="24">
        <f>IF(I23="","",MAX(IFERROR(DATEVALUE(TRIM(MID(SUBSTITUTE(I23,";",REPT(" ",50)),1,50))),0),IFERROR(DATEVALUE(TRIM(MID(SUBSTITUTE(I23,";",REPT(" ",50)),51,50))),0),IFERROR(DATEVALUE(TRIM(MID(SUBSTITUTE(I23,";",REPT(" ",50)),101,50))),0),IFERROR(DATEVALUE(TRIM(MID(SUBSTITUTE(I23,";",REPT(" ",50)),151,50))),0),IFERROR(DATEVALUE(TRIM(MID(SUBSTITUTE(I23,";",REPT(" ",50)),201,50))),0),IFERROR(DATEVALUE(TRIM(MID(SUBSTITUTE(I23,";",REPT(" ",50)),251,50))),0),IFERROR(DATEVALUE(TRIM(MID(SUBSTITUTE(I23,";",REPT(" ",50)),301,50))),0),IFERROR(DATEVALUE(TRIM(MID(SUBSTITUTE(I23,";",REPT(" ",50)),351,50))),0),IFERROR(DATEVALUE(TRIM(MID(SUBSTITUTE(I23,";",REPT(" ",50)),401,50))),0),IFERROR(DATEVALUE(TRIM(MID(SUBSTITUTE(I23,";",REPT(" ",50)),451,50))),0)))</f>
        <v>45672</v>
      </c>
      <c r="L23">
        <f ca="1">IF(K23="","",TODAY()-K23)</f>
        <v>332</v>
      </c>
      <c r="M23" t="s">
        <v>167</v>
      </c>
      <c r="N23">
        <f ca="1">IF(M23="","",IF(L23="",INDEX($F$110:$F$113,MATCH(M23,$C$110:$C$113,0)),IF(L23&lt;=INDEX($D$110:$D$113,MATCH(M23,$C$110:$C$113,0)),0,IF(L23&lt;=INDEX($E$110:$E$113,MATCH(M23,$C$110:$C$113,0)),INDEX($F$110:$F$113,MATCH(M23,$C$110:$C$113,0)),INDEX($G$110:$G$113,MATCH(M23,$C$110:$C$113,0))))))</f>
        <v>0</v>
      </c>
      <c r="O23">
        <f ca="1">G23+N23</f>
        <v>0</v>
      </c>
      <c r="P23" t="s">
        <v>168</v>
      </c>
      <c r="R23" t="s">
        <v>1078</v>
      </c>
    </row>
    <row r="24" spans="1:18" x14ac:dyDescent="0.2">
      <c r="A24" t="s">
        <v>1079</v>
      </c>
      <c r="B24" t="s">
        <v>1080</v>
      </c>
      <c r="C24" t="s">
        <v>1081</v>
      </c>
      <c r="D24" t="s">
        <v>163</v>
      </c>
      <c r="E24">
        <f>IF(C24="Robust oracle (e.g., Chainlink)",0,IF(C24="Mixed/custom or multi-oracle",10,IF(C24="High-risk/unclear oracle design",20,IF(C24="Unknown",10,""))))</f>
        <v>0</v>
      </c>
      <c r="F24">
        <f>IF(D24="High",0,IF(D24="Medium",0.05,IF(D24="Low",0.1,IF(D24="Unknown",0.15,""))))</f>
        <v>0</v>
      </c>
      <c r="G24">
        <f>E24*(1+F24)</f>
        <v>0</v>
      </c>
      <c r="H24" t="s">
        <v>1082</v>
      </c>
      <c r="I24" t="s">
        <v>1083</v>
      </c>
      <c r="J24" t="s">
        <v>176</v>
      </c>
      <c r="K24" s="24">
        <f>IF(I24="","",MAX(IFERROR(DATEVALUE(TRIM(MID(SUBSTITUTE(I24,";",REPT(" ",50)),1,50))),0),IFERROR(DATEVALUE(TRIM(MID(SUBSTITUTE(I24,";",REPT(" ",50)),51,50))),0),IFERROR(DATEVALUE(TRIM(MID(SUBSTITUTE(I24,";",REPT(" ",50)),101,50))),0),IFERROR(DATEVALUE(TRIM(MID(SUBSTITUTE(I24,";",REPT(" ",50)),151,50))),0),IFERROR(DATEVALUE(TRIM(MID(SUBSTITUTE(I24,";",REPT(" ",50)),201,50))),0),IFERROR(DATEVALUE(TRIM(MID(SUBSTITUTE(I24,";",REPT(" ",50)),251,50))),0),IFERROR(DATEVALUE(TRIM(MID(SUBSTITUTE(I24,";",REPT(" ",50)),301,50))),0),IFERROR(DATEVALUE(TRIM(MID(SUBSTITUTE(I24,";",REPT(" ",50)),351,50))),0),IFERROR(DATEVALUE(TRIM(MID(SUBSTITUTE(I24,";",REPT(" ",50)),401,50))),0),IFERROR(DATEVALUE(TRIM(MID(SUBSTITUTE(I24,";",REPT(" ",50)),451,50))),0)))</f>
        <v>44531</v>
      </c>
      <c r="L24">
        <f ca="1">IF(K24="","",TODAY()-K24)</f>
        <v>1473</v>
      </c>
      <c r="M24" t="s">
        <v>184</v>
      </c>
      <c r="N24">
        <f ca="1">IF(M24="","",IF(L24="",INDEX($F$110:$F$113,MATCH(M24,$C$110:$C$113,0)),IF(L24&lt;=INDEX($D$110:$D$113,MATCH(M24,$C$110:$C$113,0)),0,IF(L24&lt;=INDEX($E$110:$E$113,MATCH(M24,$C$110:$C$113,0)),INDEX($F$110:$F$113,MATCH(M24,$C$110:$C$113,0)),INDEX($G$110:$G$113,MATCH(M24,$C$110:$C$113,0))))))</f>
        <v>6</v>
      </c>
      <c r="O24">
        <f ca="1">G24+N24</f>
        <v>6</v>
      </c>
      <c r="P24" t="str">
        <f>IF(AND(C24="High-risk/unclear oracle design",OR(D24="High",D24="Medium")),"Review Required","No Review")</f>
        <v>No Review</v>
      </c>
      <c r="Q24" t="s">
        <v>1084</v>
      </c>
      <c r="R24" t="s">
        <v>1085</v>
      </c>
    </row>
    <row r="25" spans="1:18" x14ac:dyDescent="0.2">
      <c r="A25" t="s">
        <v>1086</v>
      </c>
      <c r="B25" t="s">
        <v>1087</v>
      </c>
      <c r="C25" t="s">
        <v>1088</v>
      </c>
      <c r="D25" t="s">
        <v>197</v>
      </c>
      <c r="E25">
        <f>IF(C25="No upgradeability (immutable)",0,IF(C25="Limited upgradeability with safeguards",10,IF(C25="Upgradeable with weak controls",20,IF(C25="Unknown",10,""))))</f>
        <v>10</v>
      </c>
      <c r="F25">
        <f>IF(D25="High",0,IF(D25="Medium",0.05,IF(D25="Low",0.1,IF(D25="Unknown",0.15,""))))</f>
        <v>0.05</v>
      </c>
      <c r="G25">
        <f>E25*(1+F25)</f>
        <v>10.5</v>
      </c>
      <c r="H25" t="s">
        <v>1089</v>
      </c>
      <c r="I25" t="s">
        <v>1090</v>
      </c>
      <c r="J25" t="s">
        <v>166</v>
      </c>
      <c r="K25" s="24">
        <f>IF(I25="","",MAX(IFERROR(DATEVALUE(TRIM(MID(SUBSTITUTE(I25,";",REPT(" ",50)),1,50))),0),IFERROR(DATEVALUE(TRIM(MID(SUBSTITUTE(I25,";",REPT(" ",50)),51,50))),0),IFERROR(DATEVALUE(TRIM(MID(SUBSTITUTE(I25,";",REPT(" ",50)),101,50))),0),IFERROR(DATEVALUE(TRIM(MID(SUBSTITUTE(I25,";",REPT(" ",50)),151,50))),0),IFERROR(DATEVALUE(TRIM(MID(SUBSTITUTE(I25,";",REPT(" ",50)),201,50))),0),IFERROR(DATEVALUE(TRIM(MID(SUBSTITUTE(I25,";",REPT(" ",50)),251,50))),0),IFERROR(DATEVALUE(TRIM(MID(SUBSTITUTE(I25,";",REPT(" ",50)),301,50))),0),IFERROR(DATEVALUE(TRIM(MID(SUBSTITUTE(I25,";",REPT(" ",50)),351,50))),0),IFERROR(DATEVALUE(TRIM(MID(SUBSTITUTE(I25,";",REPT(" ",50)),401,50))),0),IFERROR(DATEVALUE(TRIM(MID(SUBSTITUTE(I25,";",REPT(" ",50)),451,50))),0)))</f>
        <v>45139</v>
      </c>
      <c r="L25">
        <f ca="1">IF(K25="","",TODAY()-K25)</f>
        <v>865</v>
      </c>
      <c r="M25" t="s">
        <v>167</v>
      </c>
      <c r="N25">
        <f ca="1">IF(M25="","",IF(L25="",INDEX($F$110:$F$113,MATCH(M25,$C$110:$C$113,0)),IF(L25&lt;=INDEX($D$110:$D$113,MATCH(M25,$C$110:$C$113,0)),0,IF(L25&lt;=INDEX($E$110:$E$113,MATCH(M25,$C$110:$C$113,0)),INDEX($F$110:$F$113,MATCH(M25,$C$110:$C$113,0)),INDEX($G$110:$G$113,MATCH(M25,$C$110:$C$113,0))))))</f>
        <v>0</v>
      </c>
      <c r="O25">
        <f ca="1">G25+N25</f>
        <v>10.5</v>
      </c>
      <c r="P25" t="str">
        <f>IF(AND(C25="Upgradeable with weak controls",OR(D25="High",D25="Medium")),"Review Required","No Review")</f>
        <v>No Review</v>
      </c>
      <c r="Q25" t="s">
        <v>1091</v>
      </c>
      <c r="R25" t="s">
        <v>1092</v>
      </c>
    </row>
    <row r="26" spans="1:18" x14ac:dyDescent="0.2">
      <c r="A26" t="s">
        <v>1093</v>
      </c>
      <c r="B26" t="s">
        <v>1094</v>
      </c>
      <c r="C26" t="s">
        <v>1095</v>
      </c>
      <c r="D26" t="s">
        <v>163</v>
      </c>
      <c r="E26">
        <v>0</v>
      </c>
      <c r="F26">
        <f>IF(D26="High",0,IF(D26="Medium",0.05,IF(D26="Low",0.1,IF(D26="Unknown",0.15,""))))</f>
        <v>0</v>
      </c>
      <c r="G26">
        <f>E26*(1+F26)</f>
        <v>0</v>
      </c>
      <c r="H26" t="s">
        <v>1096</v>
      </c>
      <c r="I26" t="s">
        <v>379</v>
      </c>
      <c r="J26" t="s">
        <v>166</v>
      </c>
      <c r="K26">
        <f>IF(I26="","",MAX(IFERROR(DATEVALUE(TRIM(MID(SUBSTITUTE(I26,";",REPT(" ",50)),1,50))),0),IFERROR(DATEVALUE(TRIM(MID(SUBSTITUTE(I26,";",REPT(" ",50)),51,50))),0),IFERROR(DATEVALUE(TRIM(MID(SUBSTITUTE(I26,";",REPT(" ",50)),101,50))),0),IFERROR(DATEVALUE(TRIM(MID(SUBSTITUTE(I26,";",REPT(" ",50)),151,50))),0),IFERROR(DATEVALUE(TRIM(MID(SUBSTITUTE(I26,";",REPT(" ",50)),201,50))),0),IFERROR(DATEVALUE(TRIM(MID(SUBSTITUTE(I26,";",REPT(" ",50)),251,50))),0),IFERROR(DATEVALUE(TRIM(MID(SUBSTITUTE(I26,";",REPT(" ",50)),301,50))),0),IFERROR(DATEVALUE(TRIM(MID(SUBSTITUTE(I26,";",REPT(" ",50)),351,50))),0),IFERROR(DATEVALUE(TRIM(MID(SUBSTITUTE(I26,";",REPT(" ",50)),401,50))),0),IFERROR(DATEVALUE(TRIM(MID(SUBSTITUTE(I26,";",REPT(" ",50)),451,50))),0)))</f>
        <v>45078</v>
      </c>
      <c r="M26" t="s">
        <v>167</v>
      </c>
      <c r="N26">
        <f>IF(M26="","",IF(L26="",INDEX($F$110:$F$113,MATCH(M26,$C$110:$C$113,0)),IF(L26&lt;=INDEX($D$110:$D$113,MATCH(M26,$C$110:$C$113,0)),0,IF(L26&lt;=INDEX($E$110:$E$113,MATCH(M26,$C$110:$C$113,0)),INDEX($F$110:$F$113,MATCH(M26,$C$110:$C$113,0)),INDEX($G$110:$G$113,MATCH(M26,$C$110:$C$113,0))))))</f>
        <v>0</v>
      </c>
      <c r="O26">
        <f>G26+N26</f>
        <v>0</v>
      </c>
      <c r="P26" t="s">
        <v>168</v>
      </c>
      <c r="Q26" t="s">
        <v>863</v>
      </c>
      <c r="R26" t="s">
        <v>1097</v>
      </c>
    </row>
    <row r="27" spans="1:18" x14ac:dyDescent="0.2">
      <c r="A27" s="4"/>
      <c r="B27" s="5" t="s">
        <v>1098</v>
      </c>
      <c r="C27" s="4"/>
      <c r="D27" s="4"/>
      <c r="E27" s="4"/>
      <c r="F27" s="4"/>
      <c r="G27" s="4"/>
      <c r="H27" s="4"/>
      <c r="I27" s="4"/>
      <c r="J27" s="4"/>
      <c r="K27" s="23" t="str">
        <f>IF(I27="","",MAX(IFERROR(DATEVALUE(TRIM(MID(SUBSTITUTE(I27,";",REPT(" ",50)),1,50))),0),IFERROR(DATEVALUE(TRIM(MID(SUBSTITUTE(I27,";",REPT(" ",50)),51,50))),0),IFERROR(DATEVALUE(TRIM(MID(SUBSTITUTE(I27,";",REPT(" ",50)),101,50))),0),IFERROR(DATEVALUE(TRIM(MID(SUBSTITUTE(I27,";",REPT(" ",50)),151,50))),0),IFERROR(DATEVALUE(TRIM(MID(SUBSTITUTE(I27,";",REPT(" ",50)),201,50))),0),IFERROR(DATEVALUE(TRIM(MID(SUBSTITUTE(I27,";",REPT(" ",50)),251,50))),0),IFERROR(DATEVALUE(TRIM(MID(SUBSTITUTE(I27,";",REPT(" ",50)),301,50))),0),IFERROR(DATEVALUE(TRIM(MID(SUBSTITUTE(I27,";",REPT(" ",50)),351,50))),0),IFERROR(DATEVALUE(TRIM(MID(SUBSTITUTE(I27,";",REPT(" ",50)),401,50))),0),IFERROR(DATEVALUE(TRIM(MID(SUBSTITUTE(I27,";",REPT(" ",50)),451,50))),0)))</f>
        <v/>
      </c>
      <c r="L27" s="4"/>
      <c r="M27" s="4"/>
      <c r="N27" s="4" t="str">
        <f>IF(M27="","",IF(L27="",INDEX($F$110:$F$113,MATCH(M27,$C$110:$C$113,0)),IF(L27&lt;=INDEX($D$110:$D$113,MATCH(M27,$C$110:$C$113,0)),0,IF(L27&lt;=INDEX($E$110:$E$113,MATCH(M27,$C$110:$C$113,0)),INDEX($F$110:$F$113,MATCH(M27,$C$110:$C$113,0)),INDEX($G$110:$G$113,MATCH(M27,$C$110:$C$113,0))))))</f>
        <v/>
      </c>
      <c r="O27" s="4"/>
      <c r="P27" s="4"/>
      <c r="Q27" s="4"/>
      <c r="R27" s="4"/>
    </row>
    <row r="28" spans="1:18" x14ac:dyDescent="0.2">
      <c r="A28" s="3"/>
      <c r="B28" s="44"/>
      <c r="C28" s="45"/>
      <c r="D28" s="45"/>
      <c r="E28" s="45"/>
      <c r="F28" s="45"/>
      <c r="G28" s="45"/>
      <c r="H28" s="45"/>
      <c r="I28" s="45"/>
      <c r="J28" s="45"/>
      <c r="K28" s="46"/>
      <c r="L28" s="45"/>
      <c r="M28" s="45"/>
      <c r="N28" s="45"/>
      <c r="O28" s="45"/>
      <c r="P28" s="45"/>
      <c r="Q28" s="45"/>
      <c r="R28" s="45"/>
    </row>
    <row r="29" spans="1:18" x14ac:dyDescent="0.2">
      <c r="A29" t="s">
        <v>241</v>
      </c>
      <c r="B29" t="s">
        <v>1099</v>
      </c>
      <c r="C29" t="s">
        <v>1100</v>
      </c>
      <c r="D29" t="s">
        <v>163</v>
      </c>
      <c r="E29">
        <f>IF(C29="Simple/minimal",0,IF(C29="Moderately complex",10,IF(C29="Highly complex/multi-module",20,IF(C29="Unknown",10,""))))</f>
        <v>20</v>
      </c>
      <c r="F29">
        <f>IF(D29="High",0,IF(D29="Medium",0.05,IF(D29="Low",0.1,IF(D29="Unknown",0.15,""))))</f>
        <v>0</v>
      </c>
      <c r="G29">
        <f>E29*(1+F29)</f>
        <v>20</v>
      </c>
      <c r="H29" t="s">
        <v>1101</v>
      </c>
      <c r="I29" t="s">
        <v>1102</v>
      </c>
      <c r="J29" t="s">
        <v>166</v>
      </c>
      <c r="K29" s="24">
        <f>IF(I29="","",MAX(IFERROR(DATEVALUE(TRIM(MID(SUBSTITUTE(I29,";",REPT(" ",50)),1,50))),0),IFERROR(DATEVALUE(TRIM(MID(SUBSTITUTE(I29,";",REPT(" ",50)),51,50))),0),IFERROR(DATEVALUE(TRIM(MID(SUBSTITUTE(I29,";",REPT(" ",50)),101,50))),0),IFERROR(DATEVALUE(TRIM(MID(SUBSTITUTE(I29,";",REPT(" ",50)),151,50))),0),IFERROR(DATEVALUE(TRIM(MID(SUBSTITUTE(I29,";",REPT(" ",50)),201,50))),0),IFERROR(DATEVALUE(TRIM(MID(SUBSTITUTE(I29,";",REPT(" ",50)),251,50))),0),IFERROR(DATEVALUE(TRIM(MID(SUBSTITUTE(I29,";",REPT(" ",50)),301,50))),0),IFERROR(DATEVALUE(TRIM(MID(SUBSTITUTE(I29,";",REPT(" ",50)),351,50))),0),IFERROR(DATEVALUE(TRIM(MID(SUBSTITUTE(I29,";",REPT(" ",50)),401,50))),0),IFERROR(DATEVALUE(TRIM(MID(SUBSTITUTE(I29,";",REPT(" ",50)),451,50))),0)))</f>
        <v>45306</v>
      </c>
      <c r="L29">
        <f ca="1">IF(K29="","",TODAY()-K29)</f>
        <v>698</v>
      </c>
      <c r="M29" t="s">
        <v>167</v>
      </c>
      <c r="N29">
        <f ca="1">IF(M29="","",IF(L29="",INDEX($F$110:$F$113,MATCH(M29,$C$110:$C$113,0)),IF(L29&lt;=INDEX($D$110:$D$113,MATCH(M29,$C$110:$C$113,0)),0,IF(L29&lt;=INDEX($E$110:$E$113,MATCH(M29,$C$110:$C$113,0)),INDEX($F$110:$F$113,MATCH(M29,$C$110:$C$113,0)),INDEX($G$110:$G$113,MATCH(M29,$C$110:$C$113,0))))))</f>
        <v>0</v>
      </c>
      <c r="O29">
        <f ca="1">G29+N29</f>
        <v>20</v>
      </c>
      <c r="P29" t="s">
        <v>168</v>
      </c>
      <c r="R29" t="s">
        <v>1103</v>
      </c>
    </row>
    <row r="30" spans="1:18" x14ac:dyDescent="0.2">
      <c r="A30" t="s">
        <v>247</v>
      </c>
      <c r="B30" t="s">
        <v>1104</v>
      </c>
      <c r="C30" t="s">
        <v>1105</v>
      </c>
      <c r="D30" t="s">
        <v>163</v>
      </c>
      <c r="E30">
        <f>IF(C30="Limited composability",0,IF(C30="Moderate composability",10,IF(C30="Highly composable/widely integrated",20,IF(C30="Unknown",10,""))))</f>
        <v>20</v>
      </c>
      <c r="F30">
        <f>IF(D30="High",0,IF(D30="Medium",0.05,IF(D30="Low",0.1,IF(D30="Unknown",0.15,""))))</f>
        <v>0</v>
      </c>
      <c r="G30">
        <f>E30*(1+F30)</f>
        <v>20</v>
      </c>
      <c r="H30" t="s">
        <v>1106</v>
      </c>
      <c r="I30" t="s">
        <v>1107</v>
      </c>
      <c r="J30" t="s">
        <v>176</v>
      </c>
      <c r="K30" s="24">
        <f>IF(I30="","",MAX(IFERROR(DATEVALUE(TRIM(MID(SUBSTITUTE(I30,";",REPT(" ",50)),1,50))),0),IFERROR(DATEVALUE(TRIM(MID(SUBSTITUTE(I30,";",REPT(" ",50)),51,50))),0),IFERROR(DATEVALUE(TRIM(MID(SUBSTITUTE(I30,";",REPT(" ",50)),101,50))),0),IFERROR(DATEVALUE(TRIM(MID(SUBSTITUTE(I30,";",REPT(" ",50)),151,50))),0),IFERROR(DATEVALUE(TRIM(MID(SUBSTITUTE(I30,";",REPT(" ",50)),201,50))),0),IFERROR(DATEVALUE(TRIM(MID(SUBSTITUTE(I30,";",REPT(" ",50)),251,50))),0),IFERROR(DATEVALUE(TRIM(MID(SUBSTITUTE(I30,";",REPT(" ",50)),301,50))),0),IFERROR(DATEVALUE(TRIM(MID(SUBSTITUTE(I30,";",REPT(" ",50)),351,50))),0),IFERROR(DATEVALUE(TRIM(MID(SUBSTITUTE(I30,";",REPT(" ",50)),401,50))),0),IFERROR(DATEVALUE(TRIM(MID(SUBSTITUTE(I30,";",REPT(" ",50)),451,50))),0)))</f>
        <v>46000</v>
      </c>
      <c r="L30">
        <f ca="1">IF(K30="","",TODAY()-K30)</f>
        <v>4</v>
      </c>
      <c r="M30" t="s">
        <v>167</v>
      </c>
      <c r="N30">
        <f ca="1">IF(M30="","",IF(L30="",INDEX($F$110:$F$113,MATCH(M30,$C$110:$C$113,0)),IF(L30&lt;=INDEX($D$110:$D$113,MATCH(M30,$C$110:$C$113,0)),0,IF(L30&lt;=INDEX($E$110:$E$113,MATCH(M30,$C$110:$C$113,0)),INDEX($F$110:$F$113,MATCH(M30,$C$110:$C$113,0)),INDEX($G$110:$G$113,MATCH(M30,$C$110:$C$113,0))))))</f>
        <v>0</v>
      </c>
      <c r="O30">
        <f ca="1">G30+N30</f>
        <v>20</v>
      </c>
      <c r="P30" t="s">
        <v>168</v>
      </c>
      <c r="R30" t="s">
        <v>1108</v>
      </c>
    </row>
    <row r="31" spans="1:18" x14ac:dyDescent="0.2">
      <c r="A31" t="s">
        <v>252</v>
      </c>
      <c r="B31" t="s">
        <v>1109</v>
      </c>
      <c r="C31" t="s">
        <v>1110</v>
      </c>
      <c r="D31" t="s">
        <v>163</v>
      </c>
      <c r="E31">
        <f>IF(C31="No notable patterns",0,IF(C31="Some higher-risk patterns",10,IF(C31="Multiple/structural higher-risk patterns",20,IF(C31="Unknown",10,""))))</f>
        <v>0</v>
      </c>
      <c r="F31">
        <f>IF(D31="High",0,IF(D31="Medium",0.05,IF(D31="Low",0.1,IF(D31="Unknown",0.15,""))))</f>
        <v>0</v>
      </c>
      <c r="G31">
        <f>E31*(1+F31)</f>
        <v>0</v>
      </c>
      <c r="H31" t="s">
        <v>1111</v>
      </c>
      <c r="I31" t="s">
        <v>1112</v>
      </c>
      <c r="J31" t="s">
        <v>166</v>
      </c>
      <c r="K31" s="24">
        <f>IF(I31="","",MAX(IFERROR(DATEVALUE(TRIM(MID(SUBSTITUTE(I31,";",REPT(" ",50)),1,50))),0),IFERROR(DATEVALUE(TRIM(MID(SUBSTITUTE(I31,";",REPT(" ",50)),51,50))),0),IFERROR(DATEVALUE(TRIM(MID(SUBSTITUTE(I31,";",REPT(" ",50)),101,50))),0),IFERROR(DATEVALUE(TRIM(MID(SUBSTITUTE(I31,";",REPT(" ",50)),151,50))),0),IFERROR(DATEVALUE(TRIM(MID(SUBSTITUTE(I31,";",REPT(" ",50)),201,50))),0),IFERROR(DATEVALUE(TRIM(MID(SUBSTITUTE(I31,";",REPT(" ",50)),251,50))),0),IFERROR(DATEVALUE(TRIM(MID(SUBSTITUTE(I31,";",REPT(" ",50)),301,50))),0),IFERROR(DATEVALUE(TRIM(MID(SUBSTITUTE(I31,";",REPT(" ",50)),351,50))),0),IFERROR(DATEVALUE(TRIM(MID(SUBSTITUTE(I31,";",REPT(" ",50)),401,50))),0),IFERROR(DATEVALUE(TRIM(MID(SUBSTITUTE(I31,";",REPT(" ",50)),451,50))),0)))</f>
        <v>45996</v>
      </c>
      <c r="L31">
        <f ca="1">IF(K31="","",TODAY()-K31)</f>
        <v>8</v>
      </c>
      <c r="M31" t="s">
        <v>303</v>
      </c>
      <c r="N31">
        <f ca="1">IF(M31="","",IF(L31="",INDEX($F$110:$F$113,MATCH(M31,$C$110:$C$113,0)),IF(L31&lt;=INDEX($D$110:$D$113,MATCH(M31,$C$110:$C$113,0)),0,IF(L31&lt;=INDEX($E$110:$E$113,MATCH(M31,$C$110:$C$113,0)),INDEX($F$110:$F$113,MATCH(M31,$C$110:$C$113,0)),INDEX($G$110:$G$113,MATCH(M31,$C$110:$C$113,0))))))</f>
        <v>0</v>
      </c>
      <c r="O31">
        <f ca="1">G31+N31</f>
        <v>0</v>
      </c>
      <c r="P31" t="str">
        <f>IF(AND(C31="Multiple/structural higher-risk patterns",OR(D31="High",D31="Medium")),"Review Required","No Review")</f>
        <v>No Review</v>
      </c>
      <c r="Q31" t="s">
        <v>1113</v>
      </c>
      <c r="R31" t="s">
        <v>1114</v>
      </c>
    </row>
    <row r="32" spans="1:18" x14ac:dyDescent="0.2">
      <c r="A32" t="s">
        <v>627</v>
      </c>
      <c r="B32" t="s">
        <v>1115</v>
      </c>
      <c r="C32" t="s">
        <v>1116</v>
      </c>
      <c r="D32" t="s">
        <v>163</v>
      </c>
      <c r="E32">
        <v>0</v>
      </c>
      <c r="F32">
        <f>IF(D32="High",0,IF(D32="Medium",0.05,IF(D32="Low",0.1,IF(D32="Unknown",0.15,""))))</f>
        <v>0</v>
      </c>
      <c r="G32">
        <f>E32*(1+F32)</f>
        <v>0</v>
      </c>
      <c r="H32" t="s">
        <v>1117</v>
      </c>
      <c r="I32" t="s">
        <v>1118</v>
      </c>
      <c r="J32" t="s">
        <v>176</v>
      </c>
      <c r="K32">
        <f>IF(I32="","",MAX(IFERROR(DATEVALUE(TRIM(MID(SUBSTITUTE(I32,";",REPT(" ",50)),1,50))),0),IFERROR(DATEVALUE(TRIM(MID(SUBSTITUTE(I32,";",REPT(" ",50)),51,50))),0),IFERROR(DATEVALUE(TRIM(MID(SUBSTITUTE(I32,";",REPT(" ",50)),101,50))),0),IFERROR(DATEVALUE(TRIM(MID(SUBSTITUTE(I32,";",REPT(" ",50)),151,50))),0),IFERROR(DATEVALUE(TRIM(MID(SUBSTITUTE(I32,";",REPT(" ",50)),201,50))),0),IFERROR(DATEVALUE(TRIM(MID(SUBSTITUTE(I32,";",REPT(" ",50)),251,50))),0),IFERROR(DATEVALUE(TRIM(MID(SUBSTITUTE(I32,";",REPT(" ",50)),301,50))),0),IFERROR(DATEVALUE(TRIM(MID(SUBSTITUTE(I32,";",REPT(" ",50)),351,50))),0),IFERROR(DATEVALUE(TRIM(MID(SUBSTITUTE(I32,";",REPT(" ",50)),401,50))),0),IFERROR(DATEVALUE(TRIM(MID(SUBSTITUTE(I32,";",REPT(" ",50)),451,50))),0)))</f>
        <v>45078</v>
      </c>
      <c r="M32" t="s">
        <v>303</v>
      </c>
      <c r="N32">
        <f>IF(M32="","",IF(L32="",INDEX($F$110:$F$113,MATCH(M32,$C$110:$C$113,0)),IF(L32&lt;=INDEX($D$110:$D$113,MATCH(M32,$C$110:$C$113,0)),0,IF(L32&lt;=INDEX($E$110:$E$113,MATCH(M32,$C$110:$C$113,0)),INDEX($F$110:$F$113,MATCH(M32,$C$110:$C$113,0)),INDEX($G$110:$G$113,MATCH(M32,$C$110:$C$113,0))))))</f>
        <v>2</v>
      </c>
      <c r="O32">
        <f>G32+N32</f>
        <v>2</v>
      </c>
      <c r="P32" t="s">
        <v>168</v>
      </c>
      <c r="Q32" t="s">
        <v>863</v>
      </c>
      <c r="R32" t="s">
        <v>1119</v>
      </c>
    </row>
    <row r="33" spans="1:18" x14ac:dyDescent="0.2">
      <c r="A33" s="3"/>
      <c r="B33" s="44"/>
      <c r="C33" s="45"/>
      <c r="D33" s="45"/>
      <c r="E33" s="45"/>
      <c r="F33" s="45"/>
      <c r="G33" s="45"/>
      <c r="H33" s="45"/>
      <c r="I33" s="45"/>
      <c r="J33" s="45"/>
      <c r="K33" s="46"/>
      <c r="L33" s="45"/>
      <c r="M33" s="45"/>
      <c r="N33" s="45"/>
      <c r="O33" s="45"/>
      <c r="P33" s="45"/>
      <c r="Q33" s="45"/>
      <c r="R33" s="45"/>
    </row>
    <row r="34" spans="1:18" x14ac:dyDescent="0.2">
      <c r="A34" t="s">
        <v>268</v>
      </c>
      <c r="B34" t="s">
        <v>1120</v>
      </c>
      <c r="C34" t="s">
        <v>1121</v>
      </c>
      <c r="D34" t="s">
        <v>163</v>
      </c>
      <c r="E34">
        <f>IF(C34="No bridge dependency",0,IF(C34="Peripheral bridge usage only",10,IF(C34="Core functionality depends on bridges",20,IF(C34="Unknown",10,""))))</f>
        <v>10</v>
      </c>
      <c r="F34">
        <f>IF(D34="High",0,IF(D34="Medium",0.05,IF(D34="Low",0.1,IF(D34="Unknown",0.15,""))))</f>
        <v>0</v>
      </c>
      <c r="G34">
        <f>E34*(1+F34)</f>
        <v>10</v>
      </c>
      <c r="H34" t="s">
        <v>1122</v>
      </c>
      <c r="I34" t="s">
        <v>220</v>
      </c>
      <c r="J34" t="s">
        <v>166</v>
      </c>
      <c r="K34" s="24">
        <f>IF(I34="","",MAX(IFERROR(DATEVALUE(TRIM(MID(SUBSTITUTE(I34,";",REPT(" ",50)),1,50))),0),IFERROR(DATEVALUE(TRIM(MID(SUBSTITUTE(I34,";",REPT(" ",50)),51,50))),0),IFERROR(DATEVALUE(TRIM(MID(SUBSTITUTE(I34,";",REPT(" ",50)),101,50))),0),IFERROR(DATEVALUE(TRIM(MID(SUBSTITUTE(I34,";",REPT(" ",50)),151,50))),0),IFERROR(DATEVALUE(TRIM(MID(SUBSTITUTE(I34,";",REPT(" ",50)),201,50))),0),IFERROR(DATEVALUE(TRIM(MID(SUBSTITUTE(I34,";",REPT(" ",50)),251,50))),0),IFERROR(DATEVALUE(TRIM(MID(SUBSTITUTE(I34,";",REPT(" ",50)),301,50))),0),IFERROR(DATEVALUE(TRIM(MID(SUBSTITUTE(I34,";",REPT(" ",50)),351,50))),0),IFERROR(DATEVALUE(TRIM(MID(SUBSTITUTE(I34,";",REPT(" ",50)),401,50))),0),IFERROR(DATEVALUE(TRIM(MID(SUBSTITUTE(I34,";",REPT(" ",50)),451,50))),0)))</f>
        <v>45444</v>
      </c>
      <c r="L34">
        <f ca="1">IF(K34="","",TODAY()-K34)</f>
        <v>560</v>
      </c>
      <c r="M34" t="s">
        <v>167</v>
      </c>
      <c r="N34">
        <f ca="1">IF(M34="","",IF(L34="",INDEX($F$110:$F$113,MATCH(M34,$C$110:$C$113,0)),IF(L34&lt;=INDEX($D$110:$D$113,MATCH(M34,$C$110:$C$113,0)),0,IF(L34&lt;=INDEX($E$110:$E$113,MATCH(M34,$C$110:$C$113,0)),INDEX($F$110:$F$113,MATCH(M34,$C$110:$C$113,0)),INDEX($G$110:$G$113,MATCH(M34,$C$110:$C$113,0))))))</f>
        <v>0</v>
      </c>
      <c r="O34">
        <f ca="1">G34+N34</f>
        <v>10</v>
      </c>
      <c r="P34" t="str">
        <f>IF(AND(C34="Core functionality depends on bridges",OR(D34="High",D34="Medium")),"Review Required","No Review")</f>
        <v>No Review</v>
      </c>
      <c r="Q34" t="s">
        <v>1123</v>
      </c>
      <c r="R34" t="s">
        <v>1124</v>
      </c>
    </row>
    <row r="35" spans="1:18" x14ac:dyDescent="0.2">
      <c r="A35" t="s">
        <v>276</v>
      </c>
      <c r="B35" t="s">
        <v>1125</v>
      </c>
      <c r="C35" t="s">
        <v>1126</v>
      </c>
      <c r="D35" t="s">
        <v>163</v>
      </c>
      <c r="E35">
        <f>IF(C35="Well-established/audited bridge",0,IF(C35="Custom or mixed-quality bridges",10,IF(C35="High-risk/unaudited bridge design",20,IF(C35="Unknown",10,""))))</f>
        <v>0</v>
      </c>
      <c r="F35">
        <f>IF(D35="High",0,IF(D35="Medium",0.05,IF(D35="Low",0.1,IF(D35="Unknown",0.15,""))))</f>
        <v>0</v>
      </c>
      <c r="G35">
        <f>E35*(1+F35)</f>
        <v>0</v>
      </c>
      <c r="H35" t="s">
        <v>1127</v>
      </c>
      <c r="I35" t="s">
        <v>1128</v>
      </c>
      <c r="J35" t="s">
        <v>176</v>
      </c>
      <c r="K35" s="24">
        <f>IF(I35="","",MAX(IFERROR(DATEVALUE(TRIM(MID(SUBSTITUTE(I35,";",REPT(" ",50)),1,50))),0),IFERROR(DATEVALUE(TRIM(MID(SUBSTITUTE(I35,";",REPT(" ",50)),51,50))),0),IFERROR(DATEVALUE(TRIM(MID(SUBSTITUTE(I35,";",REPT(" ",50)),101,50))),0),IFERROR(DATEVALUE(TRIM(MID(SUBSTITUTE(I35,";",REPT(" ",50)),151,50))),0),IFERROR(DATEVALUE(TRIM(MID(SUBSTITUTE(I35,";",REPT(" ",50)),201,50))),0),IFERROR(DATEVALUE(TRIM(MID(SUBSTITUTE(I35,";",REPT(" ",50)),251,50))),0),IFERROR(DATEVALUE(TRIM(MID(SUBSTITUTE(I35,";",REPT(" ",50)),301,50))),0),IFERROR(DATEVALUE(TRIM(MID(SUBSTITUTE(I35,";",REPT(" ",50)),351,50))),0),IFERROR(DATEVALUE(TRIM(MID(SUBSTITUTE(I35,";",REPT(" ",50)),401,50))),0),IFERROR(DATEVALUE(TRIM(MID(SUBSTITUTE(I35,";",REPT(" ",50)),451,50))),0)))</f>
        <v>45566</v>
      </c>
      <c r="L35">
        <f ca="1">IF(K35="","",TODAY()-K35)</f>
        <v>438</v>
      </c>
      <c r="M35" t="s">
        <v>184</v>
      </c>
      <c r="N35">
        <f ca="1">IF(M35="","",IF(L35="",INDEX($F$110:$F$113,MATCH(M35,$C$110:$C$113,0)),IF(L35&lt;=INDEX($D$110:$D$113,MATCH(M35,$C$110:$C$113,0)),0,IF(L35&lt;=INDEX($E$110:$E$113,MATCH(M35,$C$110:$C$113,0)),INDEX($F$110:$F$113,MATCH(M35,$C$110:$C$113,0)),INDEX($G$110:$G$113,MATCH(M35,$C$110:$C$113,0))))))</f>
        <v>6</v>
      </c>
      <c r="O35">
        <f ca="1">G35+N35</f>
        <v>6</v>
      </c>
      <c r="P35" t="str">
        <f>IF(AND(C35="High-risk/unaudited bridge design",OR(D35="High",D35="Medium")),"Review Required","No Review")</f>
        <v>No Review</v>
      </c>
      <c r="Q35" t="s">
        <v>1129</v>
      </c>
      <c r="R35" t="s">
        <v>1130</v>
      </c>
    </row>
    <row r="36" spans="1:18" x14ac:dyDescent="0.2">
      <c r="A36" t="s">
        <v>281</v>
      </c>
      <c r="B36" t="s">
        <v>1131</v>
      </c>
      <c r="C36" t="s">
        <v>1132</v>
      </c>
      <c r="D36" t="s">
        <v>163</v>
      </c>
      <c r="E36">
        <f>IF(C36="Minimal reliance",0,IF(C36="Moderate reliance",10,IF(C36="Heavy/structural reliance",20,IF(C36="Unknown",10,""))))</f>
        <v>0</v>
      </c>
      <c r="F36">
        <f>IF(D36="High",0,IF(D36="Medium",0.05,IF(D36="Low",0.1,IF(D36="Unknown",0.15,""))))</f>
        <v>0</v>
      </c>
      <c r="G36">
        <f>E36*(1+F36)</f>
        <v>0</v>
      </c>
      <c r="H36" t="s">
        <v>1133</v>
      </c>
      <c r="I36" t="s">
        <v>1134</v>
      </c>
      <c r="J36" t="s">
        <v>176</v>
      </c>
      <c r="K36" s="24">
        <f>IF(I36="","",MAX(IFERROR(DATEVALUE(TRIM(MID(SUBSTITUTE(I36,";",REPT(" ",50)),1,50))),0),IFERROR(DATEVALUE(TRIM(MID(SUBSTITUTE(I36,";",REPT(" ",50)),51,50))),0),IFERROR(DATEVALUE(TRIM(MID(SUBSTITUTE(I36,";",REPT(" ",50)),101,50))),0),IFERROR(DATEVALUE(TRIM(MID(SUBSTITUTE(I36,";",REPT(" ",50)),151,50))),0),IFERROR(DATEVALUE(TRIM(MID(SUBSTITUTE(I36,";",REPT(" ",50)),201,50))),0),IFERROR(DATEVALUE(TRIM(MID(SUBSTITUTE(I36,";",REPT(" ",50)),251,50))),0),IFERROR(DATEVALUE(TRIM(MID(SUBSTITUTE(I36,";",REPT(" ",50)),301,50))),0),IFERROR(DATEVALUE(TRIM(MID(SUBSTITUTE(I36,";",REPT(" ",50)),351,50))),0),IFERROR(DATEVALUE(TRIM(MID(SUBSTITUTE(I36,";",REPT(" ",50)),401,50))),0),IFERROR(DATEVALUE(TRIM(MID(SUBSTITUTE(I36,";",REPT(" ",50)),451,50))),0)))</f>
        <v>45616</v>
      </c>
      <c r="L36">
        <f ca="1">IF(K36="","",TODAY()-K36)</f>
        <v>388</v>
      </c>
      <c r="M36" t="s">
        <v>167</v>
      </c>
      <c r="N36">
        <f ca="1">IF(M36="","",IF(L36="",INDEX($F$110:$F$113,MATCH(M36,$C$110:$C$113,0)),IF(L36&lt;=INDEX($D$110:$D$113,MATCH(M36,$C$110:$C$113,0)),0,IF(L36&lt;=INDEX($E$110:$E$113,MATCH(M36,$C$110:$C$113,0)),INDEX($F$110:$F$113,MATCH(M36,$C$110:$C$113,0)),INDEX($G$110:$G$113,MATCH(M36,$C$110:$C$113,0))))))</f>
        <v>0</v>
      </c>
      <c r="O36">
        <f ca="1">G36+N36</f>
        <v>0</v>
      </c>
      <c r="P36" t="s">
        <v>168</v>
      </c>
      <c r="R36" t="s">
        <v>1135</v>
      </c>
    </row>
    <row r="37" spans="1:18" x14ac:dyDescent="0.2">
      <c r="A37" t="s">
        <v>835</v>
      </c>
      <c r="B37" t="s">
        <v>1136</v>
      </c>
      <c r="C37" t="s">
        <v>1137</v>
      </c>
      <c r="D37" t="s">
        <v>163</v>
      </c>
      <c r="E37">
        <v>0</v>
      </c>
      <c r="F37">
        <f>IF(D37="High",0,IF(D37="Medium",0.05,IF(D37="Low",0.1,IF(D37="Unknown",0.15,""))))</f>
        <v>0</v>
      </c>
      <c r="G37">
        <f>E37*(1+F37)</f>
        <v>0</v>
      </c>
      <c r="H37" t="s">
        <v>1138</v>
      </c>
      <c r="I37" t="s">
        <v>1139</v>
      </c>
      <c r="J37" t="s">
        <v>176</v>
      </c>
      <c r="K37">
        <f>IF(I37="","",MAX(IFERROR(DATEVALUE(TRIM(MID(SUBSTITUTE(I37,";",REPT(" ",50)),1,50))),0),IFERROR(DATEVALUE(TRIM(MID(SUBSTITUTE(I37,";",REPT(" ",50)),51,50))),0),IFERROR(DATEVALUE(TRIM(MID(SUBSTITUTE(I37,";",REPT(" ",50)),101,50))),0),IFERROR(DATEVALUE(TRIM(MID(SUBSTITUTE(I37,";",REPT(" ",50)),151,50))),0),IFERROR(DATEVALUE(TRIM(MID(SUBSTITUTE(I37,";",REPT(" ",50)),201,50))),0),IFERROR(DATEVALUE(TRIM(MID(SUBSTITUTE(I37,";",REPT(" ",50)),251,50))),0),IFERROR(DATEVALUE(TRIM(MID(SUBSTITUTE(I37,";",REPT(" ",50)),301,50))),0),IFERROR(DATEVALUE(TRIM(MID(SUBSTITUTE(I37,";",REPT(" ",50)),351,50))),0),IFERROR(DATEVALUE(TRIM(MID(SUBSTITUTE(I37,";",REPT(" ",50)),401,50))),0),IFERROR(DATEVALUE(TRIM(MID(SUBSTITUTE(I37,";",REPT(" ",50)),451,50))),0)))</f>
        <v>45566</v>
      </c>
      <c r="M37" t="s">
        <v>303</v>
      </c>
      <c r="N37">
        <f>IF(M37="","",IF(L37="",INDEX($F$110:$F$113,MATCH(M37,$C$110:$C$113,0)),IF(L37&lt;=INDEX($D$110:$D$113,MATCH(M37,$C$110:$C$113,0)),0,IF(L37&lt;=INDEX($E$110:$E$113,MATCH(M37,$C$110:$C$113,0)),INDEX($F$110:$F$113,MATCH(M37,$C$110:$C$113,0)),INDEX($G$110:$G$113,MATCH(M37,$C$110:$C$113,0))))))</f>
        <v>2</v>
      </c>
      <c r="O37">
        <f>G37+N37</f>
        <v>2</v>
      </c>
      <c r="P37" t="s">
        <v>168</v>
      </c>
      <c r="Q37" t="s">
        <v>863</v>
      </c>
      <c r="R37" t="s">
        <v>1140</v>
      </c>
    </row>
    <row r="38" spans="1:18" x14ac:dyDescent="0.2">
      <c r="A38" s="3"/>
      <c r="B38" s="44"/>
      <c r="C38" s="45"/>
      <c r="D38" s="45"/>
      <c r="E38" s="45"/>
      <c r="F38" s="45"/>
      <c r="G38" s="45"/>
      <c r="H38" s="45"/>
      <c r="I38" s="45"/>
      <c r="J38" s="45"/>
      <c r="K38" s="46"/>
      <c r="L38" s="45"/>
      <c r="M38" s="45"/>
      <c r="N38" s="45"/>
      <c r="O38" s="45"/>
      <c r="P38" s="45"/>
      <c r="Q38" s="45"/>
      <c r="R38" s="45"/>
    </row>
    <row r="39" spans="1:18" x14ac:dyDescent="0.2">
      <c r="A39" t="s">
        <v>310</v>
      </c>
      <c r="B39" t="s">
        <v>1141</v>
      </c>
      <c r="C39" t="s">
        <v>1142</v>
      </c>
      <c r="D39" t="s">
        <v>163</v>
      </c>
      <c r="E39">
        <f>IF(C39="Narrow/well-scoped",0,IF(C39="Moderate",10,IF(C39="Broad/high-impact privileged controls",20,IF(C39="Unknown",10,""))))</f>
        <v>0</v>
      </c>
      <c r="F39">
        <f>IF(D39="High",0,IF(D39="Medium",0.05,IF(D39="Low",0.1,IF(D39="Unknown",0.15,""))))</f>
        <v>0</v>
      </c>
      <c r="G39">
        <f>E39*(1+F39)</f>
        <v>0</v>
      </c>
      <c r="H39" t="s">
        <v>1143</v>
      </c>
      <c r="I39" t="s">
        <v>883</v>
      </c>
      <c r="J39" t="s">
        <v>166</v>
      </c>
      <c r="K39" s="24">
        <f>IF(I39="","",MAX(IFERROR(DATEVALUE(TRIM(MID(SUBSTITUTE(I39,";",REPT(" ",50)),1,50))),0),IFERROR(DATEVALUE(TRIM(MID(SUBSTITUTE(I39,";",REPT(" ",50)),51,50))),0),IFERROR(DATEVALUE(TRIM(MID(SUBSTITUTE(I39,";",REPT(" ",50)),101,50))),0),IFERROR(DATEVALUE(TRIM(MID(SUBSTITUTE(I39,";",REPT(" ",50)),151,50))),0),IFERROR(DATEVALUE(TRIM(MID(SUBSTITUTE(I39,";",REPT(" ",50)),201,50))),0),IFERROR(DATEVALUE(TRIM(MID(SUBSTITUTE(I39,";",REPT(" ",50)),251,50))),0),IFERROR(DATEVALUE(TRIM(MID(SUBSTITUTE(I39,";",REPT(" ",50)),301,50))),0),IFERROR(DATEVALUE(TRIM(MID(SUBSTITUTE(I39,";",REPT(" ",50)),351,50))),0),IFERROR(DATEVALUE(TRIM(MID(SUBSTITUTE(I39,";",REPT(" ",50)),401,50))),0),IFERROR(DATEVALUE(TRIM(MID(SUBSTITUTE(I39,";",REPT(" ",50)),451,50))),0)))</f>
        <v>45931</v>
      </c>
      <c r="L39">
        <f ca="1">IF(K39="","",TODAY()-K39)</f>
        <v>73</v>
      </c>
      <c r="M39" t="s">
        <v>167</v>
      </c>
      <c r="N39">
        <f ca="1">IF(M39="","",IF(L39="",INDEX($F$110:$F$113,MATCH(M39,$C$110:$C$113,0)),IF(L39&lt;=INDEX($D$110:$D$113,MATCH(M39,$C$110:$C$113,0)),0,IF(L39&lt;=INDEX($E$110:$E$113,MATCH(M39,$C$110:$C$113,0)),INDEX($F$110:$F$113,MATCH(M39,$C$110:$C$113,0)),INDEX($G$110:$G$113,MATCH(M39,$C$110:$C$113,0))))))</f>
        <v>0</v>
      </c>
      <c r="O39">
        <f ca="1">G39+N39</f>
        <v>0</v>
      </c>
      <c r="P39" t="s">
        <v>168</v>
      </c>
      <c r="R39" t="s">
        <v>1144</v>
      </c>
    </row>
    <row r="40" spans="1:18" x14ac:dyDescent="0.2">
      <c r="A40" t="s">
        <v>317</v>
      </c>
      <c r="B40" t="s">
        <v>1145</v>
      </c>
      <c r="C40" t="s">
        <v>1146</v>
      </c>
      <c r="D40" t="s">
        <v>197</v>
      </c>
      <c r="E40">
        <f>IF(C40="Controlled pause with multisig/timelock",0,IF(C40="No pause/kill-switch",10,IF(C40="Centralised pause/kill with minimal checks",20,IF(C40="Unknown",10,""))))</f>
        <v>10</v>
      </c>
      <c r="F40">
        <f>IF(D40="High",0,IF(D40="Medium",0.05,IF(D40="Low",0.1,IF(D40="Unknown",0.15,""))))</f>
        <v>0.05</v>
      </c>
      <c r="G40">
        <f>E40*(1+F40)</f>
        <v>10.5</v>
      </c>
      <c r="H40" t="s">
        <v>1147</v>
      </c>
      <c r="I40" t="s">
        <v>792</v>
      </c>
      <c r="J40" t="s">
        <v>166</v>
      </c>
      <c r="K40" s="24">
        <f>IF(I40="","",MAX(IFERROR(DATEVALUE(TRIM(MID(SUBSTITUTE(I40,";",REPT(" ",50)),1,50))),0),IFERROR(DATEVALUE(TRIM(MID(SUBSTITUTE(I40,";",REPT(" ",50)),51,50))),0),IFERROR(DATEVALUE(TRIM(MID(SUBSTITUTE(I40,";",REPT(" ",50)),101,50))),0),IFERROR(DATEVALUE(TRIM(MID(SUBSTITUTE(I40,";",REPT(" ",50)),151,50))),0),IFERROR(DATEVALUE(TRIM(MID(SUBSTITUTE(I40,";",REPT(" ",50)),201,50))),0),IFERROR(DATEVALUE(TRIM(MID(SUBSTITUTE(I40,";",REPT(" ",50)),251,50))),0),IFERROR(DATEVALUE(TRIM(MID(SUBSTITUTE(I40,";",REPT(" ",50)),301,50))),0),IFERROR(DATEVALUE(TRIM(MID(SUBSTITUTE(I40,";",REPT(" ",50)),351,50))),0),IFERROR(DATEVALUE(TRIM(MID(SUBSTITUTE(I40,";",REPT(" ",50)),401,50))),0),IFERROR(DATEVALUE(TRIM(MID(SUBSTITUTE(I40,";",REPT(" ",50)),451,50))),0)))</f>
        <v>45413</v>
      </c>
      <c r="L40">
        <f ca="1">IF(K40="","",TODAY()-K40)</f>
        <v>591</v>
      </c>
      <c r="M40" t="s">
        <v>167</v>
      </c>
      <c r="N40">
        <f ca="1">IF(M40="","",IF(L40="",INDEX($F$110:$F$113,MATCH(M40,$C$110:$C$113,0)),IF(L40&lt;=INDEX($D$110:$D$113,MATCH(M40,$C$110:$C$113,0)),0,IF(L40&lt;=INDEX($E$110:$E$113,MATCH(M40,$C$110:$C$113,0)),INDEX($F$110:$F$113,MATCH(M40,$C$110:$C$113,0)),INDEX($G$110:$G$113,MATCH(M40,$C$110:$C$113,0))))))</f>
        <v>0</v>
      </c>
      <c r="O40">
        <f ca="1">G40+N40</f>
        <v>10.5</v>
      </c>
      <c r="P40" t="str">
        <f>IF(AND(C40="Centralised pause/kill with minimal checks",OR(D40="High",D40="Medium")),"Review Required","No Review")</f>
        <v>No Review</v>
      </c>
      <c r="Q40" t="s">
        <v>1148</v>
      </c>
      <c r="R40" t="s">
        <v>1149</v>
      </c>
    </row>
    <row r="41" spans="1:18" x14ac:dyDescent="0.2">
      <c r="A41" t="s">
        <v>1150</v>
      </c>
      <c r="B41" t="s">
        <v>1151</v>
      </c>
      <c r="C41" t="s">
        <v>1152</v>
      </c>
      <c r="D41" t="s">
        <v>197</v>
      </c>
      <c r="E41">
        <v>0</v>
      </c>
      <c r="F41">
        <f>IF(D41="High",0,IF(D41="Medium",0.05,IF(D41="Low",0.1,IF(D41="Unknown",0.15,""))))</f>
        <v>0.05</v>
      </c>
      <c r="G41">
        <f>E41*(1+F41)</f>
        <v>0</v>
      </c>
      <c r="H41" t="s">
        <v>1153</v>
      </c>
      <c r="I41" t="s">
        <v>1154</v>
      </c>
      <c r="J41" t="s">
        <v>176</v>
      </c>
      <c r="K41">
        <f>IF(I41="","",MAX(IFERROR(DATEVALUE(TRIM(MID(SUBSTITUTE(I41,";",REPT(" ",50)),1,50))),0),IFERROR(DATEVALUE(TRIM(MID(SUBSTITUTE(I41,";",REPT(" ",50)),51,50))),0),IFERROR(DATEVALUE(TRIM(MID(SUBSTITUTE(I41,";",REPT(" ",50)),101,50))),0),IFERROR(DATEVALUE(TRIM(MID(SUBSTITUTE(I41,";",REPT(" ",50)),151,50))),0),IFERROR(DATEVALUE(TRIM(MID(SUBSTITUTE(I41,";",REPT(" ",50)),201,50))),0),IFERROR(DATEVALUE(TRIM(MID(SUBSTITUTE(I41,";",REPT(" ",50)),251,50))),0),IFERROR(DATEVALUE(TRIM(MID(SUBSTITUTE(I41,";",REPT(" ",50)),301,50))),0),IFERROR(DATEVALUE(TRIM(MID(SUBSTITUTE(I41,";",REPT(" ",50)),351,50))),0),IFERROR(DATEVALUE(TRIM(MID(SUBSTITUTE(I41,";",REPT(" ",50)),401,50))),0),IFERROR(DATEVALUE(TRIM(MID(SUBSTITUTE(I41,";",REPT(" ",50)),451,50))),0)))</f>
        <v>45566</v>
      </c>
      <c r="M41" t="s">
        <v>167</v>
      </c>
      <c r="N41">
        <f>IF(M41="","",IF(L41="",INDEX($F$110:$F$113,MATCH(M41,$C$110:$C$113,0)),IF(L41&lt;=INDEX($D$110:$D$113,MATCH(M41,$C$110:$C$113,0)),0,IF(L41&lt;=INDEX($E$110:$E$113,MATCH(M41,$C$110:$C$113,0)),INDEX($F$110:$F$113,MATCH(M41,$C$110:$C$113,0)),INDEX($G$110:$G$113,MATCH(M41,$C$110:$C$113,0))))))</f>
        <v>0</v>
      </c>
      <c r="O41">
        <f>G41+N41</f>
        <v>0</v>
      </c>
      <c r="P41" t="s">
        <v>168</v>
      </c>
      <c r="Q41" t="s">
        <v>863</v>
      </c>
      <c r="R41" t="s">
        <v>1155</v>
      </c>
    </row>
    <row r="42" spans="1:18" x14ac:dyDescent="0.2">
      <c r="A42" s="4"/>
      <c r="B42" s="5" t="s">
        <v>1156</v>
      </c>
      <c r="C42" s="4"/>
      <c r="D42" s="4"/>
      <c r="E42" s="4"/>
      <c r="F42" s="4"/>
      <c r="G42" s="4"/>
      <c r="H42" s="4"/>
      <c r="I42" s="4"/>
      <c r="J42" s="4"/>
      <c r="K42" s="23" t="str">
        <f>IF(I42="","",MAX(IFERROR(DATEVALUE(TRIM(MID(SUBSTITUTE(I42,";",REPT(" ",50)),1,50))),0),IFERROR(DATEVALUE(TRIM(MID(SUBSTITUTE(I42,";",REPT(" ",50)),51,50))),0),IFERROR(DATEVALUE(TRIM(MID(SUBSTITUTE(I42,";",REPT(" ",50)),101,50))),0),IFERROR(DATEVALUE(TRIM(MID(SUBSTITUTE(I42,";",REPT(" ",50)),151,50))),0),IFERROR(DATEVALUE(TRIM(MID(SUBSTITUTE(I42,";",REPT(" ",50)),201,50))),0),IFERROR(DATEVALUE(TRIM(MID(SUBSTITUTE(I42,";",REPT(" ",50)),251,50))),0),IFERROR(DATEVALUE(TRIM(MID(SUBSTITUTE(I42,";",REPT(" ",50)),301,50))),0),IFERROR(DATEVALUE(TRIM(MID(SUBSTITUTE(I42,";",REPT(" ",50)),351,50))),0),IFERROR(DATEVALUE(TRIM(MID(SUBSTITUTE(I42,";",REPT(" ",50)),401,50))),0),IFERROR(DATEVALUE(TRIM(MID(SUBSTITUTE(I42,";",REPT(" ",50)),451,50))),0)))</f>
        <v/>
      </c>
      <c r="L42" s="4"/>
      <c r="M42" s="4"/>
      <c r="N42" s="4" t="str">
        <f>IF(M42="","",IF(L42="",INDEX($F$110:$F$113,MATCH(M42,$C$110:$C$113,0)),IF(L42&lt;=INDEX($D$110:$D$113,MATCH(M42,$C$110:$C$113,0)),0,IF(L42&lt;=INDEX($E$110:$E$113,MATCH(M42,$C$110:$C$113,0)),INDEX($F$110:$F$113,MATCH(M42,$C$110:$C$113,0)),INDEX($G$110:$G$113,MATCH(M42,$C$110:$C$113,0))))))</f>
        <v/>
      </c>
      <c r="O42" s="4"/>
      <c r="P42" s="4"/>
      <c r="Q42" s="4"/>
      <c r="R42" s="4"/>
    </row>
    <row r="43" spans="1:18" x14ac:dyDescent="0.2">
      <c r="A43" s="3"/>
      <c r="B43" s="44"/>
      <c r="C43" s="45"/>
      <c r="D43" s="45"/>
      <c r="E43" s="45"/>
      <c r="F43" s="45"/>
      <c r="G43" s="45"/>
      <c r="H43" s="45"/>
      <c r="I43" s="45"/>
      <c r="J43" s="45"/>
      <c r="K43" s="46"/>
      <c r="L43" s="45"/>
      <c r="M43" s="45"/>
      <c r="N43" s="45"/>
      <c r="O43" s="45"/>
      <c r="P43" s="45"/>
      <c r="Q43" s="45"/>
      <c r="R43" s="45"/>
    </row>
    <row r="44" spans="1:18" x14ac:dyDescent="0.2">
      <c r="A44" t="s">
        <v>634</v>
      </c>
      <c r="B44" t="s">
        <v>1157</v>
      </c>
      <c r="C44" t="s">
        <v>1158</v>
      </c>
      <c r="D44" t="s">
        <v>197</v>
      </c>
      <c r="E44">
        <f>IF(C44="Fully disclosed",0,IF(C44="Partially disclosed",10,IF(C44="Poorly disclosed/unclear",20,IF(C44="Unknown",10,""))))</f>
        <v>10</v>
      </c>
      <c r="F44">
        <f>IF(D44="High",0,IF(D44="Medium",0.05,IF(D44="Low",0.1,IF(D44="Unknown",0.15,""))))</f>
        <v>0.05</v>
      </c>
      <c r="G44">
        <f>E44*(1+F44)</f>
        <v>10.5</v>
      </c>
      <c r="H44" t="s">
        <v>1159</v>
      </c>
      <c r="I44" t="s">
        <v>1160</v>
      </c>
      <c r="J44" t="s">
        <v>176</v>
      </c>
      <c r="K44" s="24">
        <f>IF(I44="","",MAX(IFERROR(DATEVALUE(TRIM(MID(SUBSTITUTE(I44,";",REPT(" ",50)),1,50))),0),IFERROR(DATEVALUE(TRIM(MID(SUBSTITUTE(I44,";",REPT(" ",50)),51,50))),0),IFERROR(DATEVALUE(TRIM(MID(SUBSTITUTE(I44,";",REPT(" ",50)),101,50))),0),IFERROR(DATEVALUE(TRIM(MID(SUBSTITUTE(I44,";",REPT(" ",50)),151,50))),0),IFERROR(DATEVALUE(TRIM(MID(SUBSTITUTE(I44,";",REPT(" ",50)),201,50))),0),IFERROR(DATEVALUE(TRIM(MID(SUBSTITUTE(I44,";",REPT(" ",50)),251,50))),0),IFERROR(DATEVALUE(TRIM(MID(SUBSTITUTE(I44,";",REPT(" ",50)),301,50))),0),IFERROR(DATEVALUE(TRIM(MID(SUBSTITUTE(I44,";",REPT(" ",50)),351,50))),0),IFERROR(DATEVALUE(TRIM(MID(SUBSTITUTE(I44,";",REPT(" ",50)),401,50))),0),IFERROR(DATEVALUE(TRIM(MID(SUBSTITUTE(I44,";",REPT(" ",50)),451,50))),0)))</f>
        <v>45911</v>
      </c>
      <c r="L44">
        <f ca="1">IF(K44="","",TODAY()-K44)</f>
        <v>93</v>
      </c>
      <c r="M44" t="s">
        <v>167</v>
      </c>
      <c r="N44">
        <f ca="1">IF(M44="","",IF(L44="",INDEX($F$110:$F$113,MATCH(M44,$C$110:$C$113,0)),IF(L44&lt;=INDEX($D$110:$D$113,MATCH(M44,$C$110:$C$113,0)),0,IF(L44&lt;=INDEX($E$110:$E$113,MATCH(M44,$C$110:$C$113,0)),INDEX($F$110:$F$113,MATCH(M44,$C$110:$C$113,0)),INDEX($G$110:$G$113,MATCH(M44,$C$110:$C$113,0))))))</f>
        <v>0</v>
      </c>
      <c r="O44">
        <f ca="1">G44+N44</f>
        <v>10.5</v>
      </c>
      <c r="P44" t="str">
        <f>IF(AND(C44="Poorly disclosed/unclear",OR(D44="High",D44="Medium")),"Review Required","No Review")</f>
        <v>No Review</v>
      </c>
      <c r="Q44" t="s">
        <v>1161</v>
      </c>
      <c r="R44" t="s">
        <v>1162</v>
      </c>
    </row>
    <row r="45" spans="1:18" x14ac:dyDescent="0.2">
      <c r="A45" t="s">
        <v>640</v>
      </c>
      <c r="B45" t="s">
        <v>1163</v>
      </c>
      <c r="C45" t="s">
        <v>1164</v>
      </c>
      <c r="D45" t="s">
        <v>163</v>
      </c>
      <c r="E45">
        <f>IF(C45="Decentralised (multisig/DAO)",0,IF(C45="Moderately centralised",10,IF(C45="Highly centralised (1–2 individuals)",20,IF(C45="Unknown",10,""))))</f>
        <v>0</v>
      </c>
      <c r="F45">
        <f>IF(D45="High",0,IF(D45="Medium",0.05,IF(D45="Low",0.1,IF(D45="Unknown",0.15,""))))</f>
        <v>0</v>
      </c>
      <c r="G45">
        <f>E45*(1+F45)</f>
        <v>0</v>
      </c>
      <c r="H45" t="s">
        <v>1165</v>
      </c>
      <c r="I45" t="s">
        <v>1166</v>
      </c>
      <c r="J45" t="s">
        <v>176</v>
      </c>
      <c r="K45" s="24">
        <f>IF(I45="","",MAX(IFERROR(DATEVALUE(TRIM(MID(SUBSTITUTE(I45,";",REPT(" ",50)),1,50))),0),IFERROR(DATEVALUE(TRIM(MID(SUBSTITUTE(I45,";",REPT(" ",50)),51,50))),0),IFERROR(DATEVALUE(TRIM(MID(SUBSTITUTE(I45,";",REPT(" ",50)),101,50))),0),IFERROR(DATEVALUE(TRIM(MID(SUBSTITUTE(I45,";",REPT(" ",50)),151,50))),0),IFERROR(DATEVALUE(TRIM(MID(SUBSTITUTE(I45,";",REPT(" ",50)),201,50))),0),IFERROR(DATEVALUE(TRIM(MID(SUBSTITUTE(I45,";",REPT(" ",50)),251,50))),0),IFERROR(DATEVALUE(TRIM(MID(SUBSTITUTE(I45,";",REPT(" ",50)),301,50))),0),IFERROR(DATEVALUE(TRIM(MID(SUBSTITUTE(I45,";",REPT(" ",50)),351,50))),0),IFERROR(DATEVALUE(TRIM(MID(SUBSTITUTE(I45,";",REPT(" ",50)),401,50))),0),IFERROR(DATEVALUE(TRIM(MID(SUBSTITUTE(I45,";",REPT(" ",50)),451,50))),0)))</f>
        <v>45627</v>
      </c>
      <c r="L45">
        <f ca="1">IF(K45="","",TODAY()-K45)</f>
        <v>377</v>
      </c>
      <c r="M45" t="s">
        <v>167</v>
      </c>
      <c r="N45">
        <f ca="1">IF(M45="","",IF(L45="",INDEX($F$110:$F$113,MATCH(M45,$C$110:$C$113,0)),IF(L45&lt;=INDEX($D$110:$D$113,MATCH(M45,$C$110:$C$113,0)),0,IF(L45&lt;=INDEX($E$110:$E$113,MATCH(M45,$C$110:$C$113,0)),INDEX($F$110:$F$113,MATCH(M45,$C$110:$C$113,0)),INDEX($G$110:$G$113,MATCH(M45,$C$110:$C$113,0))))))</f>
        <v>0</v>
      </c>
      <c r="O45">
        <f ca="1">G45+N45</f>
        <v>0</v>
      </c>
      <c r="P45" t="s">
        <v>168</v>
      </c>
      <c r="R45" t="s">
        <v>1167</v>
      </c>
    </row>
    <row r="46" spans="1:18" x14ac:dyDescent="0.2">
      <c r="A46" t="s">
        <v>645</v>
      </c>
      <c r="B46" t="s">
        <v>1168</v>
      </c>
      <c r="C46" t="s">
        <v>1169</v>
      </c>
      <c r="D46" t="s">
        <v>163</v>
      </c>
      <c r="E46">
        <f>IF(C46="Narrow",0,IF(C46="Moderate",10,IF(C46="Broad/high-impact",20,IF(C46="Unknown",10,""))))</f>
        <v>20</v>
      </c>
      <c r="F46">
        <f>IF(D46="High",0,IF(D46="Medium",0.05,IF(D46="Low",0.1,IF(D46="Unknown",0.15,""))))</f>
        <v>0</v>
      </c>
      <c r="G46">
        <f>E46*(1+F46)</f>
        <v>20</v>
      </c>
      <c r="H46" t="s">
        <v>1170</v>
      </c>
      <c r="I46" t="s">
        <v>1171</v>
      </c>
      <c r="J46" t="s">
        <v>176</v>
      </c>
      <c r="K46" s="24">
        <f>IF(I46="","",MAX(IFERROR(DATEVALUE(TRIM(MID(SUBSTITUTE(I46,";",REPT(" ",50)),1,50))),0),IFERROR(DATEVALUE(TRIM(MID(SUBSTITUTE(I46,";",REPT(" ",50)),51,50))),0),IFERROR(DATEVALUE(TRIM(MID(SUBSTITUTE(I46,";",REPT(" ",50)),101,50))),0),IFERROR(DATEVALUE(TRIM(MID(SUBSTITUTE(I46,";",REPT(" ",50)),151,50))),0),IFERROR(DATEVALUE(TRIM(MID(SUBSTITUTE(I46,";",REPT(" ",50)),201,50))),0),IFERROR(DATEVALUE(TRIM(MID(SUBSTITUTE(I46,";",REPT(" ",50)),251,50))),0),IFERROR(DATEVALUE(TRIM(MID(SUBSTITUTE(I46,";",REPT(" ",50)),301,50))),0),IFERROR(DATEVALUE(TRIM(MID(SUBSTITUTE(I46,";",REPT(" ",50)),351,50))),0),IFERROR(DATEVALUE(TRIM(MID(SUBSTITUTE(I46,";",REPT(" ",50)),401,50))),0),IFERROR(DATEVALUE(TRIM(MID(SUBSTITUTE(I46,";",REPT(" ",50)),451,50))),0)))</f>
        <v>45628</v>
      </c>
      <c r="L46">
        <f ca="1">IF(K46="","",TODAY()-K46)</f>
        <v>376</v>
      </c>
      <c r="M46" t="s">
        <v>167</v>
      </c>
      <c r="N46">
        <f ca="1">IF(M46="","",IF(L46="",INDEX($F$110:$F$113,MATCH(M46,$C$110:$C$113,0)),IF(L46&lt;=INDEX($D$110:$D$113,MATCH(M46,$C$110:$C$113,0)),0,IF(L46&lt;=INDEX($E$110:$E$113,MATCH(M46,$C$110:$C$113,0)),INDEX($F$110:$F$113,MATCH(M46,$C$110:$C$113,0)),INDEX($G$110:$G$113,MATCH(M46,$C$110:$C$113,0))))))</f>
        <v>0</v>
      </c>
      <c r="O46">
        <f ca="1">G46+N46</f>
        <v>20</v>
      </c>
      <c r="P46" t="str">
        <f>IF(AND(C46="Broad/high-impact",OR(D46="High",D46="Medium")),"Review Required","No Review")</f>
        <v>Review Required</v>
      </c>
      <c r="Q46" t="s">
        <v>1172</v>
      </c>
      <c r="R46" t="s">
        <v>1173</v>
      </c>
    </row>
    <row r="47" spans="1:18" x14ac:dyDescent="0.2">
      <c r="A47" t="s">
        <v>672</v>
      </c>
      <c r="B47" t="s">
        <v>1174</v>
      </c>
      <c r="C47" t="s">
        <v>1175</v>
      </c>
      <c r="D47" t="s">
        <v>163</v>
      </c>
      <c r="E47">
        <v>0</v>
      </c>
      <c r="F47">
        <f>IF(D47="High",0,IF(D47="Medium",0.05,IF(D47="Low",0.1,IF(D47="Unknown",0.15,""))))</f>
        <v>0</v>
      </c>
      <c r="G47">
        <f>E47*(1+F47)</f>
        <v>0</v>
      </c>
      <c r="H47" t="s">
        <v>1176</v>
      </c>
      <c r="I47" t="s">
        <v>1177</v>
      </c>
      <c r="J47" t="s">
        <v>176</v>
      </c>
      <c r="K47">
        <f>IF(I47="","",MAX(IFERROR(DATEVALUE(TRIM(MID(SUBSTITUTE(I47,";",REPT(" ",50)),1,50))),0),IFERROR(DATEVALUE(TRIM(MID(SUBSTITUTE(I47,";",REPT(" ",50)),51,50))),0),IFERROR(DATEVALUE(TRIM(MID(SUBSTITUTE(I47,";",REPT(" ",50)),101,50))),0),IFERROR(DATEVALUE(TRIM(MID(SUBSTITUTE(I47,";",REPT(" ",50)),151,50))),0),IFERROR(DATEVALUE(TRIM(MID(SUBSTITUTE(I47,";",REPT(" ",50)),201,50))),0),IFERROR(DATEVALUE(TRIM(MID(SUBSTITUTE(I47,";",REPT(" ",50)),251,50))),0),IFERROR(DATEVALUE(TRIM(MID(SUBSTITUTE(I47,";",REPT(" ",50)),301,50))),0),IFERROR(DATEVALUE(TRIM(MID(SUBSTITUTE(I47,";",REPT(" ",50)),351,50))),0),IFERROR(DATEVALUE(TRIM(MID(SUBSTITUTE(I47,";",REPT(" ",50)),401,50))),0),IFERROR(DATEVALUE(TRIM(MID(SUBSTITUTE(I47,";",REPT(" ",50)),451,50))),0)))</f>
        <v>46002</v>
      </c>
      <c r="M47" t="s">
        <v>167</v>
      </c>
      <c r="N47">
        <f>IF(M47="","",IF(L47="",INDEX($F$110:$F$113,MATCH(M47,$C$110:$C$113,0)),IF(L47&lt;=INDEX($D$110:$D$113,MATCH(M47,$C$110:$C$113,0)),0,IF(L47&lt;=INDEX($E$110:$E$113,MATCH(M47,$C$110:$C$113,0)),INDEX($F$110:$F$113,MATCH(M47,$C$110:$C$113,0)),INDEX($G$110:$G$113,MATCH(M47,$C$110:$C$113,0))))))</f>
        <v>0</v>
      </c>
      <c r="O47">
        <f>G47+N47</f>
        <v>0</v>
      </c>
      <c r="P47" t="s">
        <v>168</v>
      </c>
      <c r="Q47" t="s">
        <v>863</v>
      </c>
      <c r="R47" t="s">
        <v>1178</v>
      </c>
    </row>
    <row r="48" spans="1:18" x14ac:dyDescent="0.2">
      <c r="A48" s="3"/>
      <c r="B48" s="44"/>
      <c r="C48" s="45"/>
      <c r="D48" s="45"/>
      <c r="E48" s="45"/>
      <c r="F48" s="45"/>
      <c r="G48" s="45"/>
      <c r="H48" s="45"/>
      <c r="I48" s="45"/>
      <c r="J48" s="45"/>
      <c r="K48" s="46"/>
      <c r="L48" s="45"/>
      <c r="M48" s="45"/>
      <c r="N48" s="45"/>
      <c r="O48" s="45"/>
      <c r="P48" s="45"/>
      <c r="Q48" s="45"/>
      <c r="R48" s="45"/>
    </row>
    <row r="49" spans="1:18" x14ac:dyDescent="0.2">
      <c r="A49" t="s">
        <v>865</v>
      </c>
      <c r="B49" t="s">
        <v>1179</v>
      </c>
      <c r="C49" t="s">
        <v>1180</v>
      </c>
      <c r="D49" t="s">
        <v>197</v>
      </c>
      <c r="E49">
        <f>IF(C49="Yes – main control path",0,IF(C49="Yes – partial control",10,IF(C49="No multisig",20,IF(C49="Unknown",10,""))))</f>
        <v>20</v>
      </c>
      <c r="F49">
        <f>IF(D49="High",0,IF(D49="Medium",0.05,IF(D49="Low",0.1,IF(D49="Unknown",0.15,""))))</f>
        <v>0.05</v>
      </c>
      <c r="G49">
        <f>E49*(1+F49)</f>
        <v>21</v>
      </c>
      <c r="H49" t="s">
        <v>1147</v>
      </c>
      <c r="I49" t="s">
        <v>165</v>
      </c>
      <c r="J49" t="s">
        <v>166</v>
      </c>
      <c r="K49" s="24">
        <f>IF(I49="","",MAX(IFERROR(DATEVALUE(TRIM(MID(SUBSTITUTE(I49,";",REPT(" ",50)),1,50))),0),IFERROR(DATEVALUE(TRIM(MID(SUBSTITUTE(I49,";",REPT(" ",50)),51,50))),0),IFERROR(DATEVALUE(TRIM(MID(SUBSTITUTE(I49,";",REPT(" ",50)),101,50))),0),IFERROR(DATEVALUE(TRIM(MID(SUBSTITUTE(I49,";",REPT(" ",50)),151,50))),0),IFERROR(DATEVALUE(TRIM(MID(SUBSTITUTE(I49,";",REPT(" ",50)),201,50))),0),IFERROR(DATEVALUE(TRIM(MID(SUBSTITUTE(I49,";",REPT(" ",50)),251,50))),0),IFERROR(DATEVALUE(TRIM(MID(SUBSTITUTE(I49,";",REPT(" ",50)),301,50))),0),IFERROR(DATEVALUE(TRIM(MID(SUBSTITUTE(I49,";",REPT(" ",50)),351,50))),0),IFERROR(DATEVALUE(TRIM(MID(SUBSTITUTE(I49,";",REPT(" ",50)),401,50))),0),IFERROR(DATEVALUE(TRIM(MID(SUBSTITUTE(I49,";",REPT(" ",50)),451,50))),0)))</f>
        <v>45078</v>
      </c>
      <c r="L49">
        <f ca="1">IF(K49="","",TODAY()-K49)</f>
        <v>926</v>
      </c>
      <c r="M49" t="s">
        <v>184</v>
      </c>
      <c r="N49">
        <f ca="1">IF(M49="","",IF(L49="",INDEX($F$110:$F$113,MATCH(M49,$C$110:$C$113,0)),IF(L49&lt;=INDEX($D$110:$D$113,MATCH(M49,$C$110:$C$113,0)),0,IF(L49&lt;=INDEX($E$110:$E$113,MATCH(M49,$C$110:$C$113,0)),INDEX($F$110:$F$113,MATCH(M49,$C$110:$C$113,0)),INDEX($G$110:$G$113,MATCH(M49,$C$110:$C$113,0))))))</f>
        <v>6</v>
      </c>
      <c r="O49">
        <f ca="1">G49+N49</f>
        <v>27</v>
      </c>
      <c r="P49" t="s">
        <v>168</v>
      </c>
      <c r="R49" t="s">
        <v>1181</v>
      </c>
    </row>
    <row r="50" spans="1:18" x14ac:dyDescent="0.2">
      <c r="A50" t="s">
        <v>872</v>
      </c>
      <c r="B50" t="s">
        <v>1182</v>
      </c>
      <c r="C50" t="s">
        <v>319</v>
      </c>
      <c r="D50" t="s">
        <v>197</v>
      </c>
      <c r="E50">
        <f>IF(C50="Strong threshold (≥⅔)",0,IF(C50="Moderate threshold (~50%)",10,IF(C50="Weak threshold (&lt;50%)",20,IF(C50="Unknown",10,""))))</f>
        <v>10</v>
      </c>
      <c r="F50">
        <f>IF(D50="High",0,IF(D50="Medium",0.05,IF(D50="Low",0.1,IF(D50="Unknown",0.15,""))))</f>
        <v>0.05</v>
      </c>
      <c r="G50">
        <f>E50*(1+F50)</f>
        <v>10.5</v>
      </c>
      <c r="H50" t="s">
        <v>1183</v>
      </c>
      <c r="I50" t="s">
        <v>1184</v>
      </c>
      <c r="J50" t="s">
        <v>166</v>
      </c>
      <c r="K50" s="24">
        <f>IF(I50="","",MAX(IFERROR(DATEVALUE(TRIM(MID(SUBSTITUTE(I50,";",REPT(" ",50)),1,50))),0),IFERROR(DATEVALUE(TRIM(MID(SUBSTITUTE(I50,";",REPT(" ",50)),51,50))),0),IFERROR(DATEVALUE(TRIM(MID(SUBSTITUTE(I50,";",REPT(" ",50)),101,50))),0),IFERROR(DATEVALUE(TRIM(MID(SUBSTITUTE(I50,";",REPT(" ",50)),151,50))),0),IFERROR(DATEVALUE(TRIM(MID(SUBSTITUTE(I50,";",REPT(" ",50)),201,50))),0),IFERROR(DATEVALUE(TRIM(MID(SUBSTITUTE(I50,";",REPT(" ",50)),251,50))),0),IFERROR(DATEVALUE(TRIM(MID(SUBSTITUTE(I50,";",REPT(" ",50)),301,50))),0),IFERROR(DATEVALUE(TRIM(MID(SUBSTITUTE(I50,";",REPT(" ",50)),351,50))),0),IFERROR(DATEVALUE(TRIM(MID(SUBSTITUTE(I50,";",REPT(" ",50)),401,50))),0),IFERROR(DATEVALUE(TRIM(MID(SUBSTITUTE(I50,";",REPT(" ",50)),451,50))),0)))</f>
        <v>45611</v>
      </c>
      <c r="L50">
        <f ca="1">IF(K50="","",TODAY()-K50)</f>
        <v>393</v>
      </c>
      <c r="M50" t="s">
        <v>184</v>
      </c>
      <c r="N50">
        <f ca="1">IF(M50="","",IF(L50="",INDEX($F$110:$F$113,MATCH(M50,$C$110:$C$113,0)),IF(L50&lt;=INDEX($D$110:$D$113,MATCH(M50,$C$110:$C$113,0)),0,IF(L50&lt;=INDEX($E$110:$E$113,MATCH(M50,$C$110:$C$113,0)),INDEX($F$110:$F$113,MATCH(M50,$C$110:$C$113,0)),INDEX($G$110:$G$113,MATCH(M50,$C$110:$C$113,0))))))</f>
        <v>6</v>
      </c>
      <c r="O50">
        <f ca="1">G50+N50</f>
        <v>16.5</v>
      </c>
      <c r="P50" t="s">
        <v>168</v>
      </c>
      <c r="R50" t="s">
        <v>1185</v>
      </c>
    </row>
    <row r="51" spans="1:18" x14ac:dyDescent="0.2">
      <c r="A51" t="s">
        <v>879</v>
      </c>
      <c r="B51" t="s">
        <v>1186</v>
      </c>
      <c r="C51" t="s">
        <v>1187</v>
      </c>
      <c r="D51" t="s">
        <v>197</v>
      </c>
      <c r="E51">
        <f>IF(C51="Fully transparent",0,IF(C51="Partial transparency",10,IF(C51="Opaque/unknown signers",20,IF(C51="Unknown",10,""))))</f>
        <v>20</v>
      </c>
      <c r="F51">
        <f>IF(D51="High",0,IF(D51="Medium",0.05,IF(D51="Low",0.1,IF(D51="Unknown",0.15,""))))</f>
        <v>0.05</v>
      </c>
      <c r="G51">
        <f>E51*(1+F51)</f>
        <v>21</v>
      </c>
      <c r="K51" s="24" t="str">
        <f>IF(I51="","",MAX(IFERROR(DATEVALUE(TRIM(MID(SUBSTITUTE(I51,";",REPT(" ",50)),1,50))),0),IFERROR(DATEVALUE(TRIM(MID(SUBSTITUTE(I51,";",REPT(" ",50)),51,50))),0),IFERROR(DATEVALUE(TRIM(MID(SUBSTITUTE(I51,";",REPT(" ",50)),101,50))),0),IFERROR(DATEVALUE(TRIM(MID(SUBSTITUTE(I51,";",REPT(" ",50)),151,50))),0),IFERROR(DATEVALUE(TRIM(MID(SUBSTITUTE(I51,";",REPT(" ",50)),201,50))),0),IFERROR(DATEVALUE(TRIM(MID(SUBSTITUTE(I51,";",REPT(" ",50)),251,50))),0),IFERROR(DATEVALUE(TRIM(MID(SUBSTITUTE(I51,";",REPT(" ",50)),301,50))),0),IFERROR(DATEVALUE(TRIM(MID(SUBSTITUTE(I51,";",REPT(" ",50)),351,50))),0),IFERROR(DATEVALUE(TRIM(MID(SUBSTITUTE(I51,";",REPT(" ",50)),401,50))),0),IFERROR(DATEVALUE(TRIM(MID(SUBSTITUTE(I51,";",REPT(" ",50)),451,50))),0)))</f>
        <v/>
      </c>
      <c r="L51" t="str">
        <f ca="1">IF(K51="","",TODAY()-K51)</f>
        <v/>
      </c>
      <c r="M51" t="s">
        <v>303</v>
      </c>
      <c r="N51">
        <f ca="1">IF(M51="","",IF(L51="",INDEX($F$110:$F$113,MATCH(M51,$C$110:$C$113,0)),IF(L51&lt;=INDEX($D$110:$D$113,MATCH(M51,$C$110:$C$113,0)),0,IF(L51&lt;=INDEX($E$110:$E$113,MATCH(M51,$C$110:$C$113,0)),INDEX($F$110:$F$113,MATCH(M51,$C$110:$C$113,0)),INDEX($G$110:$G$113,MATCH(M51,$C$110:$C$113,0))))))</f>
        <v>2</v>
      </c>
      <c r="O51">
        <f ca="1">G51+N51</f>
        <v>23</v>
      </c>
      <c r="P51" t="s">
        <v>168</v>
      </c>
      <c r="R51" t="s">
        <v>1188</v>
      </c>
    </row>
    <row r="52" spans="1:18" x14ac:dyDescent="0.2">
      <c r="A52" t="s">
        <v>886</v>
      </c>
      <c r="B52" t="s">
        <v>1189</v>
      </c>
      <c r="C52" t="s">
        <v>1190</v>
      </c>
      <c r="D52" t="s">
        <v>197</v>
      </c>
      <c r="E52">
        <v>0</v>
      </c>
      <c r="F52">
        <f>IF(D52="High",0,IF(D52="Medium",0.05,IF(D52="Low",0.1,IF(D52="Unknown",0.15,""))))</f>
        <v>0.05</v>
      </c>
      <c r="G52">
        <f>E52*(1+F52)</f>
        <v>0</v>
      </c>
      <c r="H52" t="s">
        <v>1191</v>
      </c>
      <c r="I52" t="s">
        <v>1192</v>
      </c>
      <c r="J52" t="s">
        <v>166</v>
      </c>
      <c r="K52">
        <f>IF(I52="","",MAX(IFERROR(DATEVALUE(TRIM(MID(SUBSTITUTE(I52,";",REPT(" ",50)),1,50))),0),IFERROR(DATEVALUE(TRIM(MID(SUBSTITUTE(I52,";",REPT(" ",50)),51,50))),0),IFERROR(DATEVALUE(TRIM(MID(SUBSTITUTE(I52,";",REPT(" ",50)),101,50))),0),IFERROR(DATEVALUE(TRIM(MID(SUBSTITUTE(I52,";",REPT(" ",50)),151,50))),0),IFERROR(DATEVALUE(TRIM(MID(SUBSTITUTE(I52,";",REPT(" ",50)),201,50))),0),IFERROR(DATEVALUE(TRIM(MID(SUBSTITUTE(I52,";",REPT(" ",50)),251,50))),0),IFERROR(DATEVALUE(TRIM(MID(SUBSTITUTE(I52,";",REPT(" ",50)),301,50))),0),IFERROR(DATEVALUE(TRIM(MID(SUBSTITUTE(I52,";",REPT(" ",50)),351,50))),0),IFERROR(DATEVALUE(TRIM(MID(SUBSTITUTE(I52,";",REPT(" ",50)),401,50))),0),IFERROR(DATEVALUE(TRIM(MID(SUBSTITUTE(I52,";",REPT(" ",50)),451,50))),0)))</f>
        <v>44621</v>
      </c>
      <c r="M52" t="s">
        <v>303</v>
      </c>
      <c r="N52">
        <f>IF(M52="","",IF(L52="",INDEX($F$110:$F$113,MATCH(M52,$C$110:$C$113,0)),IF(L52&lt;=INDEX($D$110:$D$113,MATCH(M52,$C$110:$C$113,0)),0,IF(L52&lt;=INDEX($E$110:$E$113,MATCH(M52,$C$110:$C$113,0)),INDEX($F$110:$F$113,MATCH(M52,$C$110:$C$113,0)),INDEX($G$110:$G$113,MATCH(M52,$C$110:$C$113,0))))))</f>
        <v>2</v>
      </c>
      <c r="O52">
        <f>G52+N52</f>
        <v>2</v>
      </c>
      <c r="P52" t="s">
        <v>168</v>
      </c>
      <c r="Q52" t="s">
        <v>863</v>
      </c>
      <c r="R52" t="s">
        <v>1193</v>
      </c>
    </row>
    <row r="53" spans="1:18" x14ac:dyDescent="0.2">
      <c r="A53" s="3"/>
      <c r="B53" s="44"/>
      <c r="C53" s="45"/>
      <c r="D53" s="45"/>
      <c r="E53" s="45"/>
      <c r="F53" s="45"/>
      <c r="G53" s="45"/>
      <c r="H53" s="45"/>
      <c r="I53" s="45"/>
      <c r="J53" s="45"/>
      <c r="K53" s="46"/>
      <c r="L53" s="45"/>
      <c r="M53" s="45"/>
      <c r="N53" s="45"/>
      <c r="O53" s="45"/>
      <c r="P53" s="45"/>
      <c r="Q53" s="45"/>
      <c r="R53" s="45"/>
    </row>
    <row r="54" spans="1:18" x14ac:dyDescent="0.2">
      <c r="A54" t="s">
        <v>1194</v>
      </c>
      <c r="B54" t="s">
        <v>1195</v>
      </c>
      <c r="C54" t="s">
        <v>1196</v>
      </c>
      <c r="D54" t="s">
        <v>197</v>
      </c>
      <c r="E54">
        <f>IF(C54="Yes – all critical actions",0,IF(C54="Yes – some actions",10,IF(C54="No timelock",20,IF(C54="Unknown",10,""))))</f>
        <v>20</v>
      </c>
      <c r="F54">
        <f>IF(D54="High",0,IF(D54="Medium",0.05,IF(D54="Low",0.1,IF(D54="Unknown",0.15,""))))</f>
        <v>0.05</v>
      </c>
      <c r="G54">
        <f>E54*(1+F54)</f>
        <v>21</v>
      </c>
      <c r="H54" t="s">
        <v>1197</v>
      </c>
      <c r="I54" t="s">
        <v>1198</v>
      </c>
      <c r="J54" t="s">
        <v>176</v>
      </c>
      <c r="K54" s="24">
        <f>IF(I54="","",MAX(IFERROR(DATEVALUE(TRIM(MID(SUBSTITUTE(I54,";",REPT(" ",50)),1,50))),0),IFERROR(DATEVALUE(TRIM(MID(SUBSTITUTE(I54,";",REPT(" ",50)),51,50))),0),IFERROR(DATEVALUE(TRIM(MID(SUBSTITUTE(I54,";",REPT(" ",50)),101,50))),0),IFERROR(DATEVALUE(TRIM(MID(SUBSTITUTE(I54,";",REPT(" ",50)),151,50))),0),IFERROR(DATEVALUE(TRIM(MID(SUBSTITUTE(I54,";",REPT(" ",50)),201,50))),0),IFERROR(DATEVALUE(TRIM(MID(SUBSTITUTE(I54,";",REPT(" ",50)),251,50))),0),IFERROR(DATEVALUE(TRIM(MID(SUBSTITUTE(I54,";",REPT(" ",50)),301,50))),0),IFERROR(DATEVALUE(TRIM(MID(SUBSTITUTE(I54,";",REPT(" ",50)),351,50))),0),IFERROR(DATEVALUE(TRIM(MID(SUBSTITUTE(I54,";",REPT(" ",50)),401,50))),0),IFERROR(DATEVALUE(TRIM(MID(SUBSTITUTE(I54,";",REPT(" ",50)),451,50))),0)))</f>
        <v>45951</v>
      </c>
      <c r="L54">
        <f ca="1">IF(K54="","",TODAY()-K54)</f>
        <v>53</v>
      </c>
      <c r="M54" t="s">
        <v>184</v>
      </c>
      <c r="N54">
        <f ca="1">IF(M54="","",IF(L54="",INDEX($F$110:$F$113,MATCH(M54,$C$110:$C$113,0)),IF(L54&lt;=INDEX($D$110:$D$113,MATCH(M54,$C$110:$C$113,0)),0,IF(L54&lt;=INDEX($E$110:$E$113,MATCH(M54,$C$110:$C$113,0)),INDEX($F$110:$F$113,MATCH(M54,$C$110:$C$113,0)),INDEX($G$110:$G$113,MATCH(M54,$C$110:$C$113,0))))))</f>
        <v>0</v>
      </c>
      <c r="O54">
        <f ca="1">G54+N54</f>
        <v>21</v>
      </c>
      <c r="P54" t="str">
        <f>IF(AND(C54="No timelock",OR(D54="High",D54="Medium")),"Review Required","No Review")</f>
        <v>Review Required</v>
      </c>
      <c r="Q54" t="s">
        <v>1199</v>
      </c>
      <c r="R54" t="s">
        <v>1200</v>
      </c>
    </row>
    <row r="55" spans="1:18" x14ac:dyDescent="0.2">
      <c r="A55" t="s">
        <v>1201</v>
      </c>
      <c r="B55" t="s">
        <v>1202</v>
      </c>
      <c r="C55" t="s">
        <v>1203</v>
      </c>
      <c r="D55" t="s">
        <v>197</v>
      </c>
      <c r="E55">
        <f>IF(C55="Adequate duration (≥24h)",0,IF(C55="Short duration (&lt;24h)",10,IF(C55="No timelock or irrelevant",20,IF(C55="Unknown",10,""))))</f>
        <v>20</v>
      </c>
      <c r="F55">
        <f>IF(D55="High",0,IF(D55="Medium",0.05,IF(D55="Low",0.1,IF(D55="Unknown",0.15,""))))</f>
        <v>0.05</v>
      </c>
      <c r="G55">
        <f>E55*(1+F55)</f>
        <v>21</v>
      </c>
      <c r="H55" t="s">
        <v>1204</v>
      </c>
      <c r="I55" t="s">
        <v>763</v>
      </c>
      <c r="J55" t="s">
        <v>166</v>
      </c>
      <c r="K55" s="24">
        <f>IF(I55="","",MAX(IFERROR(DATEVALUE(TRIM(MID(SUBSTITUTE(I55,";",REPT(" ",50)),1,50))),0),IFERROR(DATEVALUE(TRIM(MID(SUBSTITUTE(I55,";",REPT(" ",50)),51,50))),0),IFERROR(DATEVALUE(TRIM(MID(SUBSTITUTE(I55,";",REPT(" ",50)),101,50))),0),IFERROR(DATEVALUE(TRIM(MID(SUBSTITUTE(I55,";",REPT(" ",50)),151,50))),0),IFERROR(DATEVALUE(TRIM(MID(SUBSTITUTE(I55,";",REPT(" ",50)),201,50))),0),IFERROR(DATEVALUE(TRIM(MID(SUBSTITUTE(I55,";",REPT(" ",50)),251,50))),0),IFERROR(DATEVALUE(TRIM(MID(SUBSTITUTE(I55,";",REPT(" ",50)),301,50))),0),IFERROR(DATEVALUE(TRIM(MID(SUBSTITUTE(I55,";",REPT(" ",50)),351,50))),0),IFERROR(DATEVALUE(TRIM(MID(SUBSTITUTE(I55,";",REPT(" ",50)),401,50))),0),IFERROR(DATEVALUE(TRIM(MID(SUBSTITUTE(I55,";",REPT(" ",50)),451,50))),0)))</f>
        <v>45078</v>
      </c>
      <c r="L55">
        <f ca="1">IF(K55="","",TODAY()-K55)</f>
        <v>926</v>
      </c>
      <c r="M55" t="s">
        <v>184</v>
      </c>
      <c r="N55">
        <f ca="1">IF(M55="","",IF(L55="",INDEX($F$110:$F$113,MATCH(M55,$C$110:$C$113,0)),IF(L55&lt;=INDEX($D$110:$D$113,MATCH(M55,$C$110:$C$113,0)),0,IF(L55&lt;=INDEX($E$110:$E$113,MATCH(M55,$C$110:$C$113,0)),INDEX($F$110:$F$113,MATCH(M55,$C$110:$C$113,0)),INDEX($G$110:$G$113,MATCH(M55,$C$110:$C$113,0))))))</f>
        <v>6</v>
      </c>
      <c r="O55">
        <f ca="1">G55+N55</f>
        <v>27</v>
      </c>
      <c r="P55" t="s">
        <v>168</v>
      </c>
      <c r="R55" t="s">
        <v>1205</v>
      </c>
    </row>
    <row r="56" spans="1:18" x14ac:dyDescent="0.2">
      <c r="A56" t="s">
        <v>1206</v>
      </c>
      <c r="B56" t="s">
        <v>1207</v>
      </c>
      <c r="C56" t="s">
        <v>1208</v>
      </c>
      <c r="D56" t="s">
        <v>197</v>
      </c>
      <c r="E56">
        <v>0</v>
      </c>
      <c r="F56">
        <f>IF(D56="High",0,IF(D56="Medium",0.05,IF(D56="Low",0.1,IF(D56="Unknown",0.15,""))))</f>
        <v>0.05</v>
      </c>
      <c r="G56">
        <f>E56*(1+F56)</f>
        <v>0</v>
      </c>
      <c r="H56" t="s">
        <v>1209</v>
      </c>
      <c r="I56" t="s">
        <v>1210</v>
      </c>
      <c r="J56" t="s">
        <v>176</v>
      </c>
      <c r="K56">
        <f>IF(I56="","",MAX(IFERROR(DATEVALUE(TRIM(MID(SUBSTITUTE(I56,";",REPT(" ",50)),1,50))),0),IFERROR(DATEVALUE(TRIM(MID(SUBSTITUTE(I56,";",REPT(" ",50)),51,50))),0),IFERROR(DATEVALUE(TRIM(MID(SUBSTITUTE(I56,";",REPT(" ",50)),101,50))),0),IFERROR(DATEVALUE(TRIM(MID(SUBSTITUTE(I56,";",REPT(" ",50)),151,50))),0),IFERROR(DATEVALUE(TRIM(MID(SUBSTITUTE(I56,";",REPT(" ",50)),201,50))),0),IFERROR(DATEVALUE(TRIM(MID(SUBSTITUTE(I56,";",REPT(" ",50)),251,50))),0),IFERROR(DATEVALUE(TRIM(MID(SUBSTITUTE(I56,";",REPT(" ",50)),301,50))),0),IFERROR(DATEVALUE(TRIM(MID(SUBSTITUTE(I56,";",REPT(" ",50)),351,50))),0),IFERROR(DATEVALUE(TRIM(MID(SUBSTITUTE(I56,";",REPT(" ",50)),401,50))),0),IFERROR(DATEVALUE(TRIM(MID(SUBSTITUTE(I56,";",REPT(" ",50)),451,50))),0)))</f>
        <v>45413</v>
      </c>
      <c r="M56" t="s">
        <v>303</v>
      </c>
      <c r="N56">
        <f>IF(M56="","",IF(L56="",INDEX($F$110:$F$113,MATCH(M56,$C$110:$C$113,0)),IF(L56&lt;=INDEX($D$110:$D$113,MATCH(M56,$C$110:$C$113,0)),0,IF(L56&lt;=INDEX($E$110:$E$113,MATCH(M56,$C$110:$C$113,0)),INDEX($F$110:$F$113,MATCH(M56,$C$110:$C$113,0)),INDEX($G$110:$G$113,MATCH(M56,$C$110:$C$113,0))))))</f>
        <v>2</v>
      </c>
      <c r="O56">
        <f>G56+N56</f>
        <v>2</v>
      </c>
      <c r="P56" t="s">
        <v>168</v>
      </c>
      <c r="Q56" t="s">
        <v>863</v>
      </c>
      <c r="R56" t="s">
        <v>1211</v>
      </c>
    </row>
    <row r="57" spans="1:18" x14ac:dyDescent="0.2">
      <c r="A57" s="3"/>
      <c r="B57" s="44"/>
      <c r="C57" s="45"/>
      <c r="D57" s="45"/>
      <c r="E57" s="45"/>
      <c r="F57" s="45"/>
      <c r="G57" s="45"/>
      <c r="H57" s="45"/>
      <c r="I57" s="45"/>
      <c r="J57" s="45"/>
      <c r="K57" s="46"/>
      <c r="L57" s="45"/>
      <c r="M57" s="45"/>
      <c r="N57" s="45"/>
      <c r="O57" s="45"/>
      <c r="P57" s="45"/>
      <c r="Q57" s="45"/>
      <c r="R57" s="45"/>
    </row>
    <row r="58" spans="1:18" x14ac:dyDescent="0.2">
      <c r="A58" t="s">
        <v>1212</v>
      </c>
      <c r="B58" t="s">
        <v>1213</v>
      </c>
      <c r="C58" t="s">
        <v>319</v>
      </c>
      <c r="D58" t="s">
        <v>330</v>
      </c>
      <c r="E58">
        <f>IF(C58="Institutional or HSM custody",0,IF(C58="Mixed model",10,IF(C58="Personal custody (individuals)",20,IF(C58="Unknown",10,""))))</f>
        <v>10</v>
      </c>
      <c r="F58">
        <f>IF(D58="High",0,IF(D58="Medium",0.05,IF(D58="Low",0.1,IF(D58="Unknown",0.15,""))))</f>
        <v>0.1</v>
      </c>
      <c r="G58">
        <f>E58*(1+F58)</f>
        <v>11</v>
      </c>
      <c r="H58" t="s">
        <v>1214</v>
      </c>
      <c r="I58" t="s">
        <v>1215</v>
      </c>
      <c r="J58" t="s">
        <v>166</v>
      </c>
      <c r="K58" s="24">
        <f>IF(I58="","",MAX(IFERROR(DATEVALUE(TRIM(MID(SUBSTITUTE(I58,";",REPT(" ",50)),1,50))),0),IFERROR(DATEVALUE(TRIM(MID(SUBSTITUTE(I58,";",REPT(" ",50)),51,50))),0),IFERROR(DATEVALUE(TRIM(MID(SUBSTITUTE(I58,";",REPT(" ",50)),101,50))),0),IFERROR(DATEVALUE(TRIM(MID(SUBSTITUTE(I58,";",REPT(" ",50)),151,50))),0),IFERROR(DATEVALUE(TRIM(MID(SUBSTITUTE(I58,";",REPT(" ",50)),201,50))),0),IFERROR(DATEVALUE(TRIM(MID(SUBSTITUTE(I58,";",REPT(" ",50)),251,50))),0),IFERROR(DATEVALUE(TRIM(MID(SUBSTITUTE(I58,";",REPT(" ",50)),301,50))),0),IFERROR(DATEVALUE(TRIM(MID(SUBSTITUTE(I58,";",REPT(" ",50)),351,50))),0),IFERROR(DATEVALUE(TRIM(MID(SUBSTITUTE(I58,";",REPT(" ",50)),401,50))),0),IFERROR(DATEVALUE(TRIM(MID(SUBSTITUTE(I58,";",REPT(" ",50)),451,50))),0)))</f>
        <v>45959</v>
      </c>
      <c r="L58">
        <f ca="1">IF(K58="","",TODAY()-K58)</f>
        <v>45</v>
      </c>
      <c r="M58" t="s">
        <v>303</v>
      </c>
      <c r="N58">
        <f ca="1">IF(M58="","",IF(L58="",INDEX($F$110:$F$113,MATCH(M58,$C$110:$C$113,0)),IF(L58&lt;=INDEX($D$110:$D$113,MATCH(M58,$C$110:$C$113,0)),0,IF(L58&lt;=INDEX($E$110:$E$113,MATCH(M58,$C$110:$C$113,0)),INDEX($F$110:$F$113,MATCH(M58,$C$110:$C$113,0)),INDEX($G$110:$G$113,MATCH(M58,$C$110:$C$113,0))))))</f>
        <v>0</v>
      </c>
      <c r="O58">
        <f ca="1">G58+N58</f>
        <v>11</v>
      </c>
      <c r="P58" t="str">
        <f>IF(AND(C58="Personal custody (individuals)",OR(D58="High",D58="Medium")),"Review Required","No Review")</f>
        <v>No Review</v>
      </c>
      <c r="Q58" t="s">
        <v>1216</v>
      </c>
      <c r="R58" t="s">
        <v>1217</v>
      </c>
    </row>
    <row r="59" spans="1:18" x14ac:dyDescent="0.2">
      <c r="A59" t="s">
        <v>1218</v>
      </c>
      <c r="B59" t="s">
        <v>1219</v>
      </c>
      <c r="C59" t="s">
        <v>1220</v>
      </c>
      <c r="D59" t="s">
        <v>197</v>
      </c>
      <c r="E59">
        <f>IF(C59="No incidents",0,IF(C59="Minor incident fully resolved",10,IF(C59="Significant compromise",20,IF(C59="Unknown",10,""))))</f>
        <v>10</v>
      </c>
      <c r="F59">
        <f>IF(D59="High",0,IF(D59="Medium",0.05,IF(D59="Low",0.1,IF(D59="Unknown",0.15,""))))</f>
        <v>0.05</v>
      </c>
      <c r="G59">
        <f>E59*(1+F59)</f>
        <v>10.5</v>
      </c>
      <c r="H59" t="s">
        <v>1221</v>
      </c>
      <c r="I59" t="s">
        <v>1222</v>
      </c>
      <c r="J59" t="s">
        <v>166</v>
      </c>
      <c r="K59" s="24">
        <f>IF(I59="","",MAX(IFERROR(DATEVALUE(TRIM(MID(SUBSTITUTE(I59,";",REPT(" ",50)),1,50))),0),IFERROR(DATEVALUE(TRIM(MID(SUBSTITUTE(I59,";",REPT(" ",50)),51,50))),0),IFERROR(DATEVALUE(TRIM(MID(SUBSTITUTE(I59,";",REPT(" ",50)),101,50))),0),IFERROR(DATEVALUE(TRIM(MID(SUBSTITUTE(I59,";",REPT(" ",50)),151,50))),0),IFERROR(DATEVALUE(TRIM(MID(SUBSTITUTE(I59,";",REPT(" ",50)),201,50))),0),IFERROR(DATEVALUE(TRIM(MID(SUBSTITUTE(I59,";",REPT(" ",50)),251,50))),0),IFERROR(DATEVALUE(TRIM(MID(SUBSTITUTE(I59,";",REPT(" ",50)),301,50))),0),IFERROR(DATEVALUE(TRIM(MID(SUBSTITUTE(I59,";",REPT(" ",50)),351,50))),0),IFERROR(DATEVALUE(TRIM(MID(SUBSTITUTE(I59,";",REPT(" ",50)),401,50))),0),IFERROR(DATEVALUE(TRIM(MID(SUBSTITUTE(I59,";",REPT(" ",50)),451,50))),0)))</f>
        <v>45530</v>
      </c>
      <c r="L59">
        <f ca="1">IF(K59="","",TODAY()-K59)</f>
        <v>474</v>
      </c>
      <c r="M59" t="s">
        <v>273</v>
      </c>
      <c r="N59">
        <f ca="1">IF(M59="","",IF(L59="",INDEX($F$110:$F$113,MATCH(M59,$C$110:$C$113,0)),IF(L59&lt;=INDEX($D$110:$D$113,MATCH(M59,$C$110:$C$113,0)),0,IF(L59&lt;=INDEX($E$110:$E$113,MATCH(M59,$C$110:$C$113,0)),INDEX($F$110:$F$113,MATCH(M59,$C$110:$C$113,0)),INDEX($G$110:$G$113,MATCH(M59,$C$110:$C$113,0))))))</f>
        <v>10</v>
      </c>
      <c r="O59">
        <f ca="1">G59+N59</f>
        <v>20.5</v>
      </c>
      <c r="P59" t="str">
        <f>IF(AND(C59="Significant compromise",OR(D59="High",D59="Medium")),"Review Required","No Review")</f>
        <v>No Review</v>
      </c>
      <c r="Q59" t="s">
        <v>1223</v>
      </c>
      <c r="R59" t="s">
        <v>1224</v>
      </c>
    </row>
    <row r="60" spans="1:18" x14ac:dyDescent="0.2">
      <c r="A60" t="s">
        <v>1225</v>
      </c>
      <c r="B60" t="s">
        <v>1226</v>
      </c>
      <c r="C60" t="s">
        <v>1227</v>
      </c>
      <c r="D60" t="s">
        <v>163</v>
      </c>
      <c r="E60">
        <f>IF(C60="Mature documented process",0,IF(C60="Partial process",10,IF(C60="Minimal or ad-hoc",20,IF(C60="Unknown",10,""))))</f>
        <v>0</v>
      </c>
      <c r="F60">
        <f>IF(D60="High",0,IF(D60="Medium",0.05,IF(D60="Low",0.1,IF(D60="Unknown",0.15,""))))</f>
        <v>0</v>
      </c>
      <c r="G60">
        <f>E60*(1+F60)</f>
        <v>0</v>
      </c>
      <c r="H60" t="s">
        <v>1228</v>
      </c>
      <c r="I60" t="s">
        <v>1229</v>
      </c>
      <c r="J60" t="s">
        <v>176</v>
      </c>
      <c r="K60" s="24">
        <f>IF(I60="","",MAX(IFERROR(DATEVALUE(TRIM(MID(SUBSTITUTE(I60,";",REPT(" ",50)),1,50))),0),IFERROR(DATEVALUE(TRIM(MID(SUBSTITUTE(I60,";",REPT(" ",50)),51,50))),0),IFERROR(DATEVALUE(TRIM(MID(SUBSTITUTE(I60,";",REPT(" ",50)),101,50))),0),IFERROR(DATEVALUE(TRIM(MID(SUBSTITUTE(I60,";",REPT(" ",50)),151,50))),0),IFERROR(DATEVALUE(TRIM(MID(SUBSTITUTE(I60,";",REPT(" ",50)),201,50))),0),IFERROR(DATEVALUE(TRIM(MID(SUBSTITUTE(I60,";",REPT(" ",50)),251,50))),0),IFERROR(DATEVALUE(TRIM(MID(SUBSTITUTE(I60,";",REPT(" ",50)),301,50))),0),IFERROR(DATEVALUE(TRIM(MID(SUBSTITUTE(I60,";",REPT(" ",50)),351,50))),0),IFERROR(DATEVALUE(TRIM(MID(SUBSTITUTE(I60,";",REPT(" ",50)),401,50))),0),IFERROR(DATEVALUE(TRIM(MID(SUBSTITUTE(I60,";",REPT(" ",50)),451,50))),0)))</f>
        <v>45931</v>
      </c>
      <c r="L60">
        <f ca="1">IF(K60="","",TODAY()-K60)</f>
        <v>73</v>
      </c>
      <c r="M60" t="s">
        <v>303</v>
      </c>
      <c r="N60">
        <f ca="1">IF(M60="","",IF(L60="",INDEX($F$110:$F$113,MATCH(M60,$C$110:$C$113,0)),IF(L60&lt;=INDEX($D$110:$D$113,MATCH(M60,$C$110:$C$113,0)),0,IF(L60&lt;=INDEX($E$110:$E$113,MATCH(M60,$C$110:$C$113,0)),INDEX($F$110:$F$113,MATCH(M60,$C$110:$C$113,0)),INDEX($G$110:$G$113,MATCH(M60,$C$110:$C$113,0))))))</f>
        <v>0</v>
      </c>
      <c r="O60">
        <f ca="1">G60+N60</f>
        <v>0</v>
      </c>
      <c r="P60" t="s">
        <v>168</v>
      </c>
      <c r="R60" t="s">
        <v>1230</v>
      </c>
    </row>
    <row r="61" spans="1:18" x14ac:dyDescent="0.2">
      <c r="A61" t="s">
        <v>1231</v>
      </c>
      <c r="B61" t="s">
        <v>1232</v>
      </c>
      <c r="C61" t="s">
        <v>1233</v>
      </c>
      <c r="D61" t="s">
        <v>197</v>
      </c>
      <c r="E61">
        <v>0</v>
      </c>
      <c r="F61">
        <f>IF(D61="High",0,IF(D61="Medium",0.05,IF(D61="Low",0.1,IF(D61="Unknown",0.15,""))))</f>
        <v>0.05</v>
      </c>
      <c r="G61">
        <f>E61*(1+F61)</f>
        <v>0</v>
      </c>
      <c r="H61" t="s">
        <v>1234</v>
      </c>
      <c r="I61" t="s">
        <v>1235</v>
      </c>
      <c r="J61" t="s">
        <v>176</v>
      </c>
      <c r="K61">
        <f>IF(I61="","",MAX(IFERROR(DATEVALUE(TRIM(MID(SUBSTITUTE(I61,";",REPT(" ",50)),1,50))),0),IFERROR(DATEVALUE(TRIM(MID(SUBSTITUTE(I61,";",REPT(" ",50)),51,50))),0),IFERROR(DATEVALUE(TRIM(MID(SUBSTITUTE(I61,";",REPT(" ",50)),101,50))),0),IFERROR(DATEVALUE(TRIM(MID(SUBSTITUTE(I61,";",REPT(" ",50)),151,50))),0),IFERROR(DATEVALUE(TRIM(MID(SUBSTITUTE(I61,";",REPT(" ",50)),201,50))),0),IFERROR(DATEVALUE(TRIM(MID(SUBSTITUTE(I61,";",REPT(" ",50)),251,50))),0),IFERROR(DATEVALUE(TRIM(MID(SUBSTITUTE(I61,";",REPT(" ",50)),301,50))),0),IFERROR(DATEVALUE(TRIM(MID(SUBSTITUTE(I61,";",REPT(" ",50)),351,50))),0),IFERROR(DATEVALUE(TRIM(MID(SUBSTITUTE(I61,";",REPT(" ",50)),401,50))),0),IFERROR(DATEVALUE(TRIM(MID(SUBSTITUTE(I61,";",REPT(" ",50)),451,50))),0)))</f>
        <v>45566</v>
      </c>
      <c r="M61" t="s">
        <v>303</v>
      </c>
      <c r="N61">
        <f>IF(M61="","",IF(L61="",INDEX($F$110:$F$113,MATCH(M61,$C$110:$C$113,0)),IF(L61&lt;=INDEX($D$110:$D$113,MATCH(M61,$C$110:$C$113,0)),0,IF(L61&lt;=INDEX($E$110:$E$113,MATCH(M61,$C$110:$C$113,0)),INDEX($F$110:$F$113,MATCH(M61,$C$110:$C$113,0)),INDEX($G$110:$G$113,MATCH(M61,$C$110:$C$113,0))))))</f>
        <v>2</v>
      </c>
      <c r="O61">
        <f>G61+N61</f>
        <v>2</v>
      </c>
      <c r="P61" t="s">
        <v>168</v>
      </c>
      <c r="Q61" t="s">
        <v>863</v>
      </c>
      <c r="R61" t="s">
        <v>1236</v>
      </c>
    </row>
    <row r="62" spans="1:18" x14ac:dyDescent="0.2">
      <c r="A62" s="4"/>
      <c r="B62" s="5" t="s">
        <v>1237</v>
      </c>
      <c r="C62" s="4"/>
      <c r="D62" s="4"/>
      <c r="E62" s="4"/>
      <c r="F62" s="4"/>
      <c r="G62" s="4"/>
      <c r="H62" s="4"/>
      <c r="I62" s="4"/>
      <c r="J62" s="4"/>
      <c r="K62" s="23" t="str">
        <f>IF(I62="","",MAX(IFERROR(DATEVALUE(TRIM(MID(SUBSTITUTE(I62,";",REPT(" ",50)),1,50))),0),IFERROR(DATEVALUE(TRIM(MID(SUBSTITUTE(I62,";",REPT(" ",50)),51,50))),0),IFERROR(DATEVALUE(TRIM(MID(SUBSTITUTE(I62,";",REPT(" ",50)),101,50))),0),IFERROR(DATEVALUE(TRIM(MID(SUBSTITUTE(I62,";",REPT(" ",50)),151,50))),0),IFERROR(DATEVALUE(TRIM(MID(SUBSTITUTE(I62,";",REPT(" ",50)),201,50))),0),IFERROR(DATEVALUE(TRIM(MID(SUBSTITUTE(I62,";",REPT(" ",50)),251,50))),0),IFERROR(DATEVALUE(TRIM(MID(SUBSTITUTE(I62,";",REPT(" ",50)),301,50))),0),IFERROR(DATEVALUE(TRIM(MID(SUBSTITUTE(I62,";",REPT(" ",50)),351,50))),0),IFERROR(DATEVALUE(TRIM(MID(SUBSTITUTE(I62,";",REPT(" ",50)),401,50))),0),IFERROR(DATEVALUE(TRIM(MID(SUBSTITUTE(I62,";",REPT(" ",50)),451,50))),0)))</f>
        <v/>
      </c>
      <c r="L62" s="4"/>
      <c r="M62" s="4"/>
      <c r="N62" s="4" t="str">
        <f>IF(M62="","",IF(L62="",INDEX($F$110:$F$113,MATCH(M62,$C$110:$C$113,0)),IF(L62&lt;=INDEX($D$110:$D$113,MATCH(M62,$C$110:$C$113,0)),0,IF(L62&lt;=INDEX($E$110:$E$113,MATCH(M62,$C$110:$C$113,0)),INDEX($F$110:$F$113,MATCH(M62,$C$110:$C$113,0)),INDEX($G$110:$G$113,MATCH(M62,$C$110:$C$113,0))))))</f>
        <v/>
      </c>
      <c r="O62" s="4"/>
      <c r="P62" s="4"/>
      <c r="Q62" s="4"/>
      <c r="R62" s="4"/>
    </row>
    <row r="63" spans="1:18" x14ac:dyDescent="0.2">
      <c r="A63" s="3"/>
      <c r="B63" s="44"/>
      <c r="C63" s="45"/>
      <c r="D63" s="45"/>
      <c r="E63" s="45"/>
      <c r="F63" s="45"/>
      <c r="G63" s="45"/>
      <c r="H63" s="45"/>
      <c r="I63" s="45"/>
      <c r="J63" s="45"/>
      <c r="K63" s="46"/>
      <c r="L63" s="45"/>
      <c r="M63" s="45"/>
      <c r="N63" s="45"/>
      <c r="O63" s="45"/>
      <c r="P63" s="45"/>
      <c r="Q63" s="45"/>
      <c r="R63" s="45"/>
    </row>
    <row r="64" spans="1:18" x14ac:dyDescent="0.2">
      <c r="A64" t="s">
        <v>893</v>
      </c>
      <c r="B64" t="s">
        <v>1238</v>
      </c>
      <c r="C64" t="s">
        <v>1239</v>
      </c>
      <c r="D64" t="s">
        <v>163</v>
      </c>
      <c r="E64">
        <f>IF(C64="Layer-1",0,IF(C64="Layer-2 (Rollup)",0,IF(C64="App-chain/Subnet",10,IF(C64="Sidechain",10,IF(C64="Unknown",10,"")))))</f>
        <v>0</v>
      </c>
      <c r="F64">
        <f>IF(D64="High",0,IF(D64="Medium",0.05,IF(D64="Low",0.1,IF(D64="Unknown",0.15,""))))</f>
        <v>0</v>
      </c>
      <c r="G64">
        <f>E64*(1+F64)</f>
        <v>0</v>
      </c>
      <c r="H64" t="s">
        <v>1240</v>
      </c>
      <c r="I64" t="s">
        <v>1241</v>
      </c>
      <c r="J64" t="s">
        <v>166</v>
      </c>
      <c r="K64" s="24">
        <f>IF(I64="","",MAX(IFERROR(DATEVALUE(TRIM(MID(SUBSTITUTE(I64,";",REPT(" ",50)),1,50))),0),IFERROR(DATEVALUE(TRIM(MID(SUBSTITUTE(I64,";",REPT(" ",50)),51,50))),0),IFERROR(DATEVALUE(TRIM(MID(SUBSTITUTE(I64,";",REPT(" ",50)),101,50))),0),IFERROR(DATEVALUE(TRIM(MID(SUBSTITUTE(I64,";",REPT(" ",50)),151,50))),0),IFERROR(DATEVALUE(TRIM(MID(SUBSTITUTE(I64,";",REPT(" ",50)),201,50))),0),IFERROR(DATEVALUE(TRIM(MID(SUBSTITUTE(I64,";",REPT(" ",50)),251,50))),0),IFERROR(DATEVALUE(TRIM(MID(SUBSTITUTE(I64,";",REPT(" ",50)),301,50))),0),IFERROR(DATEVALUE(TRIM(MID(SUBSTITUTE(I64,";",REPT(" ",50)),351,50))),0),IFERROR(DATEVALUE(TRIM(MID(SUBSTITUTE(I64,";",REPT(" ",50)),401,50))),0),IFERROR(DATEVALUE(TRIM(MID(SUBSTITUTE(I64,";",REPT(" ",50)),451,50))),0)))</f>
        <v>45139</v>
      </c>
      <c r="L64">
        <f ca="1">IF(K64="","",TODAY()-K64)</f>
        <v>865</v>
      </c>
      <c r="M64" t="s">
        <v>167</v>
      </c>
      <c r="N64">
        <f ca="1">IF(M64="","",IF(L64="",INDEX($F$110:$F$113,MATCH(M64,$C$110:$C$113,0)),IF(L64&lt;=INDEX($D$110:$D$113,MATCH(M64,$C$110:$C$113,0)),0,IF(L64&lt;=INDEX($E$110:$E$113,MATCH(M64,$C$110:$C$113,0)),INDEX($F$110:$F$113,MATCH(M64,$C$110:$C$113,0)),INDEX($G$110:$G$113,MATCH(M64,$C$110:$C$113,0))))))</f>
        <v>0</v>
      </c>
      <c r="O64">
        <f ca="1">G64+N64</f>
        <v>0</v>
      </c>
      <c r="P64" t="s">
        <v>168</v>
      </c>
      <c r="R64" t="s">
        <v>1242</v>
      </c>
    </row>
    <row r="65" spans="1:18" x14ac:dyDescent="0.2">
      <c r="A65" t="s">
        <v>900</v>
      </c>
      <c r="B65" t="s">
        <v>1243</v>
      </c>
      <c r="C65" t="s">
        <v>1244</v>
      </c>
      <c r="D65" t="s">
        <v>163</v>
      </c>
      <c r="E65">
        <f>IF(C65="","",IF(OR(C65="High - robust history",C65="High"),0,IF(C65="Moderate",10,IF(C65="Low or repeated issues",20,IF(C65="Unknown",10,"")))))</f>
        <v>0</v>
      </c>
      <c r="F65">
        <f>IF(D65="High",0,IF(D65="Medium",0.05,IF(D65="Low",0.1,IF(D65="Unknown",0.15,""))))</f>
        <v>0</v>
      </c>
      <c r="G65">
        <f>E65*(1+F65)</f>
        <v>0</v>
      </c>
      <c r="H65" t="s">
        <v>1245</v>
      </c>
      <c r="I65" t="s">
        <v>1246</v>
      </c>
      <c r="J65" t="s">
        <v>176</v>
      </c>
      <c r="K65" s="24">
        <f>IF(I65="","",MAX(IFERROR(DATEVALUE(TRIM(MID(SUBSTITUTE(I65,";",REPT(" ",50)),1,50))),0),IFERROR(DATEVALUE(TRIM(MID(SUBSTITUTE(I65,";",REPT(" ",50)),51,50))),0),IFERROR(DATEVALUE(TRIM(MID(SUBSTITUTE(I65,";",REPT(" ",50)),101,50))),0),IFERROR(DATEVALUE(TRIM(MID(SUBSTITUTE(I65,";",REPT(" ",50)),151,50))),0),IFERROR(DATEVALUE(TRIM(MID(SUBSTITUTE(I65,";",REPT(" ",50)),201,50))),0),IFERROR(DATEVALUE(TRIM(MID(SUBSTITUTE(I65,";",REPT(" ",50)),251,50))),0),IFERROR(DATEVALUE(TRIM(MID(SUBSTITUTE(I65,";",REPT(" ",50)),301,50))),0),IFERROR(DATEVALUE(TRIM(MID(SUBSTITUTE(I65,";",REPT(" ",50)),351,50))),0),IFERROR(DATEVALUE(TRIM(MID(SUBSTITUTE(I65,";",REPT(" ",50)),401,50))),0),IFERROR(DATEVALUE(TRIM(MID(SUBSTITUTE(I65,";",REPT(" ",50)),451,50))),0)))</f>
        <v>45684</v>
      </c>
      <c r="L65">
        <f ca="1">IF(K65="","",TODAY()-K65)</f>
        <v>320</v>
      </c>
      <c r="M65" t="s">
        <v>303</v>
      </c>
      <c r="N65">
        <f ca="1">IF(M65="","",IF(L65="",INDEX($F$110:$F$113,MATCH(M65,$C$110:$C$113,0)),IF(L65&lt;=INDEX($D$110:$D$113,MATCH(M65,$C$110:$C$113,0)),0,IF(L65&lt;=INDEX($E$110:$E$113,MATCH(M65,$C$110:$C$113,0)),INDEX($F$110:$F$113,MATCH(M65,$C$110:$C$113,0)),INDEX($G$110:$G$113,MATCH(M65,$C$110:$C$113,0))))))</f>
        <v>0</v>
      </c>
      <c r="O65">
        <f ca="1">G65+N65</f>
        <v>0</v>
      </c>
      <c r="P65" t="str">
        <f>IF(AND(C65="Low or repeated issues",OR(D65="High",D65="Medium")),"Review Required","No Review")</f>
        <v>No Review</v>
      </c>
      <c r="Q65" t="s">
        <v>1247</v>
      </c>
      <c r="R65" t="s">
        <v>1248</v>
      </c>
    </row>
    <row r="66" spans="1:18" x14ac:dyDescent="0.2">
      <c r="A66" t="s">
        <v>907</v>
      </c>
      <c r="B66" t="s">
        <v>1249</v>
      </c>
      <c r="C66" t="s">
        <v>1250</v>
      </c>
      <c r="D66" t="s">
        <v>163</v>
      </c>
      <c r="E66">
        <f>IF(C66="Yes – formal/high quality audit",0,IF(C66="Yes – limited audit",10,IF(C66="No audit",20,IF(C66="Unknown",10,""))))</f>
        <v>0</v>
      </c>
      <c r="F66">
        <f>IF(D66="High",0,IF(D66="Medium",0.05,IF(D66="Low",0.1,IF(D66="Unknown",0.15,""))))</f>
        <v>0</v>
      </c>
      <c r="G66">
        <f>E66*(1+F66)</f>
        <v>0</v>
      </c>
      <c r="H66" t="s">
        <v>1251</v>
      </c>
      <c r="I66" t="s">
        <v>1252</v>
      </c>
      <c r="J66" t="s">
        <v>176</v>
      </c>
      <c r="K66" s="24">
        <f>IF(I66="","",MAX(IFERROR(DATEVALUE(TRIM(MID(SUBSTITUTE(I66,";",REPT(" ",50)),1,50))),0),IFERROR(DATEVALUE(TRIM(MID(SUBSTITUTE(I66,";",REPT(" ",50)),51,50))),0),IFERROR(DATEVALUE(TRIM(MID(SUBSTITUTE(I66,";",REPT(" ",50)),101,50))),0),IFERROR(DATEVALUE(TRIM(MID(SUBSTITUTE(I66,";",REPT(" ",50)),151,50))),0),IFERROR(DATEVALUE(TRIM(MID(SUBSTITUTE(I66,";",REPT(" ",50)),201,50))),0),IFERROR(DATEVALUE(TRIM(MID(SUBSTITUTE(I66,";",REPT(" ",50)),251,50))),0),IFERROR(DATEVALUE(TRIM(MID(SUBSTITUTE(I66,";",REPT(" ",50)),301,50))),0),IFERROR(DATEVALUE(TRIM(MID(SUBSTITUTE(I66,";",REPT(" ",50)),351,50))),0),IFERROR(DATEVALUE(TRIM(MID(SUBSTITUTE(I66,";",REPT(" ",50)),401,50))),0),IFERROR(DATEVALUE(TRIM(MID(SUBSTITUTE(I66,";",REPT(" ",50)),451,50))),0)))</f>
        <v>45538</v>
      </c>
      <c r="L66">
        <f ca="1">IF(K66="","",TODAY()-K66)</f>
        <v>466</v>
      </c>
      <c r="M66" t="s">
        <v>167</v>
      </c>
      <c r="N66">
        <f ca="1">IF(M66="","",IF(L66="",INDEX($F$110:$F$113,MATCH(M66,$C$110:$C$113,0)),IF(L66&lt;=INDEX($D$110:$D$113,MATCH(M66,$C$110:$C$113,0)),0,IF(L66&lt;=INDEX($E$110:$E$113,MATCH(M66,$C$110:$C$113,0)),INDEX($F$110:$F$113,MATCH(M66,$C$110:$C$113,0)),INDEX($G$110:$G$113,MATCH(M66,$C$110:$C$113,0))))))</f>
        <v>0</v>
      </c>
      <c r="O66">
        <f ca="1">G66+N66</f>
        <v>0</v>
      </c>
      <c r="P66" t="s">
        <v>168</v>
      </c>
      <c r="R66" t="s">
        <v>1253</v>
      </c>
    </row>
    <row r="67" spans="1:18" x14ac:dyDescent="0.2">
      <c r="A67" t="s">
        <v>913</v>
      </c>
      <c r="B67" t="s">
        <v>1254</v>
      </c>
      <c r="C67" t="s">
        <v>1255</v>
      </c>
      <c r="D67" t="s">
        <v>163</v>
      </c>
      <c r="E67">
        <v>0</v>
      </c>
      <c r="F67">
        <f>IF(D67="High",0,IF(D67="Medium",0.05,IF(D67="Low",0.1,IF(D67="Unknown",0.15,""))))</f>
        <v>0</v>
      </c>
      <c r="G67">
        <f>E67*(1+F67)</f>
        <v>0</v>
      </c>
      <c r="H67" t="s">
        <v>1256</v>
      </c>
      <c r="I67" t="s">
        <v>1257</v>
      </c>
      <c r="J67" t="s">
        <v>176</v>
      </c>
      <c r="K67">
        <f>IF(I67="","",MAX(IFERROR(DATEVALUE(TRIM(MID(SUBSTITUTE(I67,";",REPT(" ",50)),1,50))),0),IFERROR(DATEVALUE(TRIM(MID(SUBSTITUTE(I67,";",REPT(" ",50)),51,50))),0),IFERROR(DATEVALUE(TRIM(MID(SUBSTITUTE(I67,";",REPT(" ",50)),101,50))),0),IFERROR(DATEVALUE(TRIM(MID(SUBSTITUTE(I67,";",REPT(" ",50)),151,50))),0),IFERROR(DATEVALUE(TRIM(MID(SUBSTITUTE(I67,";",REPT(" ",50)),201,50))),0),IFERROR(DATEVALUE(TRIM(MID(SUBSTITUTE(I67,";",REPT(" ",50)),251,50))),0),IFERROR(DATEVALUE(TRIM(MID(SUBSTITUTE(I67,";",REPT(" ",50)),301,50))),0),IFERROR(DATEVALUE(TRIM(MID(SUBSTITUTE(I67,";",REPT(" ",50)),351,50))),0),IFERROR(DATEVALUE(TRIM(MID(SUBSTITUTE(I67,";",REPT(" ",50)),401,50))),0),IFERROR(DATEVALUE(TRIM(MID(SUBSTITUTE(I67,";",REPT(" ",50)),451,50))),0)))</f>
        <v>45413</v>
      </c>
      <c r="M67" t="s">
        <v>303</v>
      </c>
      <c r="N67">
        <f>IF(M67="","",IF(L67="",INDEX($F$110:$F$113,MATCH(M67,$C$110:$C$113,0)),IF(L67&lt;=INDEX($D$110:$D$113,MATCH(M67,$C$110:$C$113,0)),0,IF(L67&lt;=INDEX($E$110:$E$113,MATCH(M67,$C$110:$C$113,0)),INDEX($F$110:$F$113,MATCH(M67,$C$110:$C$113,0)),INDEX($G$110:$G$113,MATCH(M67,$C$110:$C$113,0))))))</f>
        <v>2</v>
      </c>
      <c r="O67">
        <f>G67+N67</f>
        <v>2</v>
      </c>
      <c r="P67" t="s">
        <v>168</v>
      </c>
      <c r="Q67" t="s">
        <v>863</v>
      </c>
      <c r="R67" t="s">
        <v>1258</v>
      </c>
    </row>
    <row r="68" spans="1:18" x14ac:dyDescent="0.2">
      <c r="A68" s="3"/>
      <c r="B68" s="44"/>
      <c r="C68" s="45"/>
      <c r="D68" s="45"/>
      <c r="E68" s="45"/>
      <c r="F68" s="45"/>
      <c r="G68" s="45"/>
      <c r="H68" s="45"/>
      <c r="I68" s="45"/>
      <c r="J68" s="45"/>
      <c r="K68" s="46"/>
      <c r="L68" s="45"/>
      <c r="M68" s="45"/>
      <c r="N68" s="45"/>
      <c r="O68" s="45"/>
      <c r="P68" s="45"/>
      <c r="Q68" s="45"/>
      <c r="R68" s="45"/>
    </row>
    <row r="69" spans="1:18" x14ac:dyDescent="0.2">
      <c r="A69" t="s">
        <v>919</v>
      </c>
      <c r="B69" t="s">
        <v>1259</v>
      </c>
      <c r="C69" t="s">
        <v>1260</v>
      </c>
      <c r="D69" t="s">
        <v>163</v>
      </c>
      <c r="E69">
        <f>IF(C69="Low concentration (top 5 &lt;25%)",0,IF(C69="Moderate (25–50%)",10,IF(C69="High concentration (top 5 &gt;50%)",20,IF(C69="Unknown",10,""))))</f>
        <v>0</v>
      </c>
      <c r="F69">
        <f>IF(D69="High",0,IF(D69="Medium",0.05,IF(D69="Low",0.1,IF(D69="Unknown",0.15,""))))</f>
        <v>0</v>
      </c>
      <c r="G69">
        <f>E69*(1+F69)</f>
        <v>0</v>
      </c>
      <c r="H69" t="s">
        <v>1261</v>
      </c>
      <c r="I69" t="s">
        <v>1262</v>
      </c>
      <c r="J69" t="s">
        <v>166</v>
      </c>
      <c r="K69" s="24">
        <f>IF(I69="","",MAX(IFERROR(DATEVALUE(TRIM(MID(SUBSTITUTE(I69,";",REPT(" ",50)),1,50))),0),IFERROR(DATEVALUE(TRIM(MID(SUBSTITUTE(I69,";",REPT(" ",50)),51,50))),0),IFERROR(DATEVALUE(TRIM(MID(SUBSTITUTE(I69,";",REPT(" ",50)),101,50))),0),IFERROR(DATEVALUE(TRIM(MID(SUBSTITUTE(I69,";",REPT(" ",50)),151,50))),0),IFERROR(DATEVALUE(TRIM(MID(SUBSTITUTE(I69,";",REPT(" ",50)),201,50))),0),IFERROR(DATEVALUE(TRIM(MID(SUBSTITUTE(I69,";",REPT(" ",50)),251,50))),0),IFERROR(DATEVALUE(TRIM(MID(SUBSTITUTE(I69,";",REPT(" ",50)),301,50))),0),IFERROR(DATEVALUE(TRIM(MID(SUBSTITUTE(I69,";",REPT(" ",50)),351,50))),0),IFERROR(DATEVALUE(TRIM(MID(SUBSTITUTE(I69,";",REPT(" ",50)),401,50))),0),IFERROR(DATEVALUE(TRIM(MID(SUBSTITUTE(I69,";",REPT(" ",50)),451,50))),0)))</f>
        <v>45992</v>
      </c>
      <c r="L69">
        <f ca="1">IF(K69="","",TODAY()-K69)</f>
        <v>12</v>
      </c>
      <c r="M69" t="s">
        <v>184</v>
      </c>
      <c r="N69">
        <f ca="1">IF(M69="","",IF(L69="",INDEX($F$110:$F$113,MATCH(M69,$C$110:$C$113,0)),IF(L69&lt;=INDEX($D$110:$D$113,MATCH(M69,$C$110:$C$113,0)),0,IF(L69&lt;=INDEX($E$110:$E$113,MATCH(M69,$C$110:$C$113,0)),INDEX($F$110:$F$113,MATCH(M69,$C$110:$C$113,0)),INDEX($G$110:$G$113,MATCH(M69,$C$110:$C$113,0))))))</f>
        <v>0</v>
      </c>
      <c r="O69">
        <f ca="1">G69+N69</f>
        <v>0</v>
      </c>
      <c r="P69" t="str">
        <f>IF(AND(C69="High concentration (top 5 &gt;50%)",OR(D69="High",D69="Medium")),"Review Required","No Review")</f>
        <v>No Review</v>
      </c>
      <c r="Q69" t="s">
        <v>1263</v>
      </c>
      <c r="R69" t="s">
        <v>1264</v>
      </c>
    </row>
    <row r="70" spans="1:18" x14ac:dyDescent="0.2">
      <c r="A70" t="s">
        <v>925</v>
      </c>
      <c r="B70" t="s">
        <v>1265</v>
      </c>
      <c r="C70" t="s">
        <v>1266</v>
      </c>
      <c r="D70" t="s">
        <v>197</v>
      </c>
      <c r="E70">
        <f>IF(C70="No censorship reported",0,IF(C70="Minor/isolated incidents",10,IF(C70="Documented or sustained censorship",20,IF(C70="Unknown",10,""))))</f>
        <v>0</v>
      </c>
      <c r="F70">
        <f>IF(D70="High",0,IF(D70="Medium",0.05,IF(D70="Low",0.1,IF(D70="Unknown",0.15,""))))</f>
        <v>0.05</v>
      </c>
      <c r="G70">
        <f>E70*(1+F70)</f>
        <v>0</v>
      </c>
      <c r="H70" t="s">
        <v>1267</v>
      </c>
      <c r="I70" t="s">
        <v>1268</v>
      </c>
      <c r="J70" t="s">
        <v>166</v>
      </c>
      <c r="K70" s="24">
        <f>IF(I70="","",MAX(IFERROR(DATEVALUE(TRIM(MID(SUBSTITUTE(I70,";",REPT(" ",50)),1,50))),0),IFERROR(DATEVALUE(TRIM(MID(SUBSTITUTE(I70,";",REPT(" ",50)),51,50))),0),IFERROR(DATEVALUE(TRIM(MID(SUBSTITUTE(I70,";",REPT(" ",50)),101,50))),0),IFERROR(DATEVALUE(TRIM(MID(SUBSTITUTE(I70,";",REPT(" ",50)),151,50))),0),IFERROR(DATEVALUE(TRIM(MID(SUBSTITUTE(I70,";",REPT(" ",50)),201,50))),0),IFERROR(DATEVALUE(TRIM(MID(SUBSTITUTE(I70,";",REPT(" ",50)),251,50))),0),IFERROR(DATEVALUE(TRIM(MID(SUBSTITUTE(I70,";",REPT(" ",50)),301,50))),0),IFERROR(DATEVALUE(TRIM(MID(SUBSTITUTE(I70,";",REPT(" ",50)),351,50))),0),IFERROR(DATEVALUE(TRIM(MID(SUBSTITUTE(I70,";",REPT(" ",50)),401,50))),0),IFERROR(DATEVALUE(TRIM(MID(SUBSTITUTE(I70,";",REPT(" ",50)),451,50))),0)))</f>
        <v>45945</v>
      </c>
      <c r="L70">
        <f ca="1">IF(K70="","",TODAY()-K70)</f>
        <v>59</v>
      </c>
      <c r="M70" t="s">
        <v>184</v>
      </c>
      <c r="N70">
        <f ca="1">IF(M70="","",IF(L70="",INDEX($F$110:$F$113,MATCH(M70,$C$110:$C$113,0)),IF(L70&lt;=INDEX($D$110:$D$113,MATCH(M70,$C$110:$C$113,0)),0,IF(L70&lt;=INDEX($E$110:$E$113,MATCH(M70,$C$110:$C$113,0)),INDEX($F$110:$F$113,MATCH(M70,$C$110:$C$113,0)),INDEX($G$110:$G$113,MATCH(M70,$C$110:$C$113,0))))))</f>
        <v>0</v>
      </c>
      <c r="O70">
        <f ca="1">G70+N70</f>
        <v>0</v>
      </c>
      <c r="P70" t="str">
        <f>IF(AND(C70="Documented or sustained censorship",OR(D70="High",D70="Medium")),"Review Required","No Review")</f>
        <v>No Review</v>
      </c>
      <c r="Q70" t="s">
        <v>1269</v>
      </c>
      <c r="R70" t="s">
        <v>1270</v>
      </c>
    </row>
    <row r="71" spans="1:18" x14ac:dyDescent="0.2">
      <c r="A71" t="s">
        <v>932</v>
      </c>
      <c r="B71" t="s">
        <v>1271</v>
      </c>
      <c r="C71" t="s">
        <v>1272</v>
      </c>
      <c r="D71" t="s">
        <v>163</v>
      </c>
      <c r="E71">
        <f>IF(C71="High reliability",0,IF(C71="Moderate",10,IF(C71="Low reliability or repeated liveness failures",20,IF(C71="Unknown",10,""))))</f>
        <v>0</v>
      </c>
      <c r="F71">
        <f>IF(D71="High",0,IF(D71="Medium",0.05,IF(D71="Low",0.1,IF(D71="Unknown",0.15,""))))</f>
        <v>0</v>
      </c>
      <c r="G71">
        <f>E71*(1+F71)</f>
        <v>0</v>
      </c>
      <c r="H71" t="s">
        <v>1273</v>
      </c>
      <c r="J71" t="s">
        <v>176</v>
      </c>
      <c r="K71" s="24" t="str">
        <f>IF(I71="","",MAX(IFERROR(DATEVALUE(TRIM(MID(SUBSTITUTE(I71,";",REPT(" ",50)),1,50))),0),IFERROR(DATEVALUE(TRIM(MID(SUBSTITUTE(I71,";",REPT(" ",50)),51,50))),0),IFERROR(DATEVALUE(TRIM(MID(SUBSTITUTE(I71,";",REPT(" ",50)),101,50))),0),IFERROR(DATEVALUE(TRIM(MID(SUBSTITUTE(I71,";",REPT(" ",50)),151,50))),0),IFERROR(DATEVALUE(TRIM(MID(SUBSTITUTE(I71,";",REPT(" ",50)),201,50))),0),IFERROR(DATEVALUE(TRIM(MID(SUBSTITUTE(I71,";",REPT(" ",50)),251,50))),0),IFERROR(DATEVALUE(TRIM(MID(SUBSTITUTE(I71,";",REPT(" ",50)),301,50))),0),IFERROR(DATEVALUE(TRIM(MID(SUBSTITUTE(I71,";",REPT(" ",50)),351,50))),0),IFERROR(DATEVALUE(TRIM(MID(SUBSTITUTE(I71,";",REPT(" ",50)),401,50))),0),IFERROR(DATEVALUE(TRIM(MID(SUBSTITUTE(I71,";",REPT(" ",50)),451,50))),0)))</f>
        <v/>
      </c>
      <c r="L71" t="str">
        <f ca="1">IF(K71="","",TODAY()-K71)</f>
        <v/>
      </c>
      <c r="M71" t="s">
        <v>184</v>
      </c>
      <c r="N71">
        <f ca="1">IF(M71="","",IF(L71="",INDEX($F$110:$F$113,MATCH(M71,$C$110:$C$113,0)),IF(L71&lt;=INDEX($D$110:$D$113,MATCH(M71,$C$110:$C$113,0)),0,IF(L71&lt;=INDEX($E$110:$E$113,MATCH(M71,$C$110:$C$113,0)),INDEX($F$110:$F$113,MATCH(M71,$C$110:$C$113,0)),INDEX($G$110:$G$113,MATCH(M71,$C$110:$C$113,0))))))</f>
        <v>3</v>
      </c>
      <c r="O71">
        <f ca="1">G71+N71</f>
        <v>3</v>
      </c>
      <c r="P71" t="s">
        <v>168</v>
      </c>
      <c r="R71" t="s">
        <v>1274</v>
      </c>
    </row>
    <row r="72" spans="1:18" x14ac:dyDescent="0.2">
      <c r="A72" t="s">
        <v>939</v>
      </c>
      <c r="B72" t="s">
        <v>1275</v>
      </c>
      <c r="C72" t="s">
        <v>1276</v>
      </c>
      <c r="D72" t="s">
        <v>163</v>
      </c>
      <c r="E72">
        <v>0</v>
      </c>
      <c r="F72">
        <f>IF(D72="High",0,IF(D72="Medium",0.05,IF(D72="Low",0.1,IF(D72="Unknown",0.15,""))))</f>
        <v>0</v>
      </c>
      <c r="G72">
        <f>E72*(1+F72)</f>
        <v>0</v>
      </c>
      <c r="H72" t="s">
        <v>1277</v>
      </c>
      <c r="I72" t="s">
        <v>1278</v>
      </c>
      <c r="J72" t="s">
        <v>176</v>
      </c>
      <c r="K72">
        <f>IF(I72="","",MAX(IFERROR(DATEVALUE(TRIM(MID(SUBSTITUTE(I72,";",REPT(" ",50)),1,50))),0),IFERROR(DATEVALUE(TRIM(MID(SUBSTITUTE(I72,";",REPT(" ",50)),51,50))),0),IFERROR(DATEVALUE(TRIM(MID(SUBSTITUTE(I72,";",REPT(" ",50)),101,50))),0),IFERROR(DATEVALUE(TRIM(MID(SUBSTITUTE(I72,";",REPT(" ",50)),151,50))),0),IFERROR(DATEVALUE(TRIM(MID(SUBSTITUTE(I72,";",REPT(" ",50)),201,50))),0),IFERROR(DATEVALUE(TRIM(MID(SUBSTITUTE(I72,";",REPT(" ",50)),251,50))),0),IFERROR(DATEVALUE(TRIM(MID(SUBSTITUTE(I72,";",REPT(" ",50)),301,50))),0),IFERROR(DATEVALUE(TRIM(MID(SUBSTITUTE(I72,";",REPT(" ",50)),351,50))),0),IFERROR(DATEVALUE(TRIM(MID(SUBSTITUTE(I72,";",REPT(" ",50)),401,50))),0),IFERROR(DATEVALUE(TRIM(MID(SUBSTITUTE(I72,";",REPT(" ",50)),451,50))),0)))</f>
        <v>45566</v>
      </c>
      <c r="M72" t="s">
        <v>184</v>
      </c>
      <c r="N72">
        <f>IF(M72="","",IF(L72="",INDEX($F$110:$F$113,MATCH(M72,$C$110:$C$113,0)),IF(L72&lt;=INDEX($D$110:$D$113,MATCH(M72,$C$110:$C$113,0)),0,IF(L72&lt;=INDEX($E$110:$E$113,MATCH(M72,$C$110:$C$113,0)),INDEX($F$110:$F$113,MATCH(M72,$C$110:$C$113,0)),INDEX($G$110:$G$113,MATCH(M72,$C$110:$C$113,0))))))</f>
        <v>3</v>
      </c>
      <c r="O72">
        <f>G72+N72</f>
        <v>3</v>
      </c>
      <c r="P72" t="s">
        <v>168</v>
      </c>
      <c r="Q72" t="s">
        <v>863</v>
      </c>
      <c r="R72" t="s">
        <v>1279</v>
      </c>
    </row>
    <row r="73" spans="1:18" x14ac:dyDescent="0.2">
      <c r="A73" s="3"/>
      <c r="B73" s="44"/>
      <c r="C73" s="45"/>
      <c r="D73" s="45"/>
      <c r="E73" s="45"/>
      <c r="F73" s="45"/>
      <c r="G73" s="45"/>
      <c r="H73" s="45"/>
      <c r="I73" s="45"/>
      <c r="J73" s="45"/>
      <c r="K73" s="46"/>
      <c r="L73" s="45"/>
      <c r="M73" s="45"/>
      <c r="N73" s="45"/>
      <c r="O73" s="45"/>
      <c r="P73" s="45"/>
      <c r="Q73" s="45"/>
      <c r="R73" s="45"/>
    </row>
    <row r="74" spans="1:18" x14ac:dyDescent="0.2">
      <c r="A74" t="s">
        <v>1280</v>
      </c>
      <c r="B74" t="s">
        <v>1281</v>
      </c>
      <c r="C74" t="s">
        <v>1282</v>
      </c>
      <c r="D74" t="s">
        <v>197</v>
      </c>
      <c r="E74">
        <f>IF(C74="Low MEV exposure",0,IF(C74="Moderate exposure",10,IF(C74="High MEV exposure",20,IF(C74="Unknown",10,""))))</f>
        <v>10</v>
      </c>
      <c r="F74">
        <f>IF(D74="High",0,IF(D74="Medium",0.05,IF(D74="Low",0.1,IF(D74="Unknown",0.15,""))))</f>
        <v>0.05</v>
      </c>
      <c r="G74">
        <f>E74*(1+F74)</f>
        <v>10.5</v>
      </c>
      <c r="H74" t="s">
        <v>1283</v>
      </c>
      <c r="I74" t="s">
        <v>1284</v>
      </c>
      <c r="J74" t="s">
        <v>176</v>
      </c>
      <c r="K74" s="24">
        <f>IF(I74="","",MAX(IFERROR(DATEVALUE(TRIM(MID(SUBSTITUTE(I74,";",REPT(" ",50)),1,50))),0),IFERROR(DATEVALUE(TRIM(MID(SUBSTITUTE(I74,";",REPT(" ",50)),51,50))),0),IFERROR(DATEVALUE(TRIM(MID(SUBSTITUTE(I74,";",REPT(" ",50)),101,50))),0),IFERROR(DATEVALUE(TRIM(MID(SUBSTITUTE(I74,";",REPT(" ",50)),151,50))),0),IFERROR(DATEVALUE(TRIM(MID(SUBSTITUTE(I74,";",REPT(" ",50)),201,50))),0),IFERROR(DATEVALUE(TRIM(MID(SUBSTITUTE(I74,";",REPT(" ",50)),251,50))),0),IFERROR(DATEVALUE(TRIM(MID(SUBSTITUTE(I74,";",REPT(" ",50)),301,50))),0),IFERROR(DATEVALUE(TRIM(MID(SUBSTITUTE(I74,";",REPT(" ",50)),351,50))),0),IFERROR(DATEVALUE(TRIM(MID(SUBSTITUTE(I74,";",REPT(" ",50)),401,50))),0),IFERROR(DATEVALUE(TRIM(MID(SUBSTITUTE(I74,";",REPT(" ",50)),451,50))),0)))</f>
        <v>45444</v>
      </c>
      <c r="L74">
        <f ca="1">IF(K74="","",TODAY()-K74)</f>
        <v>560</v>
      </c>
      <c r="M74" t="s">
        <v>184</v>
      </c>
      <c r="N74">
        <f ca="1">IF(M74="","",IF(L74="",INDEX($F$110:$F$113,MATCH(M74,$C$110:$C$113,0)),IF(L74&lt;=INDEX($D$110:$D$113,MATCH(M74,$C$110:$C$113,0)),0,IF(L74&lt;=INDEX($E$110:$E$113,MATCH(M74,$C$110:$C$113,0)),INDEX($F$110:$F$113,MATCH(M74,$C$110:$C$113,0)),INDEX($G$110:$G$113,MATCH(M74,$C$110:$C$113,0))))))</f>
        <v>6</v>
      </c>
      <c r="O74">
        <f ca="1">G74+N74</f>
        <v>16.5</v>
      </c>
      <c r="P74" t="s">
        <v>168</v>
      </c>
      <c r="R74" t="s">
        <v>1285</v>
      </c>
    </row>
    <row r="75" spans="1:18" x14ac:dyDescent="0.2">
      <c r="A75" t="s">
        <v>1286</v>
      </c>
      <c r="B75" t="s">
        <v>1287</v>
      </c>
      <c r="C75" t="s">
        <v>1288</v>
      </c>
      <c r="D75" t="s">
        <v>163</v>
      </c>
      <c r="E75">
        <f>IF(C75="Strong finality",0,IF(C75="Moderate finality",10,IF(C75="Weak finality/rollback risk",20,IF(C75="Unknown",10,""))))</f>
        <v>0</v>
      </c>
      <c r="F75">
        <f>IF(D75="High",0,IF(D75="Medium",0.05,IF(D75="Low",0.1,IF(D75="Unknown",0.15,""))))</f>
        <v>0</v>
      </c>
      <c r="G75">
        <f>E75*(1+F75)</f>
        <v>0</v>
      </c>
      <c r="H75" t="s">
        <v>1289</v>
      </c>
      <c r="I75" t="s">
        <v>1290</v>
      </c>
      <c r="J75" t="s">
        <v>176</v>
      </c>
      <c r="K75" s="24">
        <f>IF(I75="","",MAX(IFERROR(DATEVALUE(TRIM(MID(SUBSTITUTE(I75,";",REPT(" ",50)),1,50))),0),IFERROR(DATEVALUE(TRIM(MID(SUBSTITUTE(I75,";",REPT(" ",50)),51,50))),0),IFERROR(DATEVALUE(TRIM(MID(SUBSTITUTE(I75,";",REPT(" ",50)),101,50))),0),IFERROR(DATEVALUE(TRIM(MID(SUBSTITUTE(I75,";",REPT(" ",50)),151,50))),0),IFERROR(DATEVALUE(TRIM(MID(SUBSTITUTE(I75,";",REPT(" ",50)),201,50))),0),IFERROR(DATEVALUE(TRIM(MID(SUBSTITUTE(I75,";",REPT(" ",50)),251,50))),0),IFERROR(DATEVALUE(TRIM(MID(SUBSTITUTE(I75,";",REPT(" ",50)),301,50))),0),IFERROR(DATEVALUE(TRIM(MID(SUBSTITUTE(I75,";",REPT(" ",50)),351,50))),0),IFERROR(DATEVALUE(TRIM(MID(SUBSTITUTE(I75,";",REPT(" ",50)),401,50))),0),IFERROR(DATEVALUE(TRIM(MID(SUBSTITUTE(I75,";",REPT(" ",50)),451,50))),0)))</f>
        <v>45078</v>
      </c>
      <c r="L75">
        <f ca="1">IF(K75="","",TODAY()-K75)</f>
        <v>926</v>
      </c>
      <c r="M75" t="s">
        <v>167</v>
      </c>
      <c r="N75">
        <f ca="1">IF(M75="","",IF(L75="",INDEX($F$110:$F$113,MATCH(M75,$C$110:$C$113,0)),IF(L75&lt;=INDEX($D$110:$D$113,MATCH(M75,$C$110:$C$113,0)),0,IF(L75&lt;=INDEX($E$110:$E$113,MATCH(M75,$C$110:$C$113,0)),INDEX($F$110:$F$113,MATCH(M75,$C$110:$C$113,0)),INDEX($G$110:$G$113,MATCH(M75,$C$110:$C$113,0))))))</f>
        <v>0</v>
      </c>
      <c r="O75">
        <f ca="1">G75+N75</f>
        <v>0</v>
      </c>
      <c r="P75" t="str">
        <f>IF(AND(C75="Weak finality/rollback risk",OR(D75="High",D75="Medium")),"Review Required","No Review")</f>
        <v>No Review</v>
      </c>
      <c r="Q75" t="s">
        <v>1291</v>
      </c>
      <c r="R75" t="s">
        <v>1292</v>
      </c>
    </row>
    <row r="76" spans="1:18" x14ac:dyDescent="0.2">
      <c r="A76" t="s">
        <v>1293</v>
      </c>
      <c r="B76" t="s">
        <v>1294</v>
      </c>
      <c r="C76" t="s">
        <v>1295</v>
      </c>
      <c r="D76" t="s">
        <v>197</v>
      </c>
      <c r="E76">
        <f>IF(C76="No reorgs",0,IF(C76="Minor reorgs",10,IF(C76="Major or repeated reorgs",20,IF(C76="Unknown",10,""))))</f>
        <v>10</v>
      </c>
      <c r="F76">
        <f>IF(D76="High",0,IF(D76="Medium",0.05,IF(D76="Low",0.1,IF(D76="Unknown",0.15,""))))</f>
        <v>0.05</v>
      </c>
      <c r="G76">
        <f>E76*(1+F76)</f>
        <v>10.5</v>
      </c>
      <c r="H76" t="s">
        <v>1296</v>
      </c>
      <c r="I76" t="s">
        <v>1297</v>
      </c>
      <c r="J76" t="s">
        <v>166</v>
      </c>
      <c r="K76" s="24">
        <f>IF(I76="","",MAX(IFERROR(DATEVALUE(TRIM(MID(SUBSTITUTE(I76,";",REPT(" ",50)),1,50))),0),IFERROR(DATEVALUE(TRIM(MID(SUBSTITUTE(I76,";",REPT(" ",50)),51,50))),0),IFERROR(DATEVALUE(TRIM(MID(SUBSTITUTE(I76,";",REPT(" ",50)),101,50))),0),IFERROR(DATEVALUE(TRIM(MID(SUBSTITUTE(I76,";",REPT(" ",50)),151,50))),0),IFERROR(DATEVALUE(TRIM(MID(SUBSTITUTE(I76,";",REPT(" ",50)),201,50))),0),IFERROR(DATEVALUE(TRIM(MID(SUBSTITUTE(I76,";",REPT(" ",50)),251,50))),0),IFERROR(DATEVALUE(TRIM(MID(SUBSTITUTE(I76,";",REPT(" ",50)),301,50))),0),IFERROR(DATEVALUE(TRIM(MID(SUBSTITUTE(I76,";",REPT(" ",50)),351,50))),0),IFERROR(DATEVALUE(TRIM(MID(SUBSTITUTE(I76,";",REPT(" ",50)),401,50))),0),IFERROR(DATEVALUE(TRIM(MID(SUBSTITUTE(I76,";",REPT(" ",50)),451,50))),0)))</f>
        <v>45078</v>
      </c>
      <c r="L76">
        <f ca="1">IF(K76="","",TODAY()-K76)</f>
        <v>926</v>
      </c>
      <c r="M76" t="s">
        <v>273</v>
      </c>
      <c r="N76">
        <f ca="1">IF(M76="","",IF(L76="",INDEX($F$110:$F$113,MATCH(M76,$C$110:$C$113,0)),IF(L76&lt;=INDEX($D$110:$D$113,MATCH(M76,$C$110:$C$113,0)),0,IF(L76&lt;=INDEX($E$110:$E$113,MATCH(M76,$C$110:$C$113,0)),INDEX($F$110:$F$113,MATCH(M76,$C$110:$C$113,0)),INDEX($G$110:$G$113,MATCH(M76,$C$110:$C$113,0))))))</f>
        <v>10</v>
      </c>
      <c r="O76">
        <f ca="1">G76+N76</f>
        <v>20.5</v>
      </c>
      <c r="P76" t="str">
        <f>IF(AND(C76="Major or repeated reorgs",OR(D76="High",D76="Medium")),"Review Required","No Review")</f>
        <v>No Review</v>
      </c>
      <c r="Q76" t="s">
        <v>1298</v>
      </c>
      <c r="R76" t="s">
        <v>1299</v>
      </c>
    </row>
    <row r="77" spans="1:18" x14ac:dyDescent="0.2">
      <c r="A77" t="s">
        <v>1300</v>
      </c>
      <c r="B77" t="s">
        <v>1301</v>
      </c>
      <c r="C77" t="s">
        <v>1302</v>
      </c>
      <c r="D77" t="s">
        <v>163</v>
      </c>
      <c r="E77">
        <v>0</v>
      </c>
      <c r="F77">
        <f>IF(D77="High",0,IF(D77="Medium",0.05,IF(D77="Low",0.1,IF(D77="Unknown",0.15,""))))</f>
        <v>0</v>
      </c>
      <c r="G77">
        <f>E77*(1+F77)</f>
        <v>0</v>
      </c>
      <c r="H77" t="s">
        <v>1303</v>
      </c>
      <c r="I77" t="s">
        <v>1304</v>
      </c>
      <c r="J77" t="s">
        <v>176</v>
      </c>
      <c r="K77">
        <f>IF(I77="","",MAX(IFERROR(DATEVALUE(TRIM(MID(SUBSTITUTE(I77,";",REPT(" ",50)),1,50))),0),IFERROR(DATEVALUE(TRIM(MID(SUBSTITUTE(I77,";",REPT(" ",50)),51,50))),0),IFERROR(DATEVALUE(TRIM(MID(SUBSTITUTE(I77,";",REPT(" ",50)),101,50))),0),IFERROR(DATEVALUE(TRIM(MID(SUBSTITUTE(I77,";",REPT(" ",50)),151,50))),0),IFERROR(DATEVALUE(TRIM(MID(SUBSTITUTE(I77,";",REPT(" ",50)),201,50))),0),IFERROR(DATEVALUE(TRIM(MID(SUBSTITUTE(I77,";",REPT(" ",50)),251,50))),0),IFERROR(DATEVALUE(TRIM(MID(SUBSTITUTE(I77,";",REPT(" ",50)),301,50))),0),IFERROR(DATEVALUE(TRIM(MID(SUBSTITUTE(I77,";",REPT(" ",50)),351,50))),0),IFERROR(DATEVALUE(TRIM(MID(SUBSTITUTE(I77,";",REPT(" ",50)),401,50))),0),IFERROR(DATEVALUE(TRIM(MID(SUBSTITUTE(I77,";",REPT(" ",50)),451,50))),0)))</f>
        <v>45345</v>
      </c>
      <c r="M77" t="s">
        <v>184</v>
      </c>
      <c r="N77">
        <f>IF(M77="","",IF(L77="",INDEX($F$110:$F$113,MATCH(M77,$C$110:$C$113,0)),IF(L77&lt;=INDEX($D$110:$D$113,MATCH(M77,$C$110:$C$113,0)),0,IF(L77&lt;=INDEX($E$110:$E$113,MATCH(M77,$C$110:$C$113,0)),INDEX($F$110:$F$113,MATCH(M77,$C$110:$C$113,0)),INDEX($G$110:$G$113,MATCH(M77,$C$110:$C$113,0))))))</f>
        <v>3</v>
      </c>
      <c r="O77">
        <f>G77+N77</f>
        <v>3</v>
      </c>
      <c r="P77" t="s">
        <v>168</v>
      </c>
      <c r="Q77" t="s">
        <v>863</v>
      </c>
      <c r="R77" t="s">
        <v>1305</v>
      </c>
    </row>
    <row r="78" spans="1:18" x14ac:dyDescent="0.2">
      <c r="A78" s="3"/>
      <c r="B78" s="44"/>
      <c r="C78" s="45"/>
      <c r="D78" s="45"/>
      <c r="E78" s="45"/>
      <c r="F78" s="45"/>
      <c r="G78" s="45"/>
      <c r="H78" s="45"/>
      <c r="I78" s="45"/>
      <c r="J78" s="45"/>
      <c r="K78" s="46"/>
      <c r="L78" s="45"/>
      <c r="M78" s="45"/>
      <c r="N78" s="45"/>
      <c r="O78" s="45"/>
      <c r="P78" s="45"/>
      <c r="Q78" s="45"/>
      <c r="R78" s="45"/>
    </row>
    <row r="79" spans="1:18" x14ac:dyDescent="0.2">
      <c r="A79" t="s">
        <v>1306</v>
      </c>
      <c r="B79" t="s">
        <v>1307</v>
      </c>
      <c r="C79" t="s">
        <v>1308</v>
      </c>
      <c r="D79" t="s">
        <v>163</v>
      </c>
      <c r="E79">
        <f>IF(C79="No failures",0,IF(C79="Minor/short-lived event",10,IF(C79="Major or repeated failures",20,IF(C79="Unknown",10,""))))</f>
        <v>10</v>
      </c>
      <c r="F79">
        <f>IF(D79="High",0,IF(D79="Medium",0.05,IF(D79="Low",0.1,IF(D79="Unknown",0.15,""))))</f>
        <v>0</v>
      </c>
      <c r="G79">
        <f>E79*(1+F79)</f>
        <v>10</v>
      </c>
      <c r="H79" t="s">
        <v>1309</v>
      </c>
      <c r="J79" t="s">
        <v>166</v>
      </c>
      <c r="K79" s="24" t="str">
        <f>IF(I79="","",MAX(IFERROR(DATEVALUE(TRIM(MID(SUBSTITUTE(I79,";",REPT(" ",50)),1,50))),0),IFERROR(DATEVALUE(TRIM(MID(SUBSTITUTE(I79,";",REPT(" ",50)),51,50))),0),IFERROR(DATEVALUE(TRIM(MID(SUBSTITUTE(I79,";",REPT(" ",50)),101,50))),0),IFERROR(DATEVALUE(TRIM(MID(SUBSTITUTE(I79,";",REPT(" ",50)),151,50))),0),IFERROR(DATEVALUE(TRIM(MID(SUBSTITUTE(I79,";",REPT(" ",50)),201,50))),0),IFERROR(DATEVALUE(TRIM(MID(SUBSTITUTE(I79,";",REPT(" ",50)),251,50))),0),IFERROR(DATEVALUE(TRIM(MID(SUBSTITUTE(I79,";",REPT(" ",50)),301,50))),0),IFERROR(DATEVALUE(TRIM(MID(SUBSTITUTE(I79,";",REPT(" ",50)),351,50))),0),IFERROR(DATEVALUE(TRIM(MID(SUBSTITUTE(I79,";",REPT(" ",50)),401,50))),0),IFERROR(DATEVALUE(TRIM(MID(SUBSTITUTE(I79,";",REPT(" ",50)),451,50))),0)))</f>
        <v/>
      </c>
      <c r="L79" t="str">
        <f ca="1">IF(K79="","",TODAY()-K79)</f>
        <v/>
      </c>
      <c r="M79" t="s">
        <v>273</v>
      </c>
      <c r="N79">
        <f ca="1">IF(M79="","",IF(L79="",INDEX($F$110:$F$113,MATCH(M79,$C$110:$C$113,0)),IF(L79&lt;=INDEX($D$110:$D$113,MATCH(M79,$C$110:$C$113,0)),0,IF(L79&lt;=INDEX($E$110:$E$113,MATCH(M79,$C$110:$C$113,0)),INDEX($F$110:$F$113,MATCH(M79,$C$110:$C$113,0)),INDEX($G$110:$G$113,MATCH(M79,$C$110:$C$113,0))))))</f>
        <v>5</v>
      </c>
      <c r="O79">
        <f ca="1">G79+N79</f>
        <v>15</v>
      </c>
      <c r="P79" t="s">
        <v>168</v>
      </c>
      <c r="R79" t="s">
        <v>1310</v>
      </c>
    </row>
    <row r="80" spans="1:18" x14ac:dyDescent="0.2">
      <c r="A80" t="s">
        <v>1311</v>
      </c>
      <c r="B80" t="s">
        <v>1312</v>
      </c>
      <c r="C80" t="s">
        <v>1313</v>
      </c>
      <c r="D80" t="s">
        <v>163</v>
      </c>
      <c r="E80">
        <f>IF(C80="No breaches",0,IF(C80="Minor issue fully resolved",10,IF(C80="Significant breach",20,IF(C80="Unknown",10,""))))</f>
        <v>0</v>
      </c>
      <c r="F80">
        <f>IF(D80="High",0,IF(D80="Medium",0.05,IF(D80="Low",0.1,IF(D80="Unknown",0.15,""))))</f>
        <v>0</v>
      </c>
      <c r="G80">
        <f>E80*(1+F80)</f>
        <v>0</v>
      </c>
      <c r="H80" t="s">
        <v>1314</v>
      </c>
      <c r="I80" t="s">
        <v>1315</v>
      </c>
      <c r="J80" t="s">
        <v>176</v>
      </c>
      <c r="K80" s="24">
        <f>IF(I80="","",MAX(IFERROR(DATEVALUE(TRIM(MID(SUBSTITUTE(I80,";",REPT(" ",50)),1,50))),0),IFERROR(DATEVALUE(TRIM(MID(SUBSTITUTE(I80,";",REPT(" ",50)),51,50))),0),IFERROR(DATEVALUE(TRIM(MID(SUBSTITUTE(I80,";",REPT(" ",50)),101,50))),0),IFERROR(DATEVALUE(TRIM(MID(SUBSTITUTE(I80,";",REPT(" ",50)),151,50))),0),IFERROR(DATEVALUE(TRIM(MID(SUBSTITUTE(I80,";",REPT(" ",50)),201,50))),0),IFERROR(DATEVALUE(TRIM(MID(SUBSTITUTE(I80,";",REPT(" ",50)),251,50))),0),IFERROR(DATEVALUE(TRIM(MID(SUBSTITUTE(I80,";",REPT(" ",50)),301,50))),0),IFERROR(DATEVALUE(TRIM(MID(SUBSTITUTE(I80,";",REPT(" ",50)),351,50))),0),IFERROR(DATEVALUE(TRIM(MID(SUBSTITUTE(I80,";",REPT(" ",50)),401,50))),0),IFERROR(DATEVALUE(TRIM(MID(SUBSTITUTE(I80,";",REPT(" ",50)),451,50))),0)))</f>
        <v>45566</v>
      </c>
      <c r="L80">
        <f ca="1">IF(K80="","",TODAY()-K80)</f>
        <v>438</v>
      </c>
      <c r="M80" t="s">
        <v>273</v>
      </c>
      <c r="N80">
        <f ca="1">IF(M80="","",IF(L80="",INDEX($F$110:$F$113,MATCH(M80,$C$110:$C$113,0)),IF(L80&lt;=INDEX($D$110:$D$113,MATCH(M80,$C$110:$C$113,0)),0,IF(L80&lt;=INDEX($E$110:$E$113,MATCH(M80,$C$110:$C$113,0)),INDEX($F$110:$F$113,MATCH(M80,$C$110:$C$113,0)),INDEX($G$110:$G$113,MATCH(M80,$C$110:$C$113,0))))))</f>
        <v>10</v>
      </c>
      <c r="O80">
        <f ca="1">G80+N80</f>
        <v>10</v>
      </c>
      <c r="P80" t="s">
        <v>168</v>
      </c>
      <c r="R80" t="s">
        <v>1316</v>
      </c>
    </row>
    <row r="81" spans="1:18" x14ac:dyDescent="0.2">
      <c r="A81" t="s">
        <v>1317</v>
      </c>
      <c r="B81" t="s">
        <v>1318</v>
      </c>
      <c r="C81" t="s">
        <v>259</v>
      </c>
      <c r="D81" t="s">
        <v>163</v>
      </c>
      <c r="E81">
        <v>0</v>
      </c>
      <c r="F81">
        <f>IF(D81="High",0,IF(D81="Medium",0.05,IF(D81="Low",0.1,IF(D81="Unknown",0.15,""))))</f>
        <v>0</v>
      </c>
      <c r="G81">
        <f>E81*(1+F81)</f>
        <v>0</v>
      </c>
      <c r="H81" t="s">
        <v>1319</v>
      </c>
      <c r="I81" t="s">
        <v>1320</v>
      </c>
      <c r="J81" t="s">
        <v>176</v>
      </c>
      <c r="K81">
        <f>IF(I81="","",MAX(IFERROR(DATEVALUE(TRIM(MID(SUBSTITUTE(I81,";",REPT(" ",50)),1,50))),0),IFERROR(DATEVALUE(TRIM(MID(SUBSTITUTE(I81,";",REPT(" ",50)),51,50))),0),IFERROR(DATEVALUE(TRIM(MID(SUBSTITUTE(I81,";",REPT(" ",50)),101,50))),0),IFERROR(DATEVALUE(TRIM(MID(SUBSTITUTE(I81,";",REPT(" ",50)),151,50))),0),IFERROR(DATEVALUE(TRIM(MID(SUBSTITUTE(I81,";",REPT(" ",50)),201,50))),0),IFERROR(DATEVALUE(TRIM(MID(SUBSTITUTE(I81,";",REPT(" ",50)),251,50))),0),IFERROR(DATEVALUE(TRIM(MID(SUBSTITUTE(I81,";",REPT(" ",50)),301,50))),0),IFERROR(DATEVALUE(TRIM(MID(SUBSTITUTE(I81,";",REPT(" ",50)),351,50))),0),IFERROR(DATEVALUE(TRIM(MID(SUBSTITUTE(I81,";",REPT(" ",50)),401,50))),0),IFERROR(DATEVALUE(TRIM(MID(SUBSTITUTE(I81,";",REPT(" ",50)),451,50))),0)))</f>
        <v>45851</v>
      </c>
      <c r="M81" t="s">
        <v>273</v>
      </c>
      <c r="N81">
        <f>IF(M81="","",IF(L81="",INDEX($F$110:$F$113,MATCH(M81,$C$110:$C$113,0)),IF(L81&lt;=INDEX($D$110:$D$113,MATCH(M81,$C$110:$C$113,0)),0,IF(L81&lt;=INDEX($E$110:$E$113,MATCH(M81,$C$110:$C$113,0)),INDEX($F$110:$F$113,MATCH(M81,$C$110:$C$113,0)),INDEX($G$110:$G$113,MATCH(M81,$C$110:$C$113,0))))))</f>
        <v>5</v>
      </c>
      <c r="O81">
        <f>G81+N81</f>
        <v>5</v>
      </c>
      <c r="P81" t="str">
        <f>IF(AND(OR(C79="Major or repeated failures",C76="Major or repeated reorgs"),C80="Significant breach",OR(D79="High",D79="Medium",D76="High",D76="Medium",D80="High",D80="Medium")),"Review Required","No Review")</f>
        <v>No Review</v>
      </c>
      <c r="Q81" t="s">
        <v>1321</v>
      </c>
      <c r="R81" t="s">
        <v>1322</v>
      </c>
    </row>
    <row r="82" spans="1:18" x14ac:dyDescent="0.2">
      <c r="A82" t="s">
        <v>1323</v>
      </c>
      <c r="B82" t="s">
        <v>1324</v>
      </c>
      <c r="C82" t="s">
        <v>1325</v>
      </c>
      <c r="D82" t="s">
        <v>163</v>
      </c>
      <c r="E82">
        <v>0</v>
      </c>
      <c r="F82">
        <f>IF(D82="High",0,IF(D82="Medium",0.05,IF(D82="Low",0.1,IF(D82="Unknown",0.15,""))))</f>
        <v>0</v>
      </c>
      <c r="G82">
        <f>E82*(1+F82)</f>
        <v>0</v>
      </c>
      <c r="H82" t="s">
        <v>1326</v>
      </c>
      <c r="I82" t="s">
        <v>1327</v>
      </c>
      <c r="J82" t="s">
        <v>176</v>
      </c>
      <c r="K82">
        <f>IF(I82="","",MAX(IFERROR(DATEVALUE(TRIM(MID(SUBSTITUTE(I82,";",REPT(" ",50)),1,50))),0),IFERROR(DATEVALUE(TRIM(MID(SUBSTITUTE(I82,";",REPT(" ",50)),51,50))),0),IFERROR(DATEVALUE(TRIM(MID(SUBSTITUTE(I82,";",REPT(" ",50)),101,50))),0),IFERROR(DATEVALUE(TRIM(MID(SUBSTITUTE(I82,";",REPT(" ",50)),151,50))),0),IFERROR(DATEVALUE(TRIM(MID(SUBSTITUTE(I82,";",REPT(" ",50)),201,50))),0),IFERROR(DATEVALUE(TRIM(MID(SUBSTITUTE(I82,";",REPT(" ",50)),251,50))),0),IFERROR(DATEVALUE(TRIM(MID(SUBSTITUTE(I82,";",REPT(" ",50)),301,50))),0),IFERROR(DATEVALUE(TRIM(MID(SUBSTITUTE(I82,";",REPT(" ",50)),351,50))),0),IFERROR(DATEVALUE(TRIM(MID(SUBSTITUTE(I82,";",REPT(" ",50)),401,50))),0),IFERROR(DATEVALUE(TRIM(MID(SUBSTITUTE(I82,";",REPT(" ",50)),451,50))),0)))</f>
        <v>45974</v>
      </c>
      <c r="M82" t="s">
        <v>273</v>
      </c>
      <c r="N82">
        <f>IF(M82="","",IF(L82="",INDEX($F$110:$F$113,MATCH(M82,$C$110:$C$113,0)),IF(L82&lt;=INDEX($D$110:$D$113,MATCH(M82,$C$110:$C$113,0)),0,IF(L82&lt;=INDEX($E$110:$E$113,MATCH(M82,$C$110:$C$113,0)),INDEX($F$110:$F$113,MATCH(M82,$C$110:$C$113,0)),INDEX($G$110:$G$113,MATCH(M82,$C$110:$C$113,0))))))</f>
        <v>5</v>
      </c>
      <c r="O82">
        <f>G82+N82</f>
        <v>5</v>
      </c>
      <c r="P82" t="s">
        <v>168</v>
      </c>
      <c r="Q82" t="s">
        <v>863</v>
      </c>
      <c r="R82" t="s">
        <v>1328</v>
      </c>
    </row>
    <row r="83" spans="1:18" x14ac:dyDescent="0.2">
      <c r="A83" s="4"/>
      <c r="B83" s="5" t="s">
        <v>1329</v>
      </c>
      <c r="C83" s="4"/>
      <c r="D83" s="4"/>
      <c r="E83" s="4"/>
      <c r="F83" s="4"/>
      <c r="G83" s="4"/>
      <c r="H83" s="4"/>
      <c r="I83" s="4"/>
      <c r="J83" s="4"/>
      <c r="K83" s="23" t="str">
        <f>IF(I83="","",MAX(IFERROR(DATEVALUE(TRIM(MID(SUBSTITUTE(I83,";",REPT(" ",50)),1,50))),0),IFERROR(DATEVALUE(TRIM(MID(SUBSTITUTE(I83,";",REPT(" ",50)),51,50))),0),IFERROR(DATEVALUE(TRIM(MID(SUBSTITUTE(I83,";",REPT(" ",50)),101,50))),0),IFERROR(DATEVALUE(TRIM(MID(SUBSTITUTE(I83,";",REPT(" ",50)),151,50))),0),IFERROR(DATEVALUE(TRIM(MID(SUBSTITUTE(I83,";",REPT(" ",50)),201,50))),0),IFERROR(DATEVALUE(TRIM(MID(SUBSTITUTE(I83,";",REPT(" ",50)),251,50))),0),IFERROR(DATEVALUE(TRIM(MID(SUBSTITUTE(I83,";",REPT(" ",50)),301,50))),0),IFERROR(DATEVALUE(TRIM(MID(SUBSTITUTE(I83,";",REPT(" ",50)),351,50))),0),IFERROR(DATEVALUE(TRIM(MID(SUBSTITUTE(I83,";",REPT(" ",50)),401,50))),0),IFERROR(DATEVALUE(TRIM(MID(SUBSTITUTE(I83,";",REPT(" ",50)),451,50))),0)))</f>
        <v/>
      </c>
      <c r="L83" s="4"/>
      <c r="M83" s="4"/>
      <c r="N83" s="4" t="str">
        <f>IF(M83="","",IF(L83="",INDEX($F$110:$F$113,MATCH(M83,$C$110:$C$113,0)),IF(L83&lt;=INDEX($D$110:$D$113,MATCH(M83,$C$110:$C$113,0)),0,IF(L83&lt;=INDEX($E$110:$E$113,MATCH(M83,$C$110:$C$113,0)),INDEX($F$110:$F$113,MATCH(M83,$C$110:$C$113,0)),INDEX($G$110:$G$113,MATCH(M83,$C$110:$C$113,0))))))</f>
        <v/>
      </c>
      <c r="O83" s="4"/>
      <c r="P83" s="4"/>
      <c r="Q83" s="4"/>
      <c r="R83" s="4"/>
    </row>
    <row r="84" spans="1:18" x14ac:dyDescent="0.2">
      <c r="A84" s="3"/>
      <c r="B84" s="44"/>
      <c r="C84" s="45"/>
      <c r="D84" s="45"/>
      <c r="E84" s="45"/>
      <c r="F84" s="45"/>
      <c r="G84" s="45"/>
      <c r="H84" s="45"/>
      <c r="I84" s="45"/>
      <c r="J84" s="45"/>
      <c r="K84" s="46"/>
      <c r="L84" s="45"/>
      <c r="M84" s="45"/>
      <c r="N84" s="45"/>
      <c r="O84" s="45"/>
      <c r="P84" s="45"/>
      <c r="Q84" s="45"/>
      <c r="R84" s="45"/>
    </row>
    <row r="85" spans="1:18" x14ac:dyDescent="0.2">
      <c r="A85" t="s">
        <v>438</v>
      </c>
      <c r="B85" t="s">
        <v>1330</v>
      </c>
      <c r="C85" t="s">
        <v>1331</v>
      </c>
      <c r="D85" t="s">
        <v>163</v>
      </c>
      <c r="E85">
        <f>IF(C85="Highly diversified (multiple providers)",0,IF(C85="Moderately diversified",10,IF(C85="Single provider dependency",20,IF(C85="Unknown",10,""))))</f>
        <v>0</v>
      </c>
      <c r="F85">
        <f>IF(D85="High",0,IF(D85="Medium",0.05,IF(D85="Low",0.1,IF(D85="Unknown",0.15,""))))</f>
        <v>0</v>
      </c>
      <c r="G85">
        <f>E85*(1+F85)</f>
        <v>0</v>
      </c>
      <c r="H85" t="s">
        <v>1332</v>
      </c>
      <c r="I85" t="s">
        <v>1333</v>
      </c>
      <c r="J85" t="s">
        <v>176</v>
      </c>
      <c r="K85" s="24">
        <f>IF(I85="","",MAX(IFERROR(DATEVALUE(TRIM(MID(SUBSTITUTE(I85,";",REPT(" ",50)),1,50))),0),IFERROR(DATEVALUE(TRIM(MID(SUBSTITUTE(I85,";",REPT(" ",50)),51,50))),0),IFERROR(DATEVALUE(TRIM(MID(SUBSTITUTE(I85,";",REPT(" ",50)),101,50))),0),IFERROR(DATEVALUE(TRIM(MID(SUBSTITUTE(I85,";",REPT(" ",50)),151,50))),0),IFERROR(DATEVALUE(TRIM(MID(SUBSTITUTE(I85,";",REPT(" ",50)),201,50))),0),IFERROR(DATEVALUE(TRIM(MID(SUBSTITUTE(I85,";",REPT(" ",50)),251,50))),0),IFERROR(DATEVALUE(TRIM(MID(SUBSTITUTE(I85,";",REPT(" ",50)),301,50))),0),IFERROR(DATEVALUE(TRIM(MID(SUBSTITUTE(I85,";",REPT(" ",50)),351,50))),0),IFERROR(DATEVALUE(TRIM(MID(SUBSTITUTE(I85,";",REPT(" ",50)),401,50))),0),IFERROR(DATEVALUE(TRIM(MID(SUBSTITUTE(I85,";",REPT(" ",50)),451,50))),0)))</f>
        <v>45566</v>
      </c>
      <c r="L85">
        <f ca="1">IF(K85="","",TODAY()-K85)</f>
        <v>438</v>
      </c>
      <c r="M85" t="s">
        <v>184</v>
      </c>
      <c r="N85">
        <f ca="1">IF(M85="","",IF(L85="",INDEX($F$110:$F$113,MATCH(M85,$C$110:$C$113,0)),IF(L85&lt;=INDEX($D$110:$D$113,MATCH(M85,$C$110:$C$113,0)),0,IF(L85&lt;=INDEX($E$110:$E$113,MATCH(M85,$C$110:$C$113,0)),INDEX($F$110:$F$113,MATCH(M85,$C$110:$C$113,0)),INDEX($G$110:$G$113,MATCH(M85,$C$110:$C$113,0))))))</f>
        <v>6</v>
      </c>
      <c r="O85">
        <f ca="1">G85+N85</f>
        <v>6</v>
      </c>
      <c r="P85" t="s">
        <v>168</v>
      </c>
      <c r="R85" t="s">
        <v>1334</v>
      </c>
    </row>
    <row r="86" spans="1:18" x14ac:dyDescent="0.2">
      <c r="A86" t="s">
        <v>445</v>
      </c>
      <c r="B86" t="s">
        <v>1335</v>
      </c>
      <c r="C86" t="s">
        <v>1336</v>
      </c>
      <c r="D86" t="s">
        <v>197</v>
      </c>
      <c r="E86">
        <f>IF(C86="High reliability",0,IF(C86="Moderate reliability",10,IF(C86="Repeated outages/instability",20,IF(C86="Unknown",10,""))))</f>
        <v>10</v>
      </c>
      <c r="F86">
        <f>IF(D86="High",0,IF(D86="Medium",0.05,IF(D86="Low",0.1,IF(D86="Unknown",0.15,""))))</f>
        <v>0.05</v>
      </c>
      <c r="G86">
        <f>E86*(1+F86)</f>
        <v>10.5</v>
      </c>
      <c r="H86" t="s">
        <v>1337</v>
      </c>
      <c r="I86" t="s">
        <v>1338</v>
      </c>
      <c r="J86" t="s">
        <v>176</v>
      </c>
      <c r="K86" s="24">
        <f>IF(I86="","",MAX(IFERROR(DATEVALUE(TRIM(MID(SUBSTITUTE(I86,";",REPT(" ",50)),1,50))),0),IFERROR(DATEVALUE(TRIM(MID(SUBSTITUTE(I86,";",REPT(" ",50)),51,50))),0),IFERROR(DATEVALUE(TRIM(MID(SUBSTITUTE(I86,";",REPT(" ",50)),101,50))),0),IFERROR(DATEVALUE(TRIM(MID(SUBSTITUTE(I86,";",REPT(" ",50)),151,50))),0),IFERROR(DATEVALUE(TRIM(MID(SUBSTITUTE(I86,";",REPT(" ",50)),201,50))),0),IFERROR(DATEVALUE(TRIM(MID(SUBSTITUTE(I86,";",REPT(" ",50)),251,50))),0),IFERROR(DATEVALUE(TRIM(MID(SUBSTITUTE(I86,";",REPT(" ",50)),301,50))),0),IFERROR(DATEVALUE(TRIM(MID(SUBSTITUTE(I86,";",REPT(" ",50)),351,50))),0),IFERROR(DATEVALUE(TRIM(MID(SUBSTITUTE(I86,";",REPT(" ",50)),401,50))),0),IFERROR(DATEVALUE(TRIM(MID(SUBSTITUTE(I86,";",REPT(" ",50)),451,50))),0)))</f>
        <v>44246</v>
      </c>
      <c r="L86">
        <f ca="1">IF(K86="","",TODAY()-K86)</f>
        <v>1758</v>
      </c>
      <c r="M86" t="s">
        <v>184</v>
      </c>
      <c r="N86">
        <f ca="1">IF(M86="","",IF(L86="",INDEX($F$110:$F$113,MATCH(M86,$C$110:$C$113,0)),IF(L86&lt;=INDEX($D$110:$D$113,MATCH(M86,$C$110:$C$113,0)),0,IF(L86&lt;=INDEX($E$110:$E$113,MATCH(M86,$C$110:$C$113,0)),INDEX($F$110:$F$113,MATCH(M86,$C$110:$C$113,0)),INDEX($G$110:$G$113,MATCH(M86,$C$110:$C$113,0))))))</f>
        <v>6</v>
      </c>
      <c r="O86">
        <f ca="1">G86+N86</f>
        <v>16.5</v>
      </c>
      <c r="P86" t="s">
        <v>168</v>
      </c>
      <c r="R86" t="s">
        <v>1339</v>
      </c>
    </row>
    <row r="87" spans="1:18" x14ac:dyDescent="0.2">
      <c r="A87" t="s">
        <v>451</v>
      </c>
      <c r="B87" t="s">
        <v>1340</v>
      </c>
      <c r="C87" t="s">
        <v>1341</v>
      </c>
      <c r="D87" t="s">
        <v>197</v>
      </c>
      <c r="E87">
        <f>IF(C87="Decentralised",0,IF(C87="Partially decentralised",10,IF(C87="Centralised infra",20,IF(C87="Unknown",10,""))))</f>
        <v>10</v>
      </c>
      <c r="F87">
        <f>IF(D87="High",0,IF(D87="Medium",0.05,IF(D87="Low",0.1,IF(D87="Unknown",0.15,""))))</f>
        <v>0.05</v>
      </c>
      <c r="G87">
        <f>E87*(1+F87)</f>
        <v>10.5</v>
      </c>
      <c r="H87" t="s">
        <v>1342</v>
      </c>
      <c r="I87" t="s">
        <v>1343</v>
      </c>
      <c r="J87" t="s">
        <v>166</v>
      </c>
      <c r="K87" s="24">
        <f>IF(I87="","",MAX(IFERROR(DATEVALUE(TRIM(MID(SUBSTITUTE(I87,";",REPT(" ",50)),1,50))),0),IFERROR(DATEVALUE(TRIM(MID(SUBSTITUTE(I87,";",REPT(" ",50)),51,50))),0),IFERROR(DATEVALUE(TRIM(MID(SUBSTITUTE(I87,";",REPT(" ",50)),101,50))),0),IFERROR(DATEVALUE(TRIM(MID(SUBSTITUTE(I87,";",REPT(" ",50)),151,50))),0),IFERROR(DATEVALUE(TRIM(MID(SUBSTITUTE(I87,";",REPT(" ",50)),201,50))),0),IFERROR(DATEVALUE(TRIM(MID(SUBSTITUTE(I87,";",REPT(" ",50)),251,50))),0),IFERROR(DATEVALUE(TRIM(MID(SUBSTITUTE(I87,";",REPT(" ",50)),301,50))),0),IFERROR(DATEVALUE(TRIM(MID(SUBSTITUTE(I87,";",REPT(" ",50)),351,50))),0),IFERROR(DATEVALUE(TRIM(MID(SUBSTITUTE(I87,";",REPT(" ",50)),401,50))),0),IFERROR(DATEVALUE(TRIM(MID(SUBSTITUTE(I87,";",REPT(" ",50)),451,50))),0)))</f>
        <v>45306</v>
      </c>
      <c r="L87">
        <f ca="1">IF(K87="","",TODAY()-K87)</f>
        <v>698</v>
      </c>
      <c r="M87" t="s">
        <v>303</v>
      </c>
      <c r="N87">
        <f ca="1">IF(M87="","",IF(L87="",INDEX($F$110:$F$113,MATCH(M87,$C$110:$C$113,0)),IF(L87&lt;=INDEX($D$110:$D$113,MATCH(M87,$C$110:$C$113,0)),0,IF(L87&lt;=INDEX($E$110:$E$113,MATCH(M87,$C$110:$C$113,0)),INDEX($F$110:$F$113,MATCH(M87,$C$110:$C$113,0)),INDEX($G$110:$G$113,MATCH(M87,$C$110:$C$113,0))))))</f>
        <v>2</v>
      </c>
      <c r="O87">
        <f ca="1">G87+N87</f>
        <v>12.5</v>
      </c>
      <c r="P87" t="str">
        <f>IF(AND(C87="Centralised infra",OR(D87="High",D87="Medium")),"Review Required","No Review")</f>
        <v>No Review</v>
      </c>
      <c r="Q87" t="s">
        <v>1344</v>
      </c>
      <c r="R87" t="s">
        <v>1345</v>
      </c>
    </row>
    <row r="88" spans="1:18" x14ac:dyDescent="0.2">
      <c r="A88" t="s">
        <v>461</v>
      </c>
      <c r="B88" t="s">
        <v>1346</v>
      </c>
      <c r="C88" t="s">
        <v>1347</v>
      </c>
      <c r="D88" t="s">
        <v>197</v>
      </c>
      <c r="E88">
        <v>0</v>
      </c>
      <c r="F88">
        <f>IF(D88="High",0,IF(D88="Medium",0.05,IF(D88="Low",0.1,IF(D88="Unknown",0.15,""))))</f>
        <v>0.05</v>
      </c>
      <c r="G88">
        <f>E88*(1+F88)</f>
        <v>0</v>
      </c>
      <c r="H88" t="s">
        <v>1348</v>
      </c>
      <c r="I88" t="s">
        <v>1349</v>
      </c>
      <c r="J88" t="s">
        <v>176</v>
      </c>
      <c r="K88">
        <f>IF(I88="","",MAX(IFERROR(DATEVALUE(TRIM(MID(SUBSTITUTE(I88,";",REPT(" ",50)),1,50))),0),IFERROR(DATEVALUE(TRIM(MID(SUBSTITUTE(I88,";",REPT(" ",50)),51,50))),0),IFERROR(DATEVALUE(TRIM(MID(SUBSTITUTE(I88,";",REPT(" ",50)),101,50))),0),IFERROR(DATEVALUE(TRIM(MID(SUBSTITUTE(I88,";",REPT(" ",50)),151,50))),0),IFERROR(DATEVALUE(TRIM(MID(SUBSTITUTE(I88,";",REPT(" ",50)),201,50))),0),IFERROR(DATEVALUE(TRIM(MID(SUBSTITUTE(I88,";",REPT(" ",50)),251,50))),0),IFERROR(DATEVALUE(TRIM(MID(SUBSTITUTE(I88,";",REPT(" ",50)),301,50))),0),IFERROR(DATEVALUE(TRIM(MID(SUBSTITUTE(I88,";",REPT(" ",50)),351,50))),0),IFERROR(DATEVALUE(TRIM(MID(SUBSTITUTE(I88,";",REPT(" ",50)),401,50))),0),IFERROR(DATEVALUE(TRIM(MID(SUBSTITUTE(I88,";",REPT(" ",50)),451,50))),0)))</f>
        <v>45413</v>
      </c>
      <c r="M88" t="s">
        <v>303</v>
      </c>
      <c r="N88">
        <f>IF(M88="","",IF(L88="",INDEX($F$110:$F$113,MATCH(M88,$C$110:$C$113,0)),IF(L88&lt;=INDEX($D$110:$D$113,MATCH(M88,$C$110:$C$113,0)),0,IF(L88&lt;=INDEX($E$110:$E$113,MATCH(M88,$C$110:$C$113,0)),INDEX($F$110:$F$113,MATCH(M88,$C$110:$C$113,0)),INDEX($G$110:$G$113,MATCH(M88,$C$110:$C$113,0))))))</f>
        <v>2</v>
      </c>
      <c r="O88">
        <f>G88+N88</f>
        <v>2</v>
      </c>
      <c r="P88" t="s">
        <v>168</v>
      </c>
      <c r="Q88" t="s">
        <v>863</v>
      </c>
      <c r="R88" t="s">
        <v>1350</v>
      </c>
    </row>
    <row r="89" spans="1:18" x14ac:dyDescent="0.2">
      <c r="A89" s="3"/>
      <c r="B89" s="44"/>
      <c r="C89" s="45"/>
      <c r="D89" s="45"/>
      <c r="E89" s="45"/>
      <c r="F89" s="45"/>
      <c r="G89" s="45"/>
      <c r="H89" s="45"/>
      <c r="I89" s="45"/>
      <c r="J89" s="45"/>
      <c r="K89" s="46"/>
      <c r="L89" s="45"/>
      <c r="M89" s="45"/>
      <c r="N89" s="45"/>
      <c r="O89" s="45"/>
      <c r="P89" s="45"/>
      <c r="Q89" s="45"/>
      <c r="R89" s="45"/>
    </row>
    <row r="90" spans="1:18" x14ac:dyDescent="0.2">
      <c r="A90" t="s">
        <v>467</v>
      </c>
      <c r="B90" t="s">
        <v>1351</v>
      </c>
      <c r="C90" t="s">
        <v>1352</v>
      </c>
      <c r="D90" t="s">
        <v>197</v>
      </c>
      <c r="E90">
        <f>IF(C90="High diversity (multiple clients)",0,IF(C90="Moderate diversity",10,IF(C90="Single dominant client (&gt;90%)",20,IF(C90="Unknown",10,""))))</f>
        <v>20</v>
      </c>
      <c r="F90">
        <f>IF(D90="High",0,IF(D90="Medium",0.05,IF(D90="Low",0.1,IF(D90="Unknown",0.15,""))))</f>
        <v>0.05</v>
      </c>
      <c r="G90">
        <f>E90*(1+F90)</f>
        <v>21</v>
      </c>
      <c r="H90" t="s">
        <v>1353</v>
      </c>
      <c r="I90" t="s">
        <v>1354</v>
      </c>
      <c r="J90" t="s">
        <v>166</v>
      </c>
      <c r="K90" s="24">
        <f>IF(I90="","",MAX(IFERROR(DATEVALUE(TRIM(MID(SUBSTITUTE(I90,";",REPT(" ",50)),1,50))),0),IFERROR(DATEVALUE(TRIM(MID(SUBSTITUTE(I90,";",REPT(" ",50)),51,50))),0),IFERROR(DATEVALUE(TRIM(MID(SUBSTITUTE(I90,";",REPT(" ",50)),101,50))),0),IFERROR(DATEVALUE(TRIM(MID(SUBSTITUTE(I90,";",REPT(" ",50)),151,50))),0),IFERROR(DATEVALUE(TRIM(MID(SUBSTITUTE(I90,";",REPT(" ",50)),201,50))),0),IFERROR(DATEVALUE(TRIM(MID(SUBSTITUTE(I90,";",REPT(" ",50)),251,50))),0),IFERROR(DATEVALUE(TRIM(MID(SUBSTITUTE(I90,";",REPT(" ",50)),301,50))),0),IFERROR(DATEVALUE(TRIM(MID(SUBSTITUTE(I90,";",REPT(" ",50)),351,50))),0),IFERROR(DATEVALUE(TRIM(MID(SUBSTITUTE(I90,";",REPT(" ",50)),401,50))),0),IFERROR(DATEVALUE(TRIM(MID(SUBSTITUTE(I90,";",REPT(" ",50)),451,50))),0)))</f>
        <v>45566</v>
      </c>
      <c r="L90">
        <f ca="1">IF(K90="","",TODAY()-K90)</f>
        <v>438</v>
      </c>
      <c r="M90" t="s">
        <v>303</v>
      </c>
      <c r="N90">
        <f ca="1">IF(M90="","",IF(L90="",INDEX($F$110:$F$113,MATCH(M90,$C$110:$C$113,0)),IF(L90&lt;=INDEX($D$110:$D$113,MATCH(M90,$C$110:$C$113,0)),0,IF(L90&lt;=INDEX($E$110:$E$113,MATCH(M90,$C$110:$C$113,0)),INDEX($F$110:$F$113,MATCH(M90,$C$110:$C$113,0)),INDEX($G$110:$G$113,MATCH(M90,$C$110:$C$113,0))))))</f>
        <v>2</v>
      </c>
      <c r="O90">
        <f ca="1">G90+N90</f>
        <v>23</v>
      </c>
      <c r="P90" t="s">
        <v>168</v>
      </c>
      <c r="R90" t="s">
        <v>1355</v>
      </c>
    </row>
    <row r="91" spans="1:18" x14ac:dyDescent="0.2">
      <c r="A91" t="s">
        <v>473</v>
      </c>
      <c r="B91" t="s">
        <v>1356</v>
      </c>
      <c r="C91" t="s">
        <v>1357</v>
      </c>
      <c r="D91" t="s">
        <v>163</v>
      </c>
      <c r="E91">
        <f>IF(C91="Actively maintained",0,IF(C91="Moderately maintained",10,IF(C91="Poorly maintained/infrequent updates",20,IF(C91="Unknown",10,""))))</f>
        <v>0</v>
      </c>
      <c r="F91">
        <f>IF(D91="High",0,IF(D91="Medium",0.05,IF(D91="Low",0.1,IF(D91="Unknown",0.15,""))))</f>
        <v>0</v>
      </c>
      <c r="G91">
        <f>E91*(1+F91)</f>
        <v>0</v>
      </c>
      <c r="H91" t="s">
        <v>1358</v>
      </c>
      <c r="I91" t="s">
        <v>1359</v>
      </c>
      <c r="J91" t="s">
        <v>176</v>
      </c>
      <c r="K91" s="24">
        <f>IF(I91="","",MAX(IFERROR(DATEVALUE(TRIM(MID(SUBSTITUTE(I91,";",REPT(" ",50)),1,50))),0),IFERROR(DATEVALUE(TRIM(MID(SUBSTITUTE(I91,";",REPT(" ",50)),51,50))),0),IFERROR(DATEVALUE(TRIM(MID(SUBSTITUTE(I91,";",REPT(" ",50)),101,50))),0),IFERROR(DATEVALUE(TRIM(MID(SUBSTITUTE(I91,";",REPT(" ",50)),151,50))),0),IFERROR(DATEVALUE(TRIM(MID(SUBSTITUTE(I91,";",REPT(" ",50)),201,50))),0),IFERROR(DATEVALUE(TRIM(MID(SUBSTITUTE(I91,";",REPT(" ",50)),251,50))),0),IFERROR(DATEVALUE(TRIM(MID(SUBSTITUTE(I91,";",REPT(" ",50)),301,50))),0),IFERROR(DATEVALUE(TRIM(MID(SUBSTITUTE(I91,";",REPT(" ",50)),351,50))),0),IFERROR(DATEVALUE(TRIM(MID(SUBSTITUTE(I91,";",REPT(" ",50)),401,50))),0),IFERROR(DATEVALUE(TRIM(MID(SUBSTITUTE(I91,";",REPT(" ",50)),451,50))),0)))</f>
        <v>45966</v>
      </c>
      <c r="L91">
        <f ca="1">IF(K91="","",TODAY()-K91)</f>
        <v>38</v>
      </c>
      <c r="M91" t="s">
        <v>303</v>
      </c>
      <c r="N91">
        <f ca="1">IF(M91="","",IF(L91="",INDEX($F$110:$F$113,MATCH(M91,$C$110:$C$113,0)),IF(L91&lt;=INDEX($D$110:$D$113,MATCH(M91,$C$110:$C$113,0)),0,IF(L91&lt;=INDEX($E$110:$E$113,MATCH(M91,$C$110:$C$113,0)),INDEX($F$110:$F$113,MATCH(M91,$C$110:$C$113,0)),INDEX($G$110:$G$113,MATCH(M91,$C$110:$C$113,0))))))</f>
        <v>0</v>
      </c>
      <c r="O91">
        <f ca="1">G91+N91</f>
        <v>0</v>
      </c>
      <c r="P91" t="s">
        <v>168</v>
      </c>
      <c r="R91" t="s">
        <v>1360</v>
      </c>
    </row>
    <row r="92" spans="1:18" x14ac:dyDescent="0.2">
      <c r="A92" t="s">
        <v>479</v>
      </c>
      <c r="B92" t="s">
        <v>1361</v>
      </c>
      <c r="C92" t="s">
        <v>1362</v>
      </c>
      <c r="D92" t="s">
        <v>163</v>
      </c>
      <c r="E92">
        <f>IF(C92="No significant issues",0,IF(C92="Some minor issues",10,IF(C92="Major or recurring client bugs",20,IF(C92="Unknown",10,""))))</f>
        <v>20</v>
      </c>
      <c r="F92">
        <f>IF(D92="High",0,IF(D92="Medium",0.05,IF(D92="Low",0.1,IF(D92="Unknown",0.15,""))))</f>
        <v>0</v>
      </c>
      <c r="G92">
        <f>E92*(1+F92)</f>
        <v>20</v>
      </c>
      <c r="H92" t="s">
        <v>1363</v>
      </c>
      <c r="I92" t="s">
        <v>1364</v>
      </c>
      <c r="J92" t="s">
        <v>166</v>
      </c>
      <c r="K92" s="24">
        <f>IF(I92="","",MAX(IFERROR(DATEVALUE(TRIM(MID(SUBSTITUTE(I92,";",REPT(" ",50)),1,50))),0),IFERROR(DATEVALUE(TRIM(MID(SUBSTITUTE(I92,";",REPT(" ",50)),51,50))),0),IFERROR(DATEVALUE(TRIM(MID(SUBSTITUTE(I92,";",REPT(" ",50)),101,50))),0),IFERROR(DATEVALUE(TRIM(MID(SUBSTITUTE(I92,";",REPT(" ",50)),151,50))),0),IFERROR(DATEVALUE(TRIM(MID(SUBSTITUTE(I92,";",REPT(" ",50)),201,50))),0),IFERROR(DATEVALUE(TRIM(MID(SUBSTITUTE(I92,";",REPT(" ",50)),251,50))),0),IFERROR(DATEVALUE(TRIM(MID(SUBSTITUTE(I92,";",REPT(" ",50)),301,50))),0),IFERROR(DATEVALUE(TRIM(MID(SUBSTITUTE(I92,";",REPT(" ",50)),351,50))),0),IFERROR(DATEVALUE(TRIM(MID(SUBSTITUTE(I92,";",REPT(" ",50)),401,50))),0),IFERROR(DATEVALUE(TRIM(MID(SUBSTITUTE(I92,";",REPT(" ",50)),451,50))),0)))</f>
        <v>45980</v>
      </c>
      <c r="L92">
        <f ca="1">IF(K92="","",TODAY()-K92)</f>
        <v>24</v>
      </c>
      <c r="M92" t="s">
        <v>184</v>
      </c>
      <c r="N92">
        <f ca="1">IF(M92="","",IF(L92="",INDEX($F$110:$F$113,MATCH(M92,$C$110:$C$113,0)),IF(L92&lt;=INDEX($D$110:$D$113,MATCH(M92,$C$110:$C$113,0)),0,IF(L92&lt;=INDEX($E$110:$E$113,MATCH(M92,$C$110:$C$113,0)),INDEX($F$110:$F$113,MATCH(M92,$C$110:$C$113,0)),INDEX($G$110:$G$113,MATCH(M92,$C$110:$C$113,0))))))</f>
        <v>0</v>
      </c>
      <c r="O92">
        <f ca="1">G92+N92</f>
        <v>20</v>
      </c>
      <c r="P92" t="str">
        <f>IF(AND(C92="Major or recurring client bugs",OR(D92="High",D92="Medium")),"Review Required","No Review")</f>
        <v>Review Required</v>
      </c>
      <c r="Q92" t="s">
        <v>1365</v>
      </c>
      <c r="R92" t="s">
        <v>1366</v>
      </c>
    </row>
    <row r="93" spans="1:18" x14ac:dyDescent="0.2">
      <c r="A93" t="s">
        <v>497</v>
      </c>
      <c r="B93" t="s">
        <v>1367</v>
      </c>
      <c r="C93" t="s">
        <v>1368</v>
      </c>
      <c r="D93" t="s">
        <v>163</v>
      </c>
      <c r="E93">
        <v>0</v>
      </c>
      <c r="F93">
        <f>IF(D93="High",0,IF(D93="Medium",0.05,IF(D93="Low",0.1,IF(D93="Unknown",0.15,""))))</f>
        <v>0</v>
      </c>
      <c r="G93">
        <f>E93*(1+F93)</f>
        <v>0</v>
      </c>
      <c r="H93" t="s">
        <v>1369</v>
      </c>
      <c r="I93" t="s">
        <v>1370</v>
      </c>
      <c r="J93" t="s">
        <v>176</v>
      </c>
      <c r="K93">
        <f>IF(I93="","",MAX(IFERROR(DATEVALUE(TRIM(MID(SUBSTITUTE(I93,";",REPT(" ",50)),1,50))),0),IFERROR(DATEVALUE(TRIM(MID(SUBSTITUTE(I93,";",REPT(" ",50)),51,50))),0),IFERROR(DATEVALUE(TRIM(MID(SUBSTITUTE(I93,";",REPT(" ",50)),101,50))),0),IFERROR(DATEVALUE(TRIM(MID(SUBSTITUTE(I93,";",REPT(" ",50)),151,50))),0),IFERROR(DATEVALUE(TRIM(MID(SUBSTITUTE(I93,";",REPT(" ",50)),201,50))),0),IFERROR(DATEVALUE(TRIM(MID(SUBSTITUTE(I93,";",REPT(" ",50)),251,50))),0),IFERROR(DATEVALUE(TRIM(MID(SUBSTITUTE(I93,";",REPT(" ",50)),301,50))),0),IFERROR(DATEVALUE(TRIM(MID(SUBSTITUTE(I93,";",REPT(" ",50)),351,50))),0),IFERROR(DATEVALUE(TRIM(MID(SUBSTITUTE(I93,";",REPT(" ",50)),401,50))),0),IFERROR(DATEVALUE(TRIM(MID(SUBSTITUTE(I93,";",REPT(" ",50)),451,50))),0)))</f>
        <v>45996</v>
      </c>
      <c r="M93" t="s">
        <v>303</v>
      </c>
      <c r="N93">
        <f>IF(M93="","",IF(L93="",INDEX($F$110:$F$113,MATCH(M93,$C$110:$C$113,0)),IF(L93&lt;=INDEX($D$110:$D$113,MATCH(M93,$C$110:$C$113,0)),0,IF(L93&lt;=INDEX($E$110:$E$113,MATCH(M93,$C$110:$C$113,0)),INDEX($F$110:$F$113,MATCH(M93,$C$110:$C$113,0)),INDEX($G$110:$G$113,MATCH(M93,$C$110:$C$113,0))))))</f>
        <v>2</v>
      </c>
      <c r="O93">
        <f>G93+N93</f>
        <v>2</v>
      </c>
      <c r="P93" t="s">
        <v>168</v>
      </c>
      <c r="Q93" t="s">
        <v>863</v>
      </c>
      <c r="R93" t="s">
        <v>1371</v>
      </c>
    </row>
    <row r="94" spans="1:18" x14ac:dyDescent="0.2">
      <c r="A94" s="3"/>
      <c r="B94" s="44"/>
      <c r="C94" s="45"/>
      <c r="D94" s="45"/>
      <c r="E94" s="45"/>
      <c r="F94" s="45"/>
      <c r="G94" s="45"/>
      <c r="H94" s="45"/>
      <c r="I94" s="45"/>
      <c r="J94" s="45"/>
      <c r="K94" s="46"/>
      <c r="L94" s="45"/>
      <c r="M94" s="45"/>
      <c r="N94" s="45"/>
      <c r="O94" s="45"/>
      <c r="P94" s="45"/>
      <c r="Q94" s="45"/>
      <c r="R94" s="45"/>
    </row>
    <row r="95" spans="1:18" x14ac:dyDescent="0.2">
      <c r="A95" t="s">
        <v>503</v>
      </c>
      <c r="B95" t="s">
        <v>1372</v>
      </c>
      <c r="C95" t="s">
        <v>1373</v>
      </c>
      <c r="D95" t="s">
        <v>163</v>
      </c>
      <c r="E95">
        <f>IF(C95="Strong resilience",0,IF(C95="Moderate resilience",10,IF(C95="Weak or unprotected",20,IF(C95="Unknown",10,""))))</f>
        <v>10</v>
      </c>
      <c r="F95">
        <f>IF(D95="High",0,IF(D95="Medium",0.05,IF(D95="Low",0.1,IF(D95="Unknown",0.15,""))))</f>
        <v>0</v>
      </c>
      <c r="G95">
        <f>E95*(1+F95)</f>
        <v>10</v>
      </c>
      <c r="H95" t="s">
        <v>1374</v>
      </c>
      <c r="I95" t="s">
        <v>1375</v>
      </c>
      <c r="J95" t="s">
        <v>176</v>
      </c>
      <c r="K95" s="24">
        <f>IF(I95="","",MAX(IFERROR(DATEVALUE(TRIM(MID(SUBSTITUTE(I95,";",REPT(" ",50)),1,50))),0),IFERROR(DATEVALUE(TRIM(MID(SUBSTITUTE(I95,";",REPT(" ",50)),51,50))),0),IFERROR(DATEVALUE(TRIM(MID(SUBSTITUTE(I95,";",REPT(" ",50)),101,50))),0),IFERROR(DATEVALUE(TRIM(MID(SUBSTITUTE(I95,";",REPT(" ",50)),151,50))),0),IFERROR(DATEVALUE(TRIM(MID(SUBSTITUTE(I95,";",REPT(" ",50)),201,50))),0),IFERROR(DATEVALUE(TRIM(MID(SUBSTITUTE(I95,";",REPT(" ",50)),251,50))),0),IFERROR(DATEVALUE(TRIM(MID(SUBSTITUTE(I95,";",REPT(" ",50)),301,50))),0),IFERROR(DATEVALUE(TRIM(MID(SUBSTITUTE(I95,";",REPT(" ",50)),351,50))),0),IFERROR(DATEVALUE(TRIM(MID(SUBSTITUTE(I95,";",REPT(" ",50)),401,50))),0),IFERROR(DATEVALUE(TRIM(MID(SUBSTITUTE(I95,";",REPT(" ",50)),451,50))),0)))</f>
        <v>46001</v>
      </c>
      <c r="L95">
        <f ca="1">IF(K95="","",TODAY()-K95)</f>
        <v>3</v>
      </c>
      <c r="M95" t="s">
        <v>184</v>
      </c>
      <c r="N95">
        <f ca="1">IF(M95="","",IF(L95="",INDEX($F$110:$F$113,MATCH(M95,$C$110:$C$113,0)),IF(L95&lt;=INDEX($D$110:$D$113,MATCH(M95,$C$110:$C$113,0)),0,IF(L95&lt;=INDEX($E$110:$E$113,MATCH(M95,$C$110:$C$113,0)),INDEX($F$110:$F$113,MATCH(M95,$C$110:$C$113,0)),INDEX($G$110:$G$113,MATCH(M95,$C$110:$C$113,0))))))</f>
        <v>0</v>
      </c>
      <c r="O95">
        <f ca="1">G95+N95</f>
        <v>10</v>
      </c>
      <c r="P95" t="s">
        <v>168</v>
      </c>
      <c r="R95" t="s">
        <v>1376</v>
      </c>
    </row>
    <row r="96" spans="1:18" x14ac:dyDescent="0.2">
      <c r="A96" t="s">
        <v>510</v>
      </c>
      <c r="B96" t="s">
        <v>1377</v>
      </c>
      <c r="C96" t="s">
        <v>1378</v>
      </c>
      <c r="D96" t="s">
        <v>163</v>
      </c>
      <c r="E96">
        <f>IF(C96="Comprehensive monitoring",0,IF(C96="Partial monitoring",10,IF(C96="Limited or no monitoring",20,IF(C96="Unknown",10,""))))</f>
        <v>0</v>
      </c>
      <c r="F96">
        <f>IF(D96="High",0,IF(D96="Medium",0.05,IF(D96="Low",0.1,IF(D96="Unknown",0.15,""))))</f>
        <v>0</v>
      </c>
      <c r="G96">
        <f>E96*(1+F96)</f>
        <v>0</v>
      </c>
      <c r="H96" t="s">
        <v>1379</v>
      </c>
      <c r="I96" t="s">
        <v>1380</v>
      </c>
      <c r="J96" t="s">
        <v>176</v>
      </c>
      <c r="K96" s="24">
        <f>IF(I96="","",MAX(IFERROR(DATEVALUE(TRIM(MID(SUBSTITUTE(I96,";",REPT(" ",50)),1,50))),0),IFERROR(DATEVALUE(TRIM(MID(SUBSTITUTE(I96,";",REPT(" ",50)),51,50))),0),IFERROR(DATEVALUE(TRIM(MID(SUBSTITUTE(I96,";",REPT(" ",50)),101,50))),0),IFERROR(DATEVALUE(TRIM(MID(SUBSTITUTE(I96,";",REPT(" ",50)),151,50))),0),IFERROR(DATEVALUE(TRIM(MID(SUBSTITUTE(I96,";",REPT(" ",50)),201,50))),0),IFERROR(DATEVALUE(TRIM(MID(SUBSTITUTE(I96,";",REPT(" ",50)),251,50))),0),IFERROR(DATEVALUE(TRIM(MID(SUBSTITUTE(I96,";",REPT(" ",50)),301,50))),0),IFERROR(DATEVALUE(TRIM(MID(SUBSTITUTE(I96,";",REPT(" ",50)),351,50))),0),IFERROR(DATEVALUE(TRIM(MID(SUBSTITUTE(I96,";",REPT(" ",50)),401,50))),0),IFERROR(DATEVALUE(TRIM(MID(SUBSTITUTE(I96,";",REPT(" ",50)),451,50))),0)))</f>
        <v>46001</v>
      </c>
      <c r="L96">
        <f ca="1">IF(K96="","",TODAY()-K96)</f>
        <v>3</v>
      </c>
      <c r="M96" t="s">
        <v>184</v>
      </c>
      <c r="N96">
        <f ca="1">IF(M96="","",IF(L96="",INDEX($F$110:$F$113,MATCH(M96,$C$110:$C$113,0)),IF(L96&lt;=INDEX($D$110:$D$113,MATCH(M96,$C$110:$C$113,0)),0,IF(L96&lt;=INDEX($E$110:$E$113,MATCH(M96,$C$110:$C$113,0)),INDEX($F$110:$F$113,MATCH(M96,$C$110:$C$113,0)),INDEX($G$110:$G$113,MATCH(M96,$C$110:$C$113,0))))))</f>
        <v>0</v>
      </c>
      <c r="O96">
        <f ca="1">G96+N96</f>
        <v>0</v>
      </c>
      <c r="P96" t="s">
        <v>168</v>
      </c>
      <c r="R96" t="s">
        <v>1381</v>
      </c>
    </row>
    <row r="97" spans="1:18" x14ac:dyDescent="0.2">
      <c r="A97" t="s">
        <v>516</v>
      </c>
      <c r="B97" t="s">
        <v>1382</v>
      </c>
      <c r="C97" t="s">
        <v>1383</v>
      </c>
      <c r="D97" t="s">
        <v>197</v>
      </c>
      <c r="E97">
        <f>IF(C97="Hardened/multi-cloud",0,IF(C97="Partially hardened",10,IF(C97="Single-cloud or poorly hardened",20,IF(C97="Unknown",10,""))))</f>
        <v>10</v>
      </c>
      <c r="F97">
        <f>IF(D97="High",0,IF(D97="Medium",0.05,IF(D97="Low",0.1,IF(D97="Unknown",0.15,""))))</f>
        <v>0.05</v>
      </c>
      <c r="G97">
        <f>E97*(1+F97)</f>
        <v>10.5</v>
      </c>
      <c r="H97" t="s">
        <v>1384</v>
      </c>
      <c r="I97" t="s">
        <v>1385</v>
      </c>
      <c r="J97" t="s">
        <v>176</v>
      </c>
      <c r="K97" s="24">
        <f>IF(I97="","",MAX(IFERROR(DATEVALUE(TRIM(MID(SUBSTITUTE(I97,";",REPT(" ",50)),1,50))),0),IFERROR(DATEVALUE(TRIM(MID(SUBSTITUTE(I97,";",REPT(" ",50)),51,50))),0),IFERROR(DATEVALUE(TRIM(MID(SUBSTITUTE(I97,";",REPT(" ",50)),101,50))),0),IFERROR(DATEVALUE(TRIM(MID(SUBSTITUTE(I97,";",REPT(" ",50)),151,50))),0),IFERROR(DATEVALUE(TRIM(MID(SUBSTITUTE(I97,";",REPT(" ",50)),201,50))),0),IFERROR(DATEVALUE(TRIM(MID(SUBSTITUTE(I97,";",REPT(" ",50)),251,50))),0),IFERROR(DATEVALUE(TRIM(MID(SUBSTITUTE(I97,";",REPT(" ",50)),301,50))),0),IFERROR(DATEVALUE(TRIM(MID(SUBSTITUTE(I97,";",REPT(" ",50)),351,50))),0),IFERROR(DATEVALUE(TRIM(MID(SUBSTITUTE(I97,";",REPT(" ",50)),401,50))),0),IFERROR(DATEVALUE(TRIM(MID(SUBSTITUTE(I97,";",REPT(" ",50)),451,50))),0)))</f>
        <v>45611</v>
      </c>
      <c r="L97">
        <f ca="1">IF(K97="","",TODAY()-K97)</f>
        <v>393</v>
      </c>
      <c r="M97" t="s">
        <v>184</v>
      </c>
      <c r="N97">
        <f ca="1">IF(M97="","",IF(L97="",INDEX($F$110:$F$113,MATCH(M97,$C$110:$C$113,0)),IF(L97&lt;=INDEX($D$110:$D$113,MATCH(M97,$C$110:$C$113,0)),0,IF(L97&lt;=INDEX($E$110:$E$113,MATCH(M97,$C$110:$C$113,0)),INDEX($F$110:$F$113,MATCH(M97,$C$110:$C$113,0)),INDEX($G$110:$G$113,MATCH(M97,$C$110:$C$113,0))))))</f>
        <v>6</v>
      </c>
      <c r="O97">
        <f ca="1">G97+N97</f>
        <v>16.5</v>
      </c>
      <c r="P97" t="str">
        <f>IF(AND(C97="Single-cloud or poorly hardened",OR(D97="High",D97="Medium")),"Review Required","No Review")</f>
        <v>No Review</v>
      </c>
      <c r="Q97" t="s">
        <v>1386</v>
      </c>
      <c r="R97" t="s">
        <v>1387</v>
      </c>
    </row>
    <row r="98" spans="1:18" x14ac:dyDescent="0.2">
      <c r="A98" t="s">
        <v>521</v>
      </c>
      <c r="B98" t="s">
        <v>1388</v>
      </c>
      <c r="C98" t="s">
        <v>1389</v>
      </c>
      <c r="D98" t="s">
        <v>163</v>
      </c>
      <c r="E98">
        <v>0</v>
      </c>
      <c r="F98">
        <f>IF(D98="High",0,IF(D98="Medium",0.05,IF(D98="Low",0.1,IF(D98="Unknown",0.15,""))))</f>
        <v>0</v>
      </c>
      <c r="G98">
        <f>E98*(1+F98)</f>
        <v>0</v>
      </c>
      <c r="H98" t="s">
        <v>1390</v>
      </c>
      <c r="I98" t="s">
        <v>1391</v>
      </c>
      <c r="J98" t="s">
        <v>176</v>
      </c>
      <c r="K98">
        <f>IF(I98="","",MAX(IFERROR(DATEVALUE(TRIM(MID(SUBSTITUTE(I98,";",REPT(" ",50)),1,50))),0),IFERROR(DATEVALUE(TRIM(MID(SUBSTITUTE(I98,";",REPT(" ",50)),51,50))),0),IFERROR(DATEVALUE(TRIM(MID(SUBSTITUTE(I98,";",REPT(" ",50)),101,50))),0),IFERROR(DATEVALUE(TRIM(MID(SUBSTITUTE(I98,";",REPT(" ",50)),151,50))),0),IFERROR(DATEVALUE(TRIM(MID(SUBSTITUTE(I98,";",REPT(" ",50)),201,50))),0),IFERROR(DATEVALUE(TRIM(MID(SUBSTITUTE(I98,";",REPT(" ",50)),251,50))),0),IFERROR(DATEVALUE(TRIM(MID(SUBSTITUTE(I98,";",REPT(" ",50)),301,50))),0),IFERROR(DATEVALUE(TRIM(MID(SUBSTITUTE(I98,";",REPT(" ",50)),351,50))),0),IFERROR(DATEVALUE(TRIM(MID(SUBSTITUTE(I98,";",REPT(" ",50)),401,50))),0),IFERROR(DATEVALUE(TRIM(MID(SUBSTITUTE(I98,";",REPT(" ",50)),451,50))),0)))</f>
        <v>45976</v>
      </c>
      <c r="M98" t="s">
        <v>303</v>
      </c>
      <c r="N98">
        <f>IF(M98="","",IF(L98="",INDEX($F$110:$F$113,MATCH(M98,$C$110:$C$113,0)),IF(L98&lt;=INDEX($D$110:$D$113,MATCH(M98,$C$110:$C$113,0)),0,IF(L98&lt;=INDEX($E$110:$E$113,MATCH(M98,$C$110:$C$113,0)),INDEX($F$110:$F$113,MATCH(M98,$C$110:$C$113,0)),INDEX($G$110:$G$113,MATCH(M98,$C$110:$C$113,0))))))</f>
        <v>2</v>
      </c>
      <c r="O98">
        <f>G98+N98</f>
        <v>2</v>
      </c>
      <c r="P98" t="s">
        <v>168</v>
      </c>
      <c r="Q98" t="s">
        <v>863</v>
      </c>
      <c r="R98" t="s">
        <v>1392</v>
      </c>
    </row>
    <row r="99" spans="1:18" x14ac:dyDescent="0.2">
      <c r="A99" s="3"/>
      <c r="B99" s="44"/>
      <c r="C99" s="45"/>
      <c r="D99" s="45"/>
      <c r="E99" s="45"/>
      <c r="F99" s="45"/>
      <c r="G99" s="45"/>
      <c r="H99" s="45"/>
      <c r="I99" s="45"/>
      <c r="J99" s="45"/>
      <c r="K99" s="46"/>
      <c r="L99" s="45"/>
      <c r="M99" s="45"/>
      <c r="N99" s="45"/>
      <c r="O99" s="45"/>
      <c r="P99" s="45"/>
      <c r="Q99" s="45"/>
      <c r="R99" s="45"/>
    </row>
    <row r="100" spans="1:18" x14ac:dyDescent="0.2">
      <c r="A100" t="s">
        <v>527</v>
      </c>
      <c r="B100" t="s">
        <v>1393</v>
      </c>
      <c r="C100" t="s">
        <v>1394</v>
      </c>
      <c r="D100" t="s">
        <v>197</v>
      </c>
      <c r="E100">
        <f>IF(C100="No major outages",0,IF(C100="Minor/isolated outage",10,IF(C100="Major or repeated outages",20,IF(C100="Unknown",10,""))))</f>
        <v>20</v>
      </c>
      <c r="F100">
        <f>IF(D100="High",0,IF(D100="Medium",0.05,IF(D100="Low",0.1,IF(D100="Unknown",0.15,""))))</f>
        <v>0.05</v>
      </c>
      <c r="G100">
        <f>E100*(1+F100)</f>
        <v>21</v>
      </c>
      <c r="H100" t="s">
        <v>1395</v>
      </c>
      <c r="I100" t="s">
        <v>1396</v>
      </c>
      <c r="J100" t="s">
        <v>176</v>
      </c>
      <c r="K100" s="24">
        <f>IF(I100="","",MAX(IFERROR(DATEVALUE(TRIM(MID(SUBSTITUTE(I100,";",REPT(" ",50)),1,50))),0),IFERROR(DATEVALUE(TRIM(MID(SUBSTITUTE(I100,";",REPT(" ",50)),51,50))),0),IFERROR(DATEVALUE(TRIM(MID(SUBSTITUTE(I100,";",REPT(" ",50)),101,50))),0),IFERROR(DATEVALUE(TRIM(MID(SUBSTITUTE(I100,";",REPT(" ",50)),151,50))),0),IFERROR(DATEVALUE(TRIM(MID(SUBSTITUTE(I100,";",REPT(" ",50)),201,50))),0),IFERROR(DATEVALUE(TRIM(MID(SUBSTITUTE(I100,";",REPT(" ",50)),251,50))),0),IFERROR(DATEVALUE(TRIM(MID(SUBSTITUTE(I100,";",REPT(" ",50)),301,50))),0),IFERROR(DATEVALUE(TRIM(MID(SUBSTITUTE(I100,";",REPT(" ",50)),351,50))),0),IFERROR(DATEVALUE(TRIM(MID(SUBSTITUTE(I100,";",REPT(" ",50)),401,50))),0),IFERROR(DATEVALUE(TRIM(MID(SUBSTITUTE(I100,";",REPT(" ",50)),451,50))),0)))</f>
        <v>44462</v>
      </c>
      <c r="L100">
        <f ca="1">IF(K100="","",TODAY()-K100)</f>
        <v>1542</v>
      </c>
      <c r="M100" t="s">
        <v>273</v>
      </c>
      <c r="N100">
        <f ca="1">IF(M100="","",IF(L100="",INDEX($F$110:$F$113,MATCH(M100,$C$110:$C$113,0)),IF(L100&lt;=INDEX($D$110:$D$113,MATCH(M100,$C$110:$C$113,0)),0,IF(L100&lt;=INDEX($E$110:$E$113,MATCH(M100,$C$110:$C$113,0)),INDEX($F$110:$F$113,MATCH(M100,$C$110:$C$113,0)),INDEX($G$110:$G$113,MATCH(M100,$C$110:$C$113,0))))))</f>
        <v>10</v>
      </c>
      <c r="O100">
        <f ca="1">G100+N100</f>
        <v>31</v>
      </c>
      <c r="P100" t="s">
        <v>168</v>
      </c>
      <c r="R100" t="s">
        <v>1397</v>
      </c>
    </row>
    <row r="101" spans="1:18" x14ac:dyDescent="0.2">
      <c r="A101" t="s">
        <v>534</v>
      </c>
      <c r="B101" t="s">
        <v>1398</v>
      </c>
      <c r="C101" t="s">
        <v>1399</v>
      </c>
      <c r="D101" t="s">
        <v>163</v>
      </c>
      <c r="E101">
        <f>IF(C101="No incidents",0,IF(C101="Minor issue fully resolved",10,IF(C101="Significant breach",20,IF(C101="Unknown",10,""))))</f>
        <v>0</v>
      </c>
      <c r="F101">
        <f>IF(D101="High",0,IF(D101="Medium",0.05,IF(D101="Low",0.1,IF(D101="Unknown",0.15,""))))</f>
        <v>0</v>
      </c>
      <c r="G101">
        <f>E101*(1+F101)</f>
        <v>0</v>
      </c>
      <c r="H101" t="s">
        <v>1400</v>
      </c>
      <c r="I101" t="s">
        <v>1401</v>
      </c>
      <c r="J101" t="s">
        <v>176</v>
      </c>
      <c r="K101" s="24">
        <f>IF(I101="","",MAX(IFERROR(DATEVALUE(TRIM(MID(SUBSTITUTE(I101,";",REPT(" ",50)),1,50))),0),IFERROR(DATEVALUE(TRIM(MID(SUBSTITUTE(I101,";",REPT(" ",50)),51,50))),0),IFERROR(DATEVALUE(TRIM(MID(SUBSTITUTE(I101,";",REPT(" ",50)),101,50))),0),IFERROR(DATEVALUE(TRIM(MID(SUBSTITUTE(I101,";",REPT(" ",50)),151,50))),0),IFERROR(DATEVALUE(TRIM(MID(SUBSTITUTE(I101,";",REPT(" ",50)),201,50))),0),IFERROR(DATEVALUE(TRIM(MID(SUBSTITUTE(I101,";",REPT(" ",50)),251,50))),0),IFERROR(DATEVALUE(TRIM(MID(SUBSTITUTE(I101,";",REPT(" ",50)),301,50))),0),IFERROR(DATEVALUE(TRIM(MID(SUBSTITUTE(I101,";",REPT(" ",50)),351,50))),0),IFERROR(DATEVALUE(TRIM(MID(SUBSTITUTE(I101,";",REPT(" ",50)),401,50))),0),IFERROR(DATEVALUE(TRIM(MID(SUBSTITUTE(I101,";",REPT(" ",50)),451,50))),0)))</f>
        <v>45981</v>
      </c>
      <c r="L101">
        <f ca="1">IF(K101="","",TODAY()-K101)</f>
        <v>23</v>
      </c>
      <c r="M101" t="s">
        <v>273</v>
      </c>
      <c r="N101">
        <f ca="1">IF(M101="","",IF(L101="",INDEX($F$110:$F$113,MATCH(M101,$C$110:$C$113,0)),IF(L101&lt;=INDEX($D$110:$D$113,MATCH(M101,$C$110:$C$113,0)),0,IF(L101&lt;=INDEX($E$110:$E$113,MATCH(M101,$C$110:$C$113,0)),INDEX($F$110:$F$113,MATCH(M101,$C$110:$C$113,0)),INDEX($G$110:$G$113,MATCH(M101,$C$110:$C$113,0))))))</f>
        <v>0</v>
      </c>
      <c r="O101">
        <f ca="1">G101+N101</f>
        <v>0</v>
      </c>
      <c r="P101" t="s">
        <v>168</v>
      </c>
      <c r="R101" t="s">
        <v>1402</v>
      </c>
    </row>
    <row r="102" spans="1:18" x14ac:dyDescent="0.2">
      <c r="A102" t="s">
        <v>541</v>
      </c>
      <c r="B102" t="s">
        <v>1403</v>
      </c>
      <c r="C102" t="s">
        <v>259</v>
      </c>
      <c r="D102" t="s">
        <v>163</v>
      </c>
      <c r="E102">
        <v>0</v>
      </c>
      <c r="F102">
        <f>IF(D102="High",0,IF(D102="Medium",0.05,IF(D102="Low",0.1,IF(D102="Unknown",0.15,""))))</f>
        <v>0</v>
      </c>
      <c r="G102">
        <f>E102*(1+F102)</f>
        <v>0</v>
      </c>
      <c r="H102" t="s">
        <v>1404</v>
      </c>
      <c r="I102" t="s">
        <v>1405</v>
      </c>
      <c r="J102" t="s">
        <v>176</v>
      </c>
      <c r="K102">
        <f>IF(I102="","",MAX(IFERROR(DATEVALUE(TRIM(MID(SUBSTITUTE(I102,";",REPT(" ",50)),1,50))),0),IFERROR(DATEVALUE(TRIM(MID(SUBSTITUTE(I102,";",REPT(" ",50)),51,50))),0),IFERROR(DATEVALUE(TRIM(MID(SUBSTITUTE(I102,";",REPT(" ",50)),101,50))),0),IFERROR(DATEVALUE(TRIM(MID(SUBSTITUTE(I102,";",REPT(" ",50)),151,50))),0),IFERROR(DATEVALUE(TRIM(MID(SUBSTITUTE(I102,";",REPT(" ",50)),201,50))),0),IFERROR(DATEVALUE(TRIM(MID(SUBSTITUTE(I102,";",REPT(" ",50)),251,50))),0),IFERROR(DATEVALUE(TRIM(MID(SUBSTITUTE(I102,";",REPT(" ",50)),301,50))),0),IFERROR(DATEVALUE(TRIM(MID(SUBSTITUTE(I102,";",REPT(" ",50)),351,50))),0),IFERROR(DATEVALUE(TRIM(MID(SUBSTITUTE(I102,";",REPT(" ",50)),401,50))),0),IFERROR(DATEVALUE(TRIM(MID(SUBSTITUTE(I102,";",REPT(" ",50)),451,50))),0)))</f>
        <v>45995</v>
      </c>
      <c r="M102" t="s">
        <v>273</v>
      </c>
      <c r="N102">
        <f>IF(M102="","",IF(L102="",INDEX($F$110:$F$113,MATCH(M102,$C$110:$C$113,0)),IF(L102&lt;=INDEX($D$110:$D$113,MATCH(M102,$C$110:$C$113,0)),0,IF(L102&lt;=INDEX($E$110:$E$113,MATCH(M102,$C$110:$C$113,0)),INDEX($F$110:$F$113,MATCH(M102,$C$110:$C$113,0)),INDEX($G$110:$G$113,MATCH(M102,$C$110:$C$113,0))))))</f>
        <v>5</v>
      </c>
      <c r="O102">
        <f>G102+N102</f>
        <v>5</v>
      </c>
      <c r="P102" t="str">
        <f>IF(AND(C100="Major or repeated outages",C101="Significant breach",OR(D100="High",D100="Medium",D101="High",D101="Medium")),"Review Required","No Review")</f>
        <v>No Review</v>
      </c>
      <c r="Q102" t="s">
        <v>1406</v>
      </c>
      <c r="R102" t="s">
        <v>1407</v>
      </c>
    </row>
    <row r="103" spans="1:18" x14ac:dyDescent="0.2">
      <c r="A103" t="s">
        <v>546</v>
      </c>
      <c r="B103" t="s">
        <v>1408</v>
      </c>
      <c r="C103" t="s">
        <v>1409</v>
      </c>
      <c r="D103" t="s">
        <v>197</v>
      </c>
      <c r="E103">
        <v>0</v>
      </c>
      <c r="F103">
        <f>IF(D103="High",0,IF(D103="Medium",0.05,IF(D103="Low",0.1,IF(D103="Unknown",0.15,""))))</f>
        <v>0.05</v>
      </c>
      <c r="G103">
        <f>E103*(1+F103)</f>
        <v>0</v>
      </c>
      <c r="H103" t="s">
        <v>1410</v>
      </c>
      <c r="J103" t="s">
        <v>176</v>
      </c>
      <c r="K103" t="str">
        <f>IF(I103="","",MAX(IFERROR(DATEVALUE(TRIM(MID(SUBSTITUTE(I103,";",REPT(" ",50)),1,50))),0),IFERROR(DATEVALUE(TRIM(MID(SUBSTITUTE(I103,";",REPT(" ",50)),51,50))),0),IFERROR(DATEVALUE(TRIM(MID(SUBSTITUTE(I103,";",REPT(" ",50)),101,50))),0),IFERROR(DATEVALUE(TRIM(MID(SUBSTITUTE(I103,";",REPT(" ",50)),151,50))),0),IFERROR(DATEVALUE(TRIM(MID(SUBSTITUTE(I103,";",REPT(" ",50)),201,50))),0),IFERROR(DATEVALUE(TRIM(MID(SUBSTITUTE(I103,";",REPT(" ",50)),251,50))),0),IFERROR(DATEVALUE(TRIM(MID(SUBSTITUTE(I103,";",REPT(" ",50)),301,50))),0),IFERROR(DATEVALUE(TRIM(MID(SUBSTITUTE(I103,";",REPT(" ",50)),351,50))),0),IFERROR(DATEVALUE(TRIM(MID(SUBSTITUTE(I103,";",REPT(" ",50)),401,50))),0),IFERROR(DATEVALUE(TRIM(MID(SUBSTITUTE(I103,";",REPT(" ",50)),451,50))),0)))</f>
        <v/>
      </c>
      <c r="M103" t="s">
        <v>273</v>
      </c>
      <c r="N103">
        <f>IF(M103="","",IF(L103="",INDEX($F$110:$F$113,MATCH(M103,$C$110:$C$113,0)),IF(L103&lt;=INDEX($D$110:$D$113,MATCH(M103,$C$110:$C$113,0)),0,IF(L103&lt;=INDEX($E$110:$E$113,MATCH(M103,$C$110:$C$113,0)),INDEX($F$110:$F$113,MATCH(M103,$C$110:$C$113,0)),INDEX($G$110:$G$113,MATCH(M103,$C$110:$C$113,0))))))</f>
        <v>5</v>
      </c>
      <c r="O103">
        <f>G103+N103</f>
        <v>5</v>
      </c>
      <c r="P103" t="s">
        <v>168</v>
      </c>
      <c r="Q103" t="s">
        <v>863</v>
      </c>
      <c r="R103" t="s">
        <v>1411</v>
      </c>
    </row>
    <row r="106" spans="1:18" s="6" customFormat="1" x14ac:dyDescent="0.2">
      <c r="K106" s="26"/>
    </row>
    <row r="108" spans="1:18" x14ac:dyDescent="0.2">
      <c r="C108" s="56" t="s">
        <v>552</v>
      </c>
      <c r="D108" s="57"/>
      <c r="E108" s="57"/>
      <c r="F108" s="57"/>
      <c r="G108" s="58"/>
    </row>
    <row r="109" spans="1:18" x14ac:dyDescent="0.2">
      <c r="C109" s="31" t="s">
        <v>152</v>
      </c>
      <c r="D109" s="32" t="s">
        <v>553</v>
      </c>
      <c r="E109" s="32" t="s">
        <v>554</v>
      </c>
      <c r="F109" s="32" t="s">
        <v>555</v>
      </c>
      <c r="G109" s="32" t="s">
        <v>556</v>
      </c>
    </row>
    <row r="110" spans="1:18" x14ac:dyDescent="0.2">
      <c r="C110" s="33" t="s">
        <v>273</v>
      </c>
      <c r="D110" s="34">
        <v>90</v>
      </c>
      <c r="E110" s="34">
        <v>180</v>
      </c>
      <c r="F110" s="34">
        <v>5</v>
      </c>
      <c r="G110" s="35">
        <v>10</v>
      </c>
    </row>
    <row r="111" spans="1:18" x14ac:dyDescent="0.2">
      <c r="C111" s="36" t="s">
        <v>184</v>
      </c>
      <c r="D111" s="34">
        <v>180</v>
      </c>
      <c r="E111" s="34">
        <v>365</v>
      </c>
      <c r="F111" s="34">
        <v>3</v>
      </c>
      <c r="G111" s="35">
        <v>6</v>
      </c>
    </row>
    <row r="112" spans="1:18" x14ac:dyDescent="0.2">
      <c r="C112" s="36" t="s">
        <v>303</v>
      </c>
      <c r="D112" s="34">
        <v>365</v>
      </c>
      <c r="E112" s="34">
        <v>730</v>
      </c>
      <c r="F112" s="34">
        <v>2</v>
      </c>
      <c r="G112" s="35">
        <v>4</v>
      </c>
    </row>
    <row r="113" spans="3:7" x14ac:dyDescent="0.2">
      <c r="C113" s="31" t="s">
        <v>167</v>
      </c>
      <c r="D113" s="37">
        <v>9999</v>
      </c>
      <c r="E113" s="37">
        <v>9999</v>
      </c>
      <c r="F113" s="37">
        <v>0</v>
      </c>
      <c r="G113" s="32">
        <v>0</v>
      </c>
    </row>
    <row r="117" spans="3:7" ht="16" customHeight="1" thickBot="1" x14ac:dyDescent="0.25"/>
    <row r="118" spans="3:7" ht="16" customHeight="1" thickBot="1" x14ac:dyDescent="0.25">
      <c r="C118" s="52" t="s">
        <v>557</v>
      </c>
      <c r="D118" s="53"/>
      <c r="E118" s="54"/>
    </row>
    <row r="119" spans="3:7" x14ac:dyDescent="0.2">
      <c r="C119" s="47" t="s">
        <v>558</v>
      </c>
      <c r="D119" s="48"/>
      <c r="E119" s="8">
        <f ca="1">IF(COUNTIFS($A$4:$A$103,"A*",$C$4:$C$103,"&lt;&gt;")=0,"",AVERAGEIFS($O$4:$O$103,$A$4:$A$103,"A*",$C$4:$C$103,"&lt;&gt;"))</f>
        <v>6.55</v>
      </c>
    </row>
    <row r="120" spans="3:7" x14ac:dyDescent="0.2">
      <c r="C120" s="47" t="s">
        <v>559</v>
      </c>
      <c r="D120" s="48"/>
      <c r="E120" s="8">
        <f ca="1">IF(COUNTIFS($A$4:$A$103,"B*",$C$4:$C$103,"&lt;&gt;")=0,"",AVERAGEIFS($O$4:$O$103,$A$4:$A$103,"B*",$C$4:$C$103,"&lt;&gt;"))</f>
        <v>6.4090909090909092</v>
      </c>
    </row>
    <row r="121" spans="3:7" x14ac:dyDescent="0.2">
      <c r="C121" s="47" t="s">
        <v>560</v>
      </c>
      <c r="D121" s="48"/>
      <c r="E121" s="8">
        <f ca="1">IF(COUNTIFS($A$4:$A$103,"C*",$C$4:$C$103,"&lt;&gt;")=0,"",AVERAGEIFS($O$4:$O$103,$A$4:$A$103,"C*",$C$4:$C$103,"&lt;&gt;"))</f>
        <v>12.166666666666666</v>
      </c>
    </row>
    <row r="122" spans="3:7" x14ac:dyDescent="0.2">
      <c r="C122" s="47" t="s">
        <v>561</v>
      </c>
      <c r="D122" s="48"/>
      <c r="E122" s="8">
        <f ca="1">IF(COUNTIFS($A$4:$A$103,"D*",$C$4:$C$103,"&lt;&gt;")=0,"",AVERAGEIFS($O$4:$O$103,$A$4:$A$103,"D*",$C$4:$C$103,"&lt;&gt;"))</f>
        <v>5.1875</v>
      </c>
    </row>
    <row r="123" spans="3:7" x14ac:dyDescent="0.2">
      <c r="C123" s="47" t="s">
        <v>562</v>
      </c>
      <c r="D123" s="48"/>
      <c r="E123" s="8">
        <f ca="1">IF(COUNTIFS($A$4:$A$103,"E*",$C$4:$C$103,"&lt;&gt;")=0,"",AVERAGEIFS($O$4:$O$103,$A$4:$A$103,"E*",$C$4:$C$103,"&lt;&gt;"))</f>
        <v>9.46875</v>
      </c>
    </row>
    <row r="124" spans="3:7" x14ac:dyDescent="0.2">
      <c r="C124" s="47" t="s">
        <v>563</v>
      </c>
      <c r="D124" s="48"/>
      <c r="E124" s="8">
        <f ca="1">IF(COUNTIF($C$4:$C$103,"&lt;&gt;")=0,"",AVERAGEIFS($O$4:$O$103,$C$4:$C$103,"&lt;&gt;"))</f>
        <v>7.9294871794871797</v>
      </c>
    </row>
    <row r="125" spans="3:7" x14ac:dyDescent="0.2">
      <c r="C125" s="47" t="s">
        <v>564</v>
      </c>
      <c r="D125" s="48"/>
      <c r="E125" s="8" t="str">
        <f ca="1">IF(E124="","",IF(E124&lt;3,"Very Low",IF(E124&lt;6,"Low",IF(E124&lt;9,"Medium",IF(E124&lt;12,"Medium-High","High")))))</f>
        <v>Medium</v>
      </c>
    </row>
    <row r="126" spans="3:7" x14ac:dyDescent="0.2">
      <c r="C126" s="49" t="s">
        <v>565</v>
      </c>
      <c r="D126" s="50"/>
      <c r="E126" s="9" t="str">
        <f ca="1">IF(COUNT($E$119:$E$123)=0,"",IF($E$119=MIN($E$119:$E$123),"A",IF($E$120=MIN($E$119:$E$123),"B",IF($E$121=MIN($E$119:$E$123),"C",IF($E$122=MIN($E$119:$E$123),"D","E")))))</f>
        <v>D</v>
      </c>
    </row>
  </sheetData>
  <mergeCells count="29">
    <mergeCell ref="C125:D125"/>
    <mergeCell ref="B68:R68"/>
    <mergeCell ref="B33:R33"/>
    <mergeCell ref="B89:R89"/>
    <mergeCell ref="B94:R94"/>
    <mergeCell ref="B63:R63"/>
    <mergeCell ref="B78:R78"/>
    <mergeCell ref="C119:D119"/>
    <mergeCell ref="C118:E118"/>
    <mergeCell ref="C108:G108"/>
    <mergeCell ref="B16:R16"/>
    <mergeCell ref="C122:D122"/>
    <mergeCell ref="B84:R84"/>
    <mergeCell ref="B3:R3"/>
    <mergeCell ref="C126:D126"/>
    <mergeCell ref="B22:R22"/>
    <mergeCell ref="C121:D121"/>
    <mergeCell ref="B43:R43"/>
    <mergeCell ref="B48:R48"/>
    <mergeCell ref="C124:D124"/>
    <mergeCell ref="B57:R57"/>
    <mergeCell ref="B53:R53"/>
    <mergeCell ref="B73:R73"/>
    <mergeCell ref="C120:D120"/>
    <mergeCell ref="B38:R38"/>
    <mergeCell ref="C123:D123"/>
    <mergeCell ref="B10:R10"/>
    <mergeCell ref="B28:R28"/>
    <mergeCell ref="B99:R99"/>
  </mergeCells>
  <conditionalFormatting sqref="O4:O110">
    <cfRule type="colorScale" priority="20">
      <colorScale>
        <cfvo type="num" val="0"/>
        <cfvo type="percentile" val="50"/>
        <cfvo type="num" val="25"/>
        <color rgb="FF73FB79"/>
        <color rgb="FFFFFD78"/>
        <color rgb="FFFF2600"/>
      </colorScale>
    </cfRule>
  </conditionalFormatting>
  <conditionalFormatting sqref="P4:P103">
    <cfRule type="cellIs" dxfId="17" priority="21" operator="equal">
      <formula>"No Review"</formula>
    </cfRule>
    <cfRule type="cellIs" dxfId="16" priority="22" operator="equal">
      <formula>"Review Required"</formula>
    </cfRule>
  </conditionalFormatting>
  <dataValidations disablePrompts="1" count="1">
    <dataValidation type="list" showInputMessage="1" showErrorMessage="1" sqref="M4:M116" xr:uid="{00000000-0002-0000-0400-000000000000}">
      <formula1>"Critical–Fast,Operational–Medium,Background–Slow,Evergreen–No Penalty"</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77"/>
  <sheetViews>
    <sheetView topLeftCell="H35" workbookViewId="0">
      <selection activeCell="C21" sqref="C21"/>
    </sheetView>
  </sheetViews>
  <sheetFormatPr baseColWidth="10" defaultColWidth="8.83203125" defaultRowHeight="15" x14ac:dyDescent="0.2"/>
  <cols>
    <col min="1" max="1" width="13.33203125" customWidth="1"/>
    <col min="2" max="2" width="227.33203125" customWidth="1"/>
    <col min="3" max="5" width="15.5" customWidth="1"/>
    <col min="6" max="6" width="17.1640625" customWidth="1"/>
    <col min="7" max="7" width="23.83203125" customWidth="1"/>
    <col min="8" max="10" width="15.5" customWidth="1"/>
    <col min="11" max="11" width="22.6640625" style="24" customWidth="1"/>
    <col min="12" max="12" width="15.5" customWidth="1"/>
    <col min="13" max="13" width="18.33203125" customWidth="1"/>
    <col min="14" max="15" width="15.5" customWidth="1"/>
    <col min="16" max="16" width="20.1640625" customWidth="1"/>
    <col min="17" max="17" width="137.1640625" customWidth="1"/>
    <col min="18" max="18" width="75.6640625" customWidth="1"/>
    <col min="20" max="23" width="17" customWidth="1"/>
  </cols>
  <sheetData>
    <row r="1" spans="1:19" x14ac:dyDescent="0.2">
      <c r="A1" s="1" t="s">
        <v>140</v>
      </c>
      <c r="B1" s="1" t="s">
        <v>141</v>
      </c>
      <c r="C1" s="1" t="s">
        <v>142</v>
      </c>
      <c r="D1" s="1" t="s">
        <v>143</v>
      </c>
      <c r="E1" s="1" t="s">
        <v>144</v>
      </c>
      <c r="F1" s="1" t="s">
        <v>145</v>
      </c>
      <c r="G1" s="1" t="s">
        <v>146</v>
      </c>
      <c r="H1" s="1" t="s">
        <v>147</v>
      </c>
      <c r="I1" s="1" t="s">
        <v>148</v>
      </c>
      <c r="J1" s="1" t="s">
        <v>149</v>
      </c>
      <c r="K1" s="22" t="s">
        <v>150</v>
      </c>
      <c r="L1" s="1" t="s">
        <v>151</v>
      </c>
      <c r="M1" s="1" t="s">
        <v>152</v>
      </c>
      <c r="N1" s="1" t="s">
        <v>153</v>
      </c>
      <c r="O1" s="1" t="s">
        <v>154</v>
      </c>
      <c r="P1" s="1" t="s">
        <v>155</v>
      </c>
      <c r="Q1" s="1" t="s">
        <v>156</v>
      </c>
      <c r="R1" s="1" t="s">
        <v>157</v>
      </c>
      <c r="S1" t="s">
        <v>158</v>
      </c>
    </row>
    <row r="2" spans="1:19" x14ac:dyDescent="0.2">
      <c r="A2" s="4"/>
      <c r="B2" s="5" t="s">
        <v>1412</v>
      </c>
      <c r="C2" s="4"/>
      <c r="D2" s="4"/>
      <c r="E2" s="4"/>
      <c r="F2" s="4"/>
      <c r="G2" s="4"/>
      <c r="H2" s="4"/>
      <c r="I2" s="4"/>
      <c r="J2" s="4"/>
      <c r="K2" s="23"/>
      <c r="L2" s="4"/>
      <c r="M2" s="4"/>
      <c r="N2" s="4"/>
      <c r="O2" s="4"/>
      <c r="P2" s="4"/>
      <c r="Q2" s="4"/>
      <c r="R2" s="4"/>
    </row>
    <row r="3" spans="1:19" x14ac:dyDescent="0.2">
      <c r="A3" s="3"/>
      <c r="B3" s="44"/>
      <c r="C3" s="45"/>
      <c r="D3" s="45"/>
      <c r="E3" s="45"/>
      <c r="F3" s="45"/>
      <c r="G3" s="45"/>
      <c r="H3" s="45"/>
      <c r="I3" s="45"/>
      <c r="J3" s="45"/>
      <c r="K3" s="46"/>
      <c r="L3" s="45"/>
      <c r="M3" s="45"/>
      <c r="N3" s="45"/>
      <c r="O3" s="45"/>
      <c r="P3" s="45"/>
      <c r="Q3" s="45"/>
      <c r="R3" s="45"/>
    </row>
    <row r="4" spans="1:19" x14ac:dyDescent="0.2">
      <c r="A4" t="s">
        <v>160</v>
      </c>
      <c r="B4" t="s">
        <v>1413</v>
      </c>
      <c r="C4" t="s">
        <v>1414</v>
      </c>
      <c r="D4" t="s">
        <v>163</v>
      </c>
      <c r="E4">
        <f>IF(C4="Deep (low market impact)",0,IF(C4="Moderate",10,IF(C4="Thin (high market impact)",20,IF(C4="Unknown",10,""))))</f>
        <v>0</v>
      </c>
      <c r="F4">
        <f>IF(D4="High",0,IF(D4="Medium",0.05,IF(D4="Low",0.1,IF(D4="Unknown",0.15,""))))</f>
        <v>0</v>
      </c>
      <c r="G4">
        <f>E4*(1+F4)</f>
        <v>0</v>
      </c>
      <c r="H4" t="s">
        <v>1415</v>
      </c>
      <c r="I4" t="s">
        <v>1416</v>
      </c>
      <c r="J4" t="s">
        <v>176</v>
      </c>
      <c r="K4">
        <f>IF(I4="","",MAX(IFERROR(DATEVALUE(TRIM(MID(SUBSTITUTE(I4,";",REPT(" ",50)),1,50))),0),IFERROR(DATEVALUE(TRIM(MID(SUBSTITUTE(I4,";",REPT(" ",50)),51,50))),0),IFERROR(DATEVALUE(TRIM(MID(SUBSTITUTE(I4,";",REPT(" ",50)),101,50))),0),IFERROR(DATEVALUE(TRIM(MID(SUBSTITUTE(I4,";",REPT(" ",50)),151,50))),0),IFERROR(DATEVALUE(TRIM(MID(SUBSTITUTE(I4,";",REPT(" ",50)),201,50))),0),IFERROR(DATEVALUE(TRIM(MID(SUBSTITUTE(I4,";",REPT(" ",50)),251,50))),0),IFERROR(DATEVALUE(TRIM(MID(SUBSTITUTE(I4,";",REPT(" ",50)),301,50))),0),IFERROR(DATEVALUE(TRIM(MID(SUBSTITUTE(I4,";",REPT(" ",50)),351,50))),0),IFERROR(DATEVALUE(TRIM(MID(SUBSTITUTE(I4,";",REPT(" ",50)),401,50))),0),IFERROR(DATEVALUE(TRIM(MID(SUBSTITUTE(I4,";",REPT(" ",50)),451,50))),0)))</f>
        <v>46003</v>
      </c>
      <c r="M4" t="s">
        <v>273</v>
      </c>
      <c r="N4">
        <f>IF(M4="","",IF(L4="",INDEX($F$61:$F$64,MATCH(M4,$C$61:$C$64,0)),IF(L4&lt;=INDEX($D$61:$D$64,MATCH(M4,$C$61:$C$64,0)),0,IF(L4&lt;=INDEX($E$61:$E$64,MATCH(M4,$C$61:$C$64,0)),INDEX($F$61:$F$64,MATCH(M4,$C$61:$C$64,0)),INDEX($G$61:$G$64,MATCH(M4,$C$61:$C$64,0))))))</f>
        <v>5</v>
      </c>
      <c r="O4">
        <f>G4+N4</f>
        <v>5</v>
      </c>
      <c r="P4" t="s">
        <v>168</v>
      </c>
      <c r="R4" t="s">
        <v>1417</v>
      </c>
    </row>
    <row r="5" spans="1:19" x14ac:dyDescent="0.2">
      <c r="A5" t="s">
        <v>171</v>
      </c>
      <c r="B5" t="s">
        <v>1418</v>
      </c>
      <c r="C5" t="s">
        <v>1419</v>
      </c>
      <c r="D5" t="s">
        <v>163</v>
      </c>
      <c r="E5">
        <f>IF(C5="Low slippage (≤0.5%)",0,IF(C5="Moderate slippage (0.5–2%)",10,IF(C5="High slippage (&gt;2%)",20,IF(C5="Unknown",10,""))))</f>
        <v>0</v>
      </c>
      <c r="F5">
        <f>IF(D5="High",0,IF(D5="Medium",0.05,IF(D5="Low",0.1,IF(D5="Unknown",0.15,""))))</f>
        <v>0</v>
      </c>
      <c r="G5">
        <f>E5*(1+F5)</f>
        <v>0</v>
      </c>
      <c r="H5" t="s">
        <v>1420</v>
      </c>
      <c r="I5" t="s">
        <v>1421</v>
      </c>
      <c r="J5" t="s">
        <v>176</v>
      </c>
      <c r="K5">
        <f>IF(I5="","",MAX(IFERROR(DATEVALUE(TRIM(MID(SUBSTITUTE(I5,";",REPT(" ",50)),1,50))),0),IFERROR(DATEVALUE(TRIM(MID(SUBSTITUTE(I5,";",REPT(" ",50)),51,50))),0),IFERROR(DATEVALUE(TRIM(MID(SUBSTITUTE(I5,";",REPT(" ",50)),101,50))),0),IFERROR(DATEVALUE(TRIM(MID(SUBSTITUTE(I5,";",REPT(" ",50)),151,50))),0),IFERROR(DATEVALUE(TRIM(MID(SUBSTITUTE(I5,";",REPT(" ",50)),201,50))),0),IFERROR(DATEVALUE(TRIM(MID(SUBSTITUTE(I5,";",REPT(" ",50)),251,50))),0),IFERROR(DATEVALUE(TRIM(MID(SUBSTITUTE(I5,";",REPT(" ",50)),301,50))),0),IFERROR(DATEVALUE(TRIM(MID(SUBSTITUTE(I5,";",REPT(" ",50)),351,50))),0),IFERROR(DATEVALUE(TRIM(MID(SUBSTITUTE(I5,";",REPT(" ",50)),401,50))),0),IFERROR(DATEVALUE(TRIM(MID(SUBSTITUTE(I5,";",REPT(" ",50)),451,50))),0)))</f>
        <v>46003</v>
      </c>
      <c r="M5" t="s">
        <v>273</v>
      </c>
      <c r="N5">
        <f>IF(M5="","",IF(L5="",INDEX($F$61:$F$64,MATCH(M5,$C$61:$C$64,0)),IF(L5&lt;=INDEX($D$61:$D$64,MATCH(M5,$C$61:$C$64,0)),0,IF(L5&lt;=INDEX($E$61:$E$64,MATCH(M5,$C$61:$C$64,0)),INDEX($F$61:$F$64,MATCH(M5,$C$61:$C$64,0)),INDEX($G$61:$G$64,MATCH(M5,$C$61:$C$64,0))))))</f>
        <v>5</v>
      </c>
      <c r="O5">
        <f>G5+N5</f>
        <v>5</v>
      </c>
      <c r="P5" t="str">
        <f>IF(AND(C5="High slippage (&gt;2%)",OR(D5="High",D5="Medium")),"Review Required","No Review")</f>
        <v>No Review</v>
      </c>
      <c r="Q5" t="s">
        <v>1422</v>
      </c>
      <c r="R5" t="s">
        <v>1423</v>
      </c>
    </row>
    <row r="6" spans="1:19" x14ac:dyDescent="0.2">
      <c r="A6" t="s">
        <v>179</v>
      </c>
      <c r="B6" t="s">
        <v>1424</v>
      </c>
      <c r="C6" t="s">
        <v>1425</v>
      </c>
      <c r="D6" t="s">
        <v>163</v>
      </c>
      <c r="E6">
        <f>IF(C6="Tight (≤0.10%)",0,IF(C6="Moderate (0.10–0.50%)",10,IF(C6="Wide (&gt;0.50%)",20,IF(C6="Unknown",10,""))))</f>
        <v>0</v>
      </c>
      <c r="F6">
        <f>IF(D6="High",0,IF(D6="Medium",0.05,IF(D6="Low",0.1,IF(D6="Unknown",0.15,""))))</f>
        <v>0</v>
      </c>
      <c r="G6">
        <f>E6*(1+F6)</f>
        <v>0</v>
      </c>
      <c r="H6" t="s">
        <v>1426</v>
      </c>
      <c r="I6" t="s">
        <v>1427</v>
      </c>
      <c r="J6" t="s">
        <v>176</v>
      </c>
      <c r="K6">
        <f>IF(I6="","",MAX(IFERROR(DATEVALUE(TRIM(MID(SUBSTITUTE(I6,";",REPT(" ",50)),1,50))),0),IFERROR(DATEVALUE(TRIM(MID(SUBSTITUTE(I6,";",REPT(" ",50)),51,50))),0),IFERROR(DATEVALUE(TRIM(MID(SUBSTITUTE(I6,";",REPT(" ",50)),101,50))),0),IFERROR(DATEVALUE(TRIM(MID(SUBSTITUTE(I6,";",REPT(" ",50)),151,50))),0),IFERROR(DATEVALUE(TRIM(MID(SUBSTITUTE(I6,";",REPT(" ",50)),201,50))),0),IFERROR(DATEVALUE(TRIM(MID(SUBSTITUTE(I6,";",REPT(" ",50)),251,50))),0),IFERROR(DATEVALUE(TRIM(MID(SUBSTITUTE(I6,";",REPT(" ",50)),301,50))),0),IFERROR(DATEVALUE(TRIM(MID(SUBSTITUTE(I6,";",REPT(" ",50)),351,50))),0),IFERROR(DATEVALUE(TRIM(MID(SUBSTITUTE(I6,";",REPT(" ",50)),401,50))),0),IFERROR(DATEVALUE(TRIM(MID(SUBSTITUTE(I6,";",REPT(" ",50)),451,50))),0)))</f>
        <v>46003</v>
      </c>
      <c r="M6" t="s">
        <v>273</v>
      </c>
      <c r="N6">
        <f>IF(M6="","",IF(L6="",INDEX($F$61:$F$64,MATCH(M6,$C$61:$C$64,0)),IF(L6&lt;=INDEX($D$61:$D$64,MATCH(M6,$C$61:$C$64,0)),0,IF(L6&lt;=INDEX($E$61:$E$64,MATCH(M6,$C$61:$C$64,0)),INDEX($F$61:$F$64,MATCH(M6,$C$61:$C$64,0)),INDEX($G$61:$G$64,MATCH(M6,$C$61:$C$64,0))))))</f>
        <v>5</v>
      </c>
      <c r="O6">
        <f>G6+N6</f>
        <v>5</v>
      </c>
      <c r="P6" t="s">
        <v>168</v>
      </c>
      <c r="R6" t="s">
        <v>1428</v>
      </c>
    </row>
    <row r="7" spans="1:19" x14ac:dyDescent="0.2">
      <c r="A7" t="s">
        <v>200</v>
      </c>
      <c r="B7" t="s">
        <v>1429</v>
      </c>
      <c r="C7" t="s">
        <v>1430</v>
      </c>
      <c r="D7" t="s">
        <v>197</v>
      </c>
      <c r="E7">
        <v>0</v>
      </c>
      <c r="F7">
        <f>IF(D7="High",0,IF(D7="Medium",0.05,IF(D7="Low",0.1,IF(D7="Unknown",0.15,""))))</f>
        <v>0.05</v>
      </c>
      <c r="G7">
        <f>E7*(1+F7)</f>
        <v>0</v>
      </c>
      <c r="H7" t="s">
        <v>1431</v>
      </c>
      <c r="J7" t="s">
        <v>176</v>
      </c>
      <c r="K7" t="str">
        <f>IF(I7="","",MAX(IFERROR(DATEVALUE(TRIM(MID(SUBSTITUTE(I7,";",REPT(" ",50)),1,50))),0),IFERROR(DATEVALUE(TRIM(MID(SUBSTITUTE(I7,";",REPT(" ",50)),51,50))),0),IFERROR(DATEVALUE(TRIM(MID(SUBSTITUTE(I7,";",REPT(" ",50)),101,50))),0),IFERROR(DATEVALUE(TRIM(MID(SUBSTITUTE(I7,";",REPT(" ",50)),151,50))),0),IFERROR(DATEVALUE(TRIM(MID(SUBSTITUTE(I7,";",REPT(" ",50)),201,50))),0),IFERROR(DATEVALUE(TRIM(MID(SUBSTITUTE(I7,";",REPT(" ",50)),251,50))),0),IFERROR(DATEVALUE(TRIM(MID(SUBSTITUTE(I7,";",REPT(" ",50)),301,50))),0),IFERROR(DATEVALUE(TRIM(MID(SUBSTITUTE(I7,";",REPT(" ",50)),351,50))),0),IFERROR(DATEVALUE(TRIM(MID(SUBSTITUTE(I7,";",REPT(" ",50)),401,50))),0),IFERROR(DATEVALUE(TRIM(MID(SUBSTITUTE(I7,";",REPT(" ",50)),451,50))),0)))</f>
        <v/>
      </c>
      <c r="M7" t="s">
        <v>184</v>
      </c>
      <c r="N7">
        <f>IF(M7="","",IF(L7="",INDEX($F$61:$F$64,MATCH(M7,$C$61:$C$64,0)),IF(L7&lt;=INDEX($D$61:$D$64,MATCH(M7,$C$61:$C$64,0)),0,IF(L7&lt;=INDEX($E$61:$E$64,MATCH(M7,$C$61:$C$64,0)),INDEX($F$61:$F$64,MATCH(M7,$C$61:$C$64,0)),INDEX($G$61:$G$64,MATCH(M7,$C$61:$C$64,0))))))</f>
        <v>3</v>
      </c>
      <c r="O7">
        <f>G7+N7</f>
        <v>3</v>
      </c>
      <c r="P7" t="s">
        <v>168</v>
      </c>
      <c r="Q7" t="s">
        <v>863</v>
      </c>
      <c r="R7" t="s">
        <v>1432</v>
      </c>
    </row>
    <row r="8" spans="1:19" x14ac:dyDescent="0.2">
      <c r="A8" s="3"/>
      <c r="B8" s="44"/>
      <c r="C8" s="45"/>
      <c r="D8" s="45"/>
      <c r="E8" s="45"/>
      <c r="F8" s="45"/>
      <c r="G8" s="45"/>
      <c r="H8" s="45"/>
      <c r="I8" s="45"/>
      <c r="J8" s="45"/>
      <c r="K8" s="46"/>
      <c r="L8" s="45"/>
      <c r="M8" s="45"/>
      <c r="N8" s="45"/>
      <c r="O8" s="45"/>
      <c r="P8" s="45"/>
      <c r="Q8" s="45"/>
      <c r="R8" s="45"/>
    </row>
    <row r="9" spans="1:19" x14ac:dyDescent="0.2">
      <c r="A9" t="s">
        <v>207</v>
      </c>
      <c r="B9" t="s">
        <v>1433</v>
      </c>
      <c r="C9" t="s">
        <v>1434</v>
      </c>
      <c r="D9" t="s">
        <v>163</v>
      </c>
      <c r="E9">
        <f>IF(C9="Resilient (remains tradeable with moderate impact)",0,IF(C9="Some deterioration but tradeable",10,IF(C9="Liquidity collapses/frequently disappears",20,IF(C9="Unknown",10,""))))</f>
        <v>10</v>
      </c>
      <c r="F9">
        <f>IF(D9="High",0,IF(D9="Medium",0.05,IF(D9="Low",0.1,IF(D9="Unknown",0.15,""))))</f>
        <v>0</v>
      </c>
      <c r="G9">
        <f>E9*(1+F9)</f>
        <v>10</v>
      </c>
      <c r="H9" t="s">
        <v>1435</v>
      </c>
      <c r="J9" t="s">
        <v>176</v>
      </c>
      <c r="K9" t="str">
        <f>IF(I9="","",MAX(IFERROR(DATEVALUE(TRIM(MID(SUBSTITUTE(I9,";",REPT(" ",50)),1,50))),0),IFERROR(DATEVALUE(TRIM(MID(SUBSTITUTE(I9,";",REPT(" ",50)),51,50))),0),IFERROR(DATEVALUE(TRIM(MID(SUBSTITUTE(I9,";",REPT(" ",50)),101,50))),0),IFERROR(DATEVALUE(TRIM(MID(SUBSTITUTE(I9,";",REPT(" ",50)),151,50))),0),IFERROR(DATEVALUE(TRIM(MID(SUBSTITUTE(I9,";",REPT(" ",50)),201,50))),0),IFERROR(DATEVALUE(TRIM(MID(SUBSTITUTE(I9,";",REPT(" ",50)),251,50))),0),IFERROR(DATEVALUE(TRIM(MID(SUBSTITUTE(I9,";",REPT(" ",50)),301,50))),0),IFERROR(DATEVALUE(TRIM(MID(SUBSTITUTE(I9,";",REPT(" ",50)),351,50))),0),IFERROR(DATEVALUE(TRIM(MID(SUBSTITUTE(I9,";",REPT(" ",50)),401,50))),0),IFERROR(DATEVALUE(TRIM(MID(SUBSTITUTE(I9,";",REPT(" ",50)),451,50))),0)))</f>
        <v/>
      </c>
      <c r="M9" t="s">
        <v>273</v>
      </c>
      <c r="N9">
        <f>IF(M9="","",IF(L9="",INDEX($F$61:$F$64,MATCH(M9,$C$61:$C$64,0)),IF(L9&lt;=INDEX($D$61:$D$64,MATCH(M9,$C$61:$C$64,0)),0,IF(L9&lt;=INDEX($E$61:$E$64,MATCH(M9,$C$61:$C$64,0)),INDEX($F$61:$F$64,MATCH(M9,$C$61:$C$64,0)),INDEX($G$61:$G$64,MATCH(M9,$C$61:$C$64,0))))))</f>
        <v>5</v>
      </c>
      <c r="O9">
        <f>G9+N9</f>
        <v>15</v>
      </c>
      <c r="P9" t="str">
        <f>IF(AND(C9="Liquidity collapses/frequently disappears",OR(D9="High",D9="Medium")),"Review Required","No Review")</f>
        <v>No Review</v>
      </c>
      <c r="Q9" t="s">
        <v>1436</v>
      </c>
      <c r="R9" t="s">
        <v>1437</v>
      </c>
    </row>
    <row r="10" spans="1:19" x14ac:dyDescent="0.2">
      <c r="A10" t="s">
        <v>213</v>
      </c>
      <c r="B10" t="s">
        <v>1438</v>
      </c>
      <c r="C10" t="s">
        <v>1439</v>
      </c>
      <c r="D10" t="s">
        <v>163</v>
      </c>
      <c r="E10">
        <f>IF(C10="Feasible with manageable impact",0,IF(C10="Feasible but with significant care",10,IF(C10="Very difficult without extreme impact",20,IF(C10="Unknown",10,""))))</f>
        <v>10</v>
      </c>
      <c r="F10">
        <f>IF(D10="High",0,IF(D10="Medium",0.05,IF(D10="Low",0.1,IF(D10="Unknown",0.15,""))))</f>
        <v>0</v>
      </c>
      <c r="G10">
        <f>E10*(1+F10)</f>
        <v>10</v>
      </c>
      <c r="H10" t="s">
        <v>1440</v>
      </c>
      <c r="I10" t="s">
        <v>1421</v>
      </c>
      <c r="J10" t="s">
        <v>176</v>
      </c>
      <c r="K10">
        <f>IF(I10="","",MAX(IFERROR(DATEVALUE(TRIM(MID(SUBSTITUTE(I10,";",REPT(" ",50)),1,50))),0),IFERROR(DATEVALUE(TRIM(MID(SUBSTITUTE(I10,";",REPT(" ",50)),51,50))),0),IFERROR(DATEVALUE(TRIM(MID(SUBSTITUTE(I10,";",REPT(" ",50)),101,50))),0),IFERROR(DATEVALUE(TRIM(MID(SUBSTITUTE(I10,";",REPT(" ",50)),151,50))),0),IFERROR(DATEVALUE(TRIM(MID(SUBSTITUTE(I10,";",REPT(" ",50)),201,50))),0),IFERROR(DATEVALUE(TRIM(MID(SUBSTITUTE(I10,";",REPT(" ",50)),251,50))),0),IFERROR(DATEVALUE(TRIM(MID(SUBSTITUTE(I10,";",REPT(" ",50)),301,50))),0),IFERROR(DATEVALUE(TRIM(MID(SUBSTITUTE(I10,";",REPT(" ",50)),351,50))),0),IFERROR(DATEVALUE(TRIM(MID(SUBSTITUTE(I10,";",REPT(" ",50)),401,50))),0),IFERROR(DATEVALUE(TRIM(MID(SUBSTITUTE(I10,";",REPT(" ",50)),451,50))),0)))</f>
        <v>46003</v>
      </c>
      <c r="M10" t="s">
        <v>184</v>
      </c>
      <c r="N10">
        <f>IF(M10="","",IF(L10="",INDEX($F$61:$F$64,MATCH(M10,$C$61:$C$64,0)),IF(L10&lt;=INDEX($D$61:$D$64,MATCH(M10,$C$61:$C$64,0)),0,IF(L10&lt;=INDEX($E$61:$E$64,MATCH(M10,$C$61:$C$64,0)),INDEX($F$61:$F$64,MATCH(M10,$C$61:$C$64,0)),INDEX($G$61:$G$64,MATCH(M10,$C$61:$C$64,0))))))</f>
        <v>3</v>
      </c>
      <c r="O10">
        <f>G10+N10</f>
        <v>13</v>
      </c>
      <c r="P10" t="s">
        <v>168</v>
      </c>
      <c r="R10" t="s">
        <v>1441</v>
      </c>
    </row>
    <row r="11" spans="1:19" x14ac:dyDescent="0.2">
      <c r="A11" t="s">
        <v>217</v>
      </c>
      <c r="B11" t="s">
        <v>1442</v>
      </c>
      <c r="C11" t="s">
        <v>1443</v>
      </c>
      <c r="D11" t="s">
        <v>163</v>
      </c>
      <c r="E11">
        <f>IF(C11="Concentrated in a few deep venues/pairs",0,IF(C11="Moderately fragmented",10,IF(C11="Highly fragmented across illiquid venues/pairs",20,IF(C11="Unknown",10,""))))</f>
        <v>0</v>
      </c>
      <c r="F11">
        <f>IF(D11="High",0,IF(D11="Medium",0.05,IF(D11="Low",0.1,IF(D11="Unknown",0.15,""))))</f>
        <v>0</v>
      </c>
      <c r="G11">
        <f>E11*(1+F11)</f>
        <v>0</v>
      </c>
      <c r="H11" t="s">
        <v>1444</v>
      </c>
      <c r="I11" t="s">
        <v>1445</v>
      </c>
      <c r="J11" t="s">
        <v>176</v>
      </c>
      <c r="K11">
        <f>IF(I11="","",MAX(IFERROR(DATEVALUE(TRIM(MID(SUBSTITUTE(I11,";",REPT(" ",50)),1,50))),0),IFERROR(DATEVALUE(TRIM(MID(SUBSTITUTE(I11,";",REPT(" ",50)),51,50))),0),IFERROR(DATEVALUE(TRIM(MID(SUBSTITUTE(I11,";",REPT(" ",50)),101,50))),0),IFERROR(DATEVALUE(TRIM(MID(SUBSTITUTE(I11,";",REPT(" ",50)),151,50))),0),IFERROR(DATEVALUE(TRIM(MID(SUBSTITUTE(I11,";",REPT(" ",50)),201,50))),0),IFERROR(DATEVALUE(TRIM(MID(SUBSTITUTE(I11,";",REPT(" ",50)),251,50))),0),IFERROR(DATEVALUE(TRIM(MID(SUBSTITUTE(I11,";",REPT(" ",50)),301,50))),0),IFERROR(DATEVALUE(TRIM(MID(SUBSTITUTE(I11,";",REPT(" ",50)),351,50))),0),IFERROR(DATEVALUE(TRIM(MID(SUBSTITUTE(I11,";",REPT(" ",50)),401,50))),0),IFERROR(DATEVALUE(TRIM(MID(SUBSTITUTE(I11,";",REPT(" ",50)),451,50))),0)))</f>
        <v>46003</v>
      </c>
      <c r="M11" t="s">
        <v>184</v>
      </c>
      <c r="N11">
        <f>IF(M11="","",IF(L11="",INDEX($F$61:$F$64,MATCH(M11,$C$61:$C$64,0)),IF(L11&lt;=INDEX($D$61:$D$64,MATCH(M11,$C$61:$C$64,0)),0,IF(L11&lt;=INDEX($E$61:$E$64,MATCH(M11,$C$61:$C$64,0)),INDEX($F$61:$F$64,MATCH(M11,$C$61:$C$64,0)),INDEX($G$61:$G$64,MATCH(M11,$C$61:$C$64,0))))))</f>
        <v>3</v>
      </c>
      <c r="O11">
        <f>G11+N11</f>
        <v>3</v>
      </c>
      <c r="P11" t="s">
        <v>168</v>
      </c>
      <c r="R11" t="s">
        <v>1446</v>
      </c>
    </row>
    <row r="12" spans="1:19" x14ac:dyDescent="0.2">
      <c r="A12" t="s">
        <v>222</v>
      </c>
      <c r="B12" t="s">
        <v>1447</v>
      </c>
      <c r="C12" t="s">
        <v>1448</v>
      </c>
      <c r="D12" t="s">
        <v>197</v>
      </c>
      <c r="E12">
        <v>0</v>
      </c>
      <c r="F12">
        <f>IF(D12="High",0,IF(D12="Medium",0.05,IF(D12="Low",0.1,IF(D12="Unknown",0.15,""))))</f>
        <v>0.05</v>
      </c>
      <c r="G12">
        <f>E12*(1+F12)</f>
        <v>0</v>
      </c>
      <c r="H12" t="s">
        <v>1449</v>
      </c>
      <c r="I12" t="s">
        <v>1450</v>
      </c>
      <c r="J12" t="s">
        <v>176</v>
      </c>
      <c r="K12">
        <f>IF(I12="","",MAX(IFERROR(DATEVALUE(TRIM(MID(SUBSTITUTE(I12,";",REPT(" ",50)),1,50))),0),IFERROR(DATEVALUE(TRIM(MID(SUBSTITUTE(I12,";",REPT(" ",50)),51,50))),0),IFERROR(DATEVALUE(TRIM(MID(SUBSTITUTE(I12,";",REPT(" ",50)),101,50))),0),IFERROR(DATEVALUE(TRIM(MID(SUBSTITUTE(I12,";",REPT(" ",50)),151,50))),0),IFERROR(DATEVALUE(TRIM(MID(SUBSTITUTE(I12,";",REPT(" ",50)),201,50))),0),IFERROR(DATEVALUE(TRIM(MID(SUBSTITUTE(I12,";",REPT(" ",50)),251,50))),0),IFERROR(DATEVALUE(TRIM(MID(SUBSTITUTE(I12,";",REPT(" ",50)),301,50))),0),IFERROR(DATEVALUE(TRIM(MID(SUBSTITUTE(I12,";",REPT(" ",50)),351,50))),0),IFERROR(DATEVALUE(TRIM(MID(SUBSTITUTE(I12,";",REPT(" ",50)),401,50))),0),IFERROR(DATEVALUE(TRIM(MID(SUBSTITUTE(I12,";",REPT(" ",50)),451,50))),0)))</f>
        <v>46001</v>
      </c>
      <c r="M12" t="s">
        <v>184</v>
      </c>
      <c r="N12">
        <f>IF(M12="","",IF(L12="",INDEX($F$61:$F$64,MATCH(M12,$C$61:$C$64,0)),IF(L12&lt;=INDEX($D$61:$D$64,MATCH(M12,$C$61:$C$64,0)),0,IF(L12&lt;=INDEX($E$61:$E$64,MATCH(M12,$C$61:$C$64,0)),INDEX($F$61:$F$64,MATCH(M12,$C$61:$C$64,0)),INDEX($G$61:$G$64,MATCH(M12,$C$61:$C$64,0))))))</f>
        <v>3</v>
      </c>
      <c r="O12">
        <f>G12+N12</f>
        <v>3</v>
      </c>
      <c r="P12" t="s">
        <v>168</v>
      </c>
      <c r="Q12" t="s">
        <v>863</v>
      </c>
      <c r="R12" t="s">
        <v>1451</v>
      </c>
    </row>
    <row r="13" spans="1:19" x14ac:dyDescent="0.2">
      <c r="A13" s="4"/>
      <c r="B13" s="5" t="s">
        <v>1452</v>
      </c>
      <c r="C13" s="4"/>
      <c r="D13" s="4"/>
      <c r="E13" s="4"/>
      <c r="F13" s="4"/>
      <c r="G13" s="4"/>
      <c r="H13" s="4"/>
      <c r="I13" s="4"/>
      <c r="J13" s="4"/>
      <c r="K13" s="23" t="str">
        <f>IF(I13="","",MAX(IFERROR(DATEVALUE(TRIM(MID(SUBSTITUTE(I13,";",REPT(" ",50)),1,50))),0),IFERROR(DATEVALUE(TRIM(MID(SUBSTITUTE(I13,";",REPT(" ",50)),51,50))),0),IFERROR(DATEVALUE(TRIM(MID(SUBSTITUTE(I13,";",REPT(" ",50)),101,50))),0),IFERROR(DATEVALUE(TRIM(MID(SUBSTITUTE(I13,";",REPT(" ",50)),151,50))),0),IFERROR(DATEVALUE(TRIM(MID(SUBSTITUTE(I13,";",REPT(" ",50)),201,50))),0),IFERROR(DATEVALUE(TRIM(MID(SUBSTITUTE(I13,";",REPT(" ",50)),251,50))),0),IFERROR(DATEVALUE(TRIM(MID(SUBSTITUTE(I13,";",REPT(" ",50)),301,50))),0),IFERROR(DATEVALUE(TRIM(MID(SUBSTITUTE(I13,";",REPT(" ",50)),351,50))),0),IFERROR(DATEVALUE(TRIM(MID(SUBSTITUTE(I13,";",REPT(" ",50)),401,50))),0),IFERROR(DATEVALUE(TRIM(MID(SUBSTITUTE(I13,";",REPT(" ",50)),451,50))),0)))</f>
        <v/>
      </c>
      <c r="L13" s="4"/>
      <c r="M13" s="4"/>
      <c r="N13" s="4" t="str">
        <f>IF(M13="","",IF(L13="",INDEX($F$61:$F$64,MATCH(M13,$C$61:$C$64,0)),IF(L13&lt;=INDEX($D$61:$D$64,MATCH(M13,$C$61:$C$64,0)),0,IF(L13&lt;=INDEX($E$61:$E$64,MATCH(M13,$C$61:$C$64,0)),INDEX($F$61:$F$64,MATCH(M13,$C$61:$C$64,0)),INDEX($G$61:$G$64,MATCH(M13,$C$61:$C$64,0))))))</f>
        <v/>
      </c>
      <c r="O13" s="4"/>
      <c r="P13" s="4"/>
      <c r="Q13" s="4"/>
      <c r="R13" s="4"/>
    </row>
    <row r="14" spans="1:19" x14ac:dyDescent="0.2">
      <c r="A14" s="3"/>
      <c r="B14" s="44"/>
      <c r="C14" s="45"/>
      <c r="D14" s="45"/>
      <c r="E14" s="45"/>
      <c r="F14" s="45"/>
      <c r="G14" s="45"/>
      <c r="H14" s="45"/>
      <c r="I14" s="45"/>
      <c r="J14" s="45"/>
      <c r="K14" s="46"/>
      <c r="L14" s="45"/>
      <c r="M14" s="45"/>
      <c r="N14" s="45"/>
      <c r="O14" s="45"/>
      <c r="P14" s="45"/>
      <c r="Q14" s="45"/>
      <c r="R14" s="45"/>
    </row>
    <row r="15" spans="1:19" x14ac:dyDescent="0.2">
      <c r="A15" t="s">
        <v>241</v>
      </c>
      <c r="B15" t="s">
        <v>1453</v>
      </c>
      <c r="C15" t="s">
        <v>1454</v>
      </c>
      <c r="D15" t="s">
        <v>163</v>
      </c>
      <c r="E15">
        <f>IF(C15="Low to moderate turnover",0,IF(C15="Elevated but plausible",10,IF(C15="Suspiciously high vs peers",20,IF(C15="Unknown",10,""))))</f>
        <v>0</v>
      </c>
      <c r="F15">
        <f>IF(D15="High",0,IF(D15="Medium",0.05,IF(D15="Low",0.1,IF(D15="Unknown",0.15,""))))</f>
        <v>0</v>
      </c>
      <c r="G15">
        <f>E15*(1+F15)</f>
        <v>0</v>
      </c>
      <c r="H15" t="s">
        <v>1455</v>
      </c>
      <c r="I15" t="s">
        <v>176</v>
      </c>
      <c r="J15" t="s">
        <v>176</v>
      </c>
      <c r="K15">
        <f>IF(I15="","",MAX(IFERROR(DATEVALUE(TRIM(MID(SUBSTITUTE(I15,";",REPT(" ",50)),1,50))),0),IFERROR(DATEVALUE(TRIM(MID(SUBSTITUTE(I15,";",REPT(" ",50)),51,50))),0),IFERROR(DATEVALUE(TRIM(MID(SUBSTITUTE(I15,";",REPT(" ",50)),101,50))),0),IFERROR(DATEVALUE(TRIM(MID(SUBSTITUTE(I15,";",REPT(" ",50)),151,50))),0),IFERROR(DATEVALUE(TRIM(MID(SUBSTITUTE(I15,";",REPT(" ",50)),201,50))),0),IFERROR(DATEVALUE(TRIM(MID(SUBSTITUTE(I15,";",REPT(" ",50)),251,50))),0),IFERROR(DATEVALUE(TRIM(MID(SUBSTITUTE(I15,";",REPT(" ",50)),301,50))),0),IFERROR(DATEVALUE(TRIM(MID(SUBSTITUTE(I15,";",REPT(" ",50)),351,50))),0),IFERROR(DATEVALUE(TRIM(MID(SUBSTITUTE(I15,";",REPT(" ",50)),401,50))),0),IFERROR(DATEVALUE(TRIM(MID(SUBSTITUTE(I15,";",REPT(" ",50)),451,50))),0)))</f>
        <v>46003</v>
      </c>
      <c r="M15" t="s">
        <v>184</v>
      </c>
      <c r="N15">
        <f>IF(M15="","",IF(L15="",INDEX($F$61:$F$64,MATCH(M15,$C$61:$C$64,0)),IF(L15&lt;=INDEX($D$61:$D$64,MATCH(M15,$C$61:$C$64,0)),0,IF(L15&lt;=INDEX($E$61:$E$64,MATCH(M15,$C$61:$C$64,0)),INDEX($F$61:$F$64,MATCH(M15,$C$61:$C$64,0)),INDEX($G$61:$G$64,MATCH(M15,$C$61:$C$64,0))))))</f>
        <v>3</v>
      </c>
      <c r="O15">
        <f>G15+N15</f>
        <v>3</v>
      </c>
      <c r="P15" t="s">
        <v>168</v>
      </c>
      <c r="R15" t="s">
        <v>1456</v>
      </c>
    </row>
    <row r="16" spans="1:19" x14ac:dyDescent="0.2">
      <c r="A16" t="s">
        <v>247</v>
      </c>
      <c r="B16" t="s">
        <v>1457</v>
      </c>
      <c r="C16" t="s">
        <v>1458</v>
      </c>
      <c r="D16" t="s">
        <v>197</v>
      </c>
      <c r="E16">
        <f>IF(C16="Consistent/organic pattern",0,IF(C16="Some spikes but broadly organic",10,IF(C16="Highly spiky or unnatural pattern",20,IF(C16="Unknown",10,""))))</f>
        <v>10</v>
      </c>
      <c r="F16">
        <f>IF(D16="High",0,IF(D16="Medium",0.05,IF(D16="Low",0.1,IF(D16="Unknown",0.15,""))))</f>
        <v>0.05</v>
      </c>
      <c r="G16">
        <f>E16*(1+F16)</f>
        <v>10.5</v>
      </c>
      <c r="H16" t="s">
        <v>1459</v>
      </c>
      <c r="J16" t="s">
        <v>166</v>
      </c>
      <c r="K16" t="str">
        <f>IF(I16="","",MAX(IFERROR(DATEVALUE(TRIM(MID(SUBSTITUTE(I16,";",REPT(" ",50)),1,50))),0),IFERROR(DATEVALUE(TRIM(MID(SUBSTITUTE(I16,";",REPT(" ",50)),51,50))),0),IFERROR(DATEVALUE(TRIM(MID(SUBSTITUTE(I16,";",REPT(" ",50)),101,50))),0),IFERROR(DATEVALUE(TRIM(MID(SUBSTITUTE(I16,";",REPT(" ",50)),151,50))),0),IFERROR(DATEVALUE(TRIM(MID(SUBSTITUTE(I16,";",REPT(" ",50)),201,50))),0),IFERROR(DATEVALUE(TRIM(MID(SUBSTITUTE(I16,";",REPT(" ",50)),251,50))),0),IFERROR(DATEVALUE(TRIM(MID(SUBSTITUTE(I16,";",REPT(" ",50)),301,50))),0),IFERROR(DATEVALUE(TRIM(MID(SUBSTITUTE(I16,";",REPT(" ",50)),351,50))),0),IFERROR(DATEVALUE(TRIM(MID(SUBSTITUTE(I16,";",REPT(" ",50)),401,50))),0),IFERROR(DATEVALUE(TRIM(MID(SUBSTITUTE(I16,";",REPT(" ",50)),451,50))),0)))</f>
        <v/>
      </c>
      <c r="M16" t="s">
        <v>184</v>
      </c>
      <c r="N16">
        <f>IF(M16="","",IF(L16="",INDEX($F$61:$F$64,MATCH(M16,$C$61:$C$64,0)),IF(L16&lt;=INDEX($D$61:$D$64,MATCH(M16,$C$61:$C$64,0)),0,IF(L16&lt;=INDEX($E$61:$E$64,MATCH(M16,$C$61:$C$64,0)),INDEX($F$61:$F$64,MATCH(M16,$C$61:$C$64,0)),INDEX($G$61:$G$64,MATCH(M16,$C$61:$C$64,0))))))</f>
        <v>3</v>
      </c>
      <c r="O16">
        <f>G16+N16</f>
        <v>13.5</v>
      </c>
      <c r="P16" t="s">
        <v>168</v>
      </c>
      <c r="R16" t="s">
        <v>1460</v>
      </c>
    </row>
    <row r="17" spans="1:18" x14ac:dyDescent="0.2">
      <c r="A17" t="s">
        <v>252</v>
      </c>
      <c r="B17" t="s">
        <v>1461</v>
      </c>
      <c r="C17" t="s">
        <v>1462</v>
      </c>
      <c r="D17" t="s">
        <v>163</v>
      </c>
      <c r="E17">
        <f>IF(C17="Spot-dominant volume",0,IF(C17="Balanced spot/derivatives",10,IF(C17="Derivatives-dominant volume",20,IF(C17="Unknown",10,""))))</f>
        <v>20</v>
      </c>
      <c r="F17">
        <f>IF(D17="High",0,IF(D17="Medium",0.05,IF(D17="Low",0.1,IF(D17="Unknown",0.15,""))))</f>
        <v>0</v>
      </c>
      <c r="G17">
        <f>E17*(1+F17)</f>
        <v>20</v>
      </c>
      <c r="H17" t="s">
        <v>1463</v>
      </c>
      <c r="I17" t="s">
        <v>1464</v>
      </c>
      <c r="J17" t="s">
        <v>166</v>
      </c>
      <c r="K17">
        <f>IF(I17="","",MAX(IFERROR(DATEVALUE(TRIM(MID(SUBSTITUTE(I17,";",REPT(" ",50)),1,50))),0),IFERROR(DATEVALUE(TRIM(MID(SUBSTITUTE(I17,";",REPT(" ",50)),51,50))),0),IFERROR(DATEVALUE(TRIM(MID(SUBSTITUTE(I17,";",REPT(" ",50)),101,50))),0),IFERROR(DATEVALUE(TRIM(MID(SUBSTITUTE(I17,";",REPT(" ",50)),151,50))),0),IFERROR(DATEVALUE(TRIM(MID(SUBSTITUTE(I17,";",REPT(" ",50)),201,50))),0),IFERROR(DATEVALUE(TRIM(MID(SUBSTITUTE(I17,";",REPT(" ",50)),251,50))),0),IFERROR(DATEVALUE(TRIM(MID(SUBSTITUTE(I17,";",REPT(" ",50)),301,50))),0),IFERROR(DATEVALUE(TRIM(MID(SUBSTITUTE(I17,";",REPT(" ",50)),351,50))),0),IFERROR(DATEVALUE(TRIM(MID(SUBSTITUTE(I17,";",REPT(" ",50)),401,50))),0),IFERROR(DATEVALUE(TRIM(MID(SUBSTITUTE(I17,";",REPT(" ",50)),451,50))),0)))</f>
        <v>46002</v>
      </c>
      <c r="M17" t="s">
        <v>184</v>
      </c>
      <c r="N17">
        <f>IF(M17="","",IF(L17="",INDEX($F$61:$F$64,MATCH(M17,$C$61:$C$64,0)),IF(L17&lt;=INDEX($D$61:$D$64,MATCH(M17,$C$61:$C$64,0)),0,IF(L17&lt;=INDEX($E$61:$E$64,MATCH(M17,$C$61:$C$64,0)),INDEX($F$61:$F$64,MATCH(M17,$C$61:$C$64,0)),INDEX($G$61:$G$64,MATCH(M17,$C$61:$C$64,0))))))</f>
        <v>3</v>
      </c>
      <c r="O17">
        <f>G17+N17</f>
        <v>23</v>
      </c>
      <c r="P17" t="s">
        <v>168</v>
      </c>
      <c r="R17" t="s">
        <v>1465</v>
      </c>
    </row>
    <row r="18" spans="1:18" x14ac:dyDescent="0.2">
      <c r="A18" t="s">
        <v>627</v>
      </c>
      <c r="B18" t="s">
        <v>1466</v>
      </c>
      <c r="C18" t="s">
        <v>1467</v>
      </c>
      <c r="D18" t="s">
        <v>197</v>
      </c>
      <c r="E18">
        <v>0</v>
      </c>
      <c r="F18">
        <f>IF(D18="High",0,IF(D18="Medium",0.05,IF(D18="Low",0.1,IF(D18="Unknown",0.15,""))))</f>
        <v>0.05</v>
      </c>
      <c r="G18">
        <f>E18*(1+F18)</f>
        <v>0</v>
      </c>
      <c r="H18" t="s">
        <v>948</v>
      </c>
      <c r="I18" t="s">
        <v>1468</v>
      </c>
      <c r="J18" t="s">
        <v>166</v>
      </c>
      <c r="K18">
        <f>IF(I18="","",MAX(IFERROR(DATEVALUE(TRIM(MID(SUBSTITUTE(I18,";",REPT(" ",50)),1,50))),0),IFERROR(DATEVALUE(TRIM(MID(SUBSTITUTE(I18,";",REPT(" ",50)),51,50))),0),IFERROR(DATEVALUE(TRIM(MID(SUBSTITUTE(I18,";",REPT(" ",50)),101,50))),0),IFERROR(DATEVALUE(TRIM(MID(SUBSTITUTE(I18,";",REPT(" ",50)),151,50))),0),IFERROR(DATEVALUE(TRIM(MID(SUBSTITUTE(I18,";",REPT(" ",50)),201,50))),0),IFERROR(DATEVALUE(TRIM(MID(SUBSTITUTE(I18,";",REPT(" ",50)),251,50))),0),IFERROR(DATEVALUE(TRIM(MID(SUBSTITUTE(I18,";",REPT(" ",50)),301,50))),0),IFERROR(DATEVALUE(TRIM(MID(SUBSTITUTE(I18,";",REPT(" ",50)),351,50))),0),IFERROR(DATEVALUE(TRIM(MID(SUBSTITUTE(I18,";",REPT(" ",50)),401,50))),0),IFERROR(DATEVALUE(TRIM(MID(SUBSTITUTE(I18,";",REPT(" ",50)),451,50))),0)))</f>
        <v>46001</v>
      </c>
      <c r="M18" t="s">
        <v>303</v>
      </c>
      <c r="N18">
        <f>IF(M18="","",IF(L18="",INDEX($F$61:$F$64,MATCH(M18,$C$61:$C$64,0)),IF(L18&lt;=INDEX($D$61:$D$64,MATCH(M18,$C$61:$C$64,0)),0,IF(L18&lt;=INDEX($E$61:$E$64,MATCH(M18,$C$61:$C$64,0)),INDEX($F$61:$F$64,MATCH(M18,$C$61:$C$64,0)),INDEX($G$61:$G$64,MATCH(M18,$C$61:$C$64,0))))))</f>
        <v>2</v>
      </c>
      <c r="O18">
        <f>G18+N18</f>
        <v>2</v>
      </c>
      <c r="P18" t="s">
        <v>168</v>
      </c>
      <c r="Q18" t="s">
        <v>863</v>
      </c>
      <c r="R18" t="s">
        <v>1469</v>
      </c>
    </row>
    <row r="19" spans="1:18" x14ac:dyDescent="0.2">
      <c r="A19" s="3"/>
      <c r="B19" s="44"/>
      <c r="C19" s="45"/>
      <c r="D19" s="45"/>
      <c r="E19" s="45"/>
      <c r="F19" s="45"/>
      <c r="G19" s="45"/>
      <c r="H19" s="45"/>
      <c r="I19" s="45"/>
      <c r="J19" s="45"/>
      <c r="K19" s="46"/>
      <c r="L19" s="45"/>
      <c r="M19" s="45"/>
      <c r="N19" s="45"/>
      <c r="O19" s="45"/>
      <c r="P19" s="45"/>
      <c r="Q19" s="45"/>
      <c r="R19" s="45"/>
    </row>
    <row r="20" spans="1:18" x14ac:dyDescent="0.2">
      <c r="A20" t="s">
        <v>268</v>
      </c>
      <c r="B20" t="s">
        <v>1470</v>
      </c>
      <c r="C20" t="s">
        <v>1471</v>
      </c>
      <c r="D20" t="s">
        <v>197</v>
      </c>
      <c r="E20">
        <f>IF(C20="No significant wash-trading flags",0,IF(C20="Some wash-trading flags",10,IF(C20="Strong wash-trading/fake volume flags",20,IF(C20="Unknown",10,""))))</f>
        <v>0</v>
      </c>
      <c r="F20">
        <f>IF(D20="High",0,IF(D20="Medium",0.05,IF(D20="Low",0.1,IF(D20="Unknown",0.15,""))))</f>
        <v>0.05</v>
      </c>
      <c r="G20">
        <f>E20*(1+F20)</f>
        <v>0</v>
      </c>
      <c r="H20" t="s">
        <v>1472</v>
      </c>
      <c r="I20" t="s">
        <v>1473</v>
      </c>
      <c r="J20" t="s">
        <v>176</v>
      </c>
      <c r="K20">
        <f>IF(I20="","",MAX(IFERROR(DATEVALUE(TRIM(MID(SUBSTITUTE(I20,";",REPT(" ",50)),1,50))),0),IFERROR(DATEVALUE(TRIM(MID(SUBSTITUTE(I20,";",REPT(" ",50)),51,50))),0),IFERROR(DATEVALUE(TRIM(MID(SUBSTITUTE(I20,";",REPT(" ",50)),101,50))),0),IFERROR(DATEVALUE(TRIM(MID(SUBSTITUTE(I20,";",REPT(" ",50)),151,50))),0),IFERROR(DATEVALUE(TRIM(MID(SUBSTITUTE(I20,";",REPT(" ",50)),201,50))),0),IFERROR(DATEVALUE(TRIM(MID(SUBSTITUTE(I20,";",REPT(" ",50)),251,50))),0),IFERROR(DATEVALUE(TRIM(MID(SUBSTITUTE(I20,";",REPT(" ",50)),301,50))),0),IFERROR(DATEVALUE(TRIM(MID(SUBSTITUTE(I20,";",REPT(" ",50)),351,50))),0),IFERROR(DATEVALUE(TRIM(MID(SUBSTITUTE(I20,";",REPT(" ",50)),401,50))),0),IFERROR(DATEVALUE(TRIM(MID(SUBSTITUTE(I20,";",REPT(" ",50)),451,50))),0)))</f>
        <v>45989</v>
      </c>
      <c r="M20" t="s">
        <v>184</v>
      </c>
      <c r="N20">
        <f>IF(M20="","",IF(L20="",INDEX($F$61:$F$64,MATCH(M20,$C$61:$C$64,0)),IF(L20&lt;=INDEX($D$61:$D$64,MATCH(M20,$C$61:$C$64,0)),0,IF(L20&lt;=INDEX($E$61:$E$64,MATCH(M20,$C$61:$C$64,0)),INDEX($F$61:$F$64,MATCH(M20,$C$61:$C$64,0)),INDEX($G$61:$G$64,MATCH(M20,$C$61:$C$64,0))))))</f>
        <v>3</v>
      </c>
      <c r="O20">
        <f>G20+N20</f>
        <v>3</v>
      </c>
      <c r="P20" t="str">
        <f>IF(AND(C20="Strong wash-trading/fake volume flags",OR(D20="High",D20="Medium")),"Review Required","No Review")</f>
        <v>No Review</v>
      </c>
      <c r="Q20" t="s">
        <v>1474</v>
      </c>
      <c r="R20" t="s">
        <v>1475</v>
      </c>
    </row>
    <row r="21" spans="1:18" x14ac:dyDescent="0.2">
      <c r="A21" t="s">
        <v>276</v>
      </c>
      <c r="B21" t="s">
        <v>1476</v>
      </c>
      <c r="C21" t="s">
        <v>1477</v>
      </c>
      <c r="D21" t="s">
        <v>163</v>
      </c>
      <c r="E21">
        <f>IF(C21="Volume mainly on reputable exchanges",0,IF(C21="Mixed (reputable and lower-quality)",10,IF(C21="Heavily concentrated on lower-quality/suspicious exchanges",20,IF(C21="Unknown",10,""))))</f>
        <v>0</v>
      </c>
      <c r="F21">
        <f>IF(D21="High",0,IF(D21="Medium",0.05,IF(D21="Low",0.1,IF(D21="Unknown",0.15,""))))</f>
        <v>0</v>
      </c>
      <c r="G21">
        <f>E21*(1+F21)</f>
        <v>0</v>
      </c>
      <c r="H21" t="s">
        <v>1478</v>
      </c>
      <c r="I21" t="s">
        <v>1479</v>
      </c>
      <c r="J21" t="s">
        <v>176</v>
      </c>
      <c r="K21">
        <f>IF(I21="","",MAX(IFERROR(DATEVALUE(TRIM(MID(SUBSTITUTE(I21,";",REPT(" ",50)),1,50))),0),IFERROR(DATEVALUE(TRIM(MID(SUBSTITUTE(I21,";",REPT(" ",50)),51,50))),0),IFERROR(DATEVALUE(TRIM(MID(SUBSTITUTE(I21,";",REPT(" ",50)),101,50))),0),IFERROR(DATEVALUE(TRIM(MID(SUBSTITUTE(I21,";",REPT(" ",50)),151,50))),0),IFERROR(DATEVALUE(TRIM(MID(SUBSTITUTE(I21,";",REPT(" ",50)),201,50))),0),IFERROR(DATEVALUE(TRIM(MID(SUBSTITUTE(I21,";",REPT(" ",50)),251,50))),0),IFERROR(DATEVALUE(TRIM(MID(SUBSTITUTE(I21,";",REPT(" ",50)),301,50))),0),IFERROR(DATEVALUE(TRIM(MID(SUBSTITUTE(I21,";",REPT(" ",50)),351,50))),0),IFERROR(DATEVALUE(TRIM(MID(SUBSTITUTE(I21,";",REPT(" ",50)),401,50))),0),IFERROR(DATEVALUE(TRIM(MID(SUBSTITUTE(I21,";",REPT(" ",50)),451,50))),0)))</f>
        <v>46002</v>
      </c>
      <c r="M21" t="s">
        <v>184</v>
      </c>
      <c r="N21">
        <f>IF(M21="","",IF(L21="",INDEX($F$61:$F$64,MATCH(M21,$C$61:$C$64,0)),IF(L21&lt;=INDEX($D$61:$D$64,MATCH(M21,$C$61:$C$64,0)),0,IF(L21&lt;=INDEX($E$61:$E$64,MATCH(M21,$C$61:$C$64,0)),INDEX($F$61:$F$64,MATCH(M21,$C$61:$C$64,0)),INDEX($G$61:$G$64,MATCH(M21,$C$61:$C$64,0))))))</f>
        <v>3</v>
      </c>
      <c r="O21">
        <f>G21+N21</f>
        <v>3</v>
      </c>
      <c r="P21" t="s">
        <v>168</v>
      </c>
      <c r="R21" t="s">
        <v>1480</v>
      </c>
    </row>
    <row r="22" spans="1:18" x14ac:dyDescent="0.2">
      <c r="A22" t="s">
        <v>281</v>
      </c>
      <c r="B22" t="s">
        <v>1481</v>
      </c>
      <c r="C22" t="s">
        <v>259</v>
      </c>
      <c r="D22" t="s">
        <v>163</v>
      </c>
      <c r="E22">
        <v>0</v>
      </c>
      <c r="F22">
        <f>IF(D22="High",0,IF(D22="Medium",0.05,IF(D22="Low",0.1,IF(D22="Unknown",0.15,""))))</f>
        <v>0</v>
      </c>
      <c r="G22">
        <f>E22*(1+F22)</f>
        <v>0</v>
      </c>
      <c r="H22" t="s">
        <v>1482</v>
      </c>
      <c r="I22" t="s">
        <v>1483</v>
      </c>
      <c r="J22" t="s">
        <v>176</v>
      </c>
      <c r="K22">
        <f>IF(I22="","",MAX(IFERROR(DATEVALUE(TRIM(MID(SUBSTITUTE(I22,";",REPT(" ",50)),1,50))),0),IFERROR(DATEVALUE(TRIM(MID(SUBSTITUTE(I22,";",REPT(" ",50)),51,50))),0),IFERROR(DATEVALUE(TRIM(MID(SUBSTITUTE(I22,";",REPT(" ",50)),101,50))),0),IFERROR(DATEVALUE(TRIM(MID(SUBSTITUTE(I22,";",REPT(" ",50)),151,50))),0),IFERROR(DATEVALUE(TRIM(MID(SUBSTITUTE(I22,";",REPT(" ",50)),201,50))),0),IFERROR(DATEVALUE(TRIM(MID(SUBSTITUTE(I22,";",REPT(" ",50)),251,50))),0),IFERROR(DATEVALUE(TRIM(MID(SUBSTITUTE(I22,";",REPT(" ",50)),301,50))),0),IFERROR(DATEVALUE(TRIM(MID(SUBSTITUTE(I22,";",REPT(" ",50)),351,50))),0),IFERROR(DATEVALUE(TRIM(MID(SUBSTITUTE(I22,";",REPT(" ",50)),401,50))),0),IFERROR(DATEVALUE(TRIM(MID(SUBSTITUTE(I22,";",REPT(" ",50)),451,50))),0)))</f>
        <v>45931</v>
      </c>
      <c r="M22" t="s">
        <v>273</v>
      </c>
      <c r="N22">
        <f>IF(M22="","",IF(L22="",INDEX($F$61:$F$64,MATCH(M22,$C$61:$C$64,0)),IF(L22&lt;=INDEX($D$61:$D$64,MATCH(M22,$C$61:$C$64,0)),0,IF(L22&lt;=INDEX($E$61:$E$64,MATCH(M22,$C$61:$C$64,0)),INDEX($F$61:$F$64,MATCH(M22,$C$61:$C$64,0)),INDEX($G$61:$G$64,MATCH(M22,$C$61:$C$64,0))))))</f>
        <v>5</v>
      </c>
      <c r="O22">
        <f>G22+N22</f>
        <v>5</v>
      </c>
      <c r="P22" t="str">
        <f>IF(AND(OR(C20="Some wash-trading flags",C20="Strong wash-trading/fake volume flags"),C21="Heavily concentrated on lower-quality/suspicious exchanges",OR(D20="High",D20="Medium",D21="High",D21="Medium")),"Review Required","No Review")</f>
        <v>No Review</v>
      </c>
      <c r="Q22" t="s">
        <v>1484</v>
      </c>
      <c r="R22" t="s">
        <v>1485</v>
      </c>
    </row>
    <row r="23" spans="1:18" x14ac:dyDescent="0.2">
      <c r="A23" t="s">
        <v>835</v>
      </c>
      <c r="B23" t="s">
        <v>1486</v>
      </c>
      <c r="C23" t="s">
        <v>1487</v>
      </c>
      <c r="D23" t="s">
        <v>197</v>
      </c>
      <c r="E23">
        <v>0</v>
      </c>
      <c r="F23">
        <f>IF(D23="High",0,IF(D23="Medium",0.05,IF(D23="Low",0.1,IF(D23="Unknown",0.15,""))))</f>
        <v>0.05</v>
      </c>
      <c r="G23">
        <f>E23*(1+F23)</f>
        <v>0</v>
      </c>
      <c r="H23" t="s">
        <v>1488</v>
      </c>
      <c r="I23" t="s">
        <v>1489</v>
      </c>
      <c r="J23" t="s">
        <v>176</v>
      </c>
      <c r="K23">
        <f>IF(I23="","",MAX(IFERROR(DATEVALUE(TRIM(MID(SUBSTITUTE(I23,";",REPT(" ",50)),1,50))),0),IFERROR(DATEVALUE(TRIM(MID(SUBSTITUTE(I23,";",REPT(" ",50)),51,50))),0),IFERROR(DATEVALUE(TRIM(MID(SUBSTITUTE(I23,";",REPT(" ",50)),101,50))),0),IFERROR(DATEVALUE(TRIM(MID(SUBSTITUTE(I23,";",REPT(" ",50)),151,50))),0),IFERROR(DATEVALUE(TRIM(MID(SUBSTITUTE(I23,";",REPT(" ",50)),201,50))),0),IFERROR(DATEVALUE(TRIM(MID(SUBSTITUTE(I23,";",REPT(" ",50)),251,50))),0),IFERROR(DATEVALUE(TRIM(MID(SUBSTITUTE(I23,";",REPT(" ",50)),301,50))),0),IFERROR(DATEVALUE(TRIM(MID(SUBSTITUTE(I23,";",REPT(" ",50)),351,50))),0),IFERROR(DATEVALUE(TRIM(MID(SUBSTITUTE(I23,";",REPT(" ",50)),401,50))),0),IFERROR(DATEVALUE(TRIM(MID(SUBSTITUTE(I23,";",REPT(" ",50)),451,50))),0)))</f>
        <v>45940</v>
      </c>
      <c r="M23" t="s">
        <v>184</v>
      </c>
      <c r="N23">
        <f>IF(M23="","",IF(L23="",INDEX($F$61:$F$64,MATCH(M23,$C$61:$C$64,0)),IF(L23&lt;=INDEX($D$61:$D$64,MATCH(M23,$C$61:$C$64,0)),0,IF(L23&lt;=INDEX($E$61:$E$64,MATCH(M23,$C$61:$C$64,0)),INDEX($F$61:$F$64,MATCH(M23,$C$61:$C$64,0)),INDEX($G$61:$G$64,MATCH(M23,$C$61:$C$64,0))))))</f>
        <v>3</v>
      </c>
      <c r="O23">
        <f>G23+N23</f>
        <v>3</v>
      </c>
      <c r="P23" t="s">
        <v>168</v>
      </c>
      <c r="Q23" t="s">
        <v>863</v>
      </c>
      <c r="R23" t="s">
        <v>1490</v>
      </c>
    </row>
    <row r="24" spans="1:18" x14ac:dyDescent="0.2">
      <c r="A24" s="4"/>
      <c r="B24" s="5" t="s">
        <v>1491</v>
      </c>
      <c r="C24" s="4"/>
      <c r="D24" s="4"/>
      <c r="E24" s="4"/>
      <c r="F24" s="4"/>
      <c r="G24" s="4"/>
      <c r="H24" s="4"/>
      <c r="I24" s="4"/>
      <c r="J24" s="4"/>
      <c r="K24" s="23" t="str">
        <f>IF(I24="","",MAX(IFERROR(DATEVALUE(TRIM(MID(SUBSTITUTE(I24,";",REPT(" ",50)),1,50))),0),IFERROR(DATEVALUE(TRIM(MID(SUBSTITUTE(I24,";",REPT(" ",50)),51,50))),0),IFERROR(DATEVALUE(TRIM(MID(SUBSTITUTE(I24,";",REPT(" ",50)),101,50))),0),IFERROR(DATEVALUE(TRIM(MID(SUBSTITUTE(I24,";",REPT(" ",50)),151,50))),0),IFERROR(DATEVALUE(TRIM(MID(SUBSTITUTE(I24,";",REPT(" ",50)),201,50))),0),IFERROR(DATEVALUE(TRIM(MID(SUBSTITUTE(I24,";",REPT(" ",50)),251,50))),0),IFERROR(DATEVALUE(TRIM(MID(SUBSTITUTE(I24,";",REPT(" ",50)),301,50))),0),IFERROR(DATEVALUE(TRIM(MID(SUBSTITUTE(I24,";",REPT(" ",50)),351,50))),0),IFERROR(DATEVALUE(TRIM(MID(SUBSTITUTE(I24,";",REPT(" ",50)),401,50))),0),IFERROR(DATEVALUE(TRIM(MID(SUBSTITUTE(I24,";",REPT(" ",50)),451,50))),0)))</f>
        <v/>
      </c>
      <c r="L24" s="4"/>
      <c r="M24" s="4"/>
      <c r="N24" s="4" t="str">
        <f>IF(M24="","",IF(L24="",INDEX($F$61:$F$64,MATCH(M24,$C$61:$C$64,0)),IF(L24&lt;=INDEX($D$61:$D$64,MATCH(M24,$C$61:$C$64,0)),0,IF(L24&lt;=INDEX($E$61:$E$64,MATCH(M24,$C$61:$C$64,0)),INDEX($F$61:$F$64,MATCH(M24,$C$61:$C$64,0)),INDEX($G$61:$G$64,MATCH(M24,$C$61:$C$64,0))))))</f>
        <v/>
      </c>
      <c r="O24" s="4"/>
      <c r="P24" s="4"/>
      <c r="Q24" s="4"/>
      <c r="R24" s="4"/>
    </row>
    <row r="25" spans="1:18" x14ac:dyDescent="0.2">
      <c r="A25" s="3"/>
      <c r="B25" s="44"/>
      <c r="C25" s="45"/>
      <c r="D25" s="45"/>
      <c r="E25" s="45"/>
      <c r="F25" s="45"/>
      <c r="G25" s="45"/>
      <c r="H25" s="45"/>
      <c r="I25" s="45"/>
      <c r="J25" s="45"/>
      <c r="K25" s="46"/>
      <c r="L25" s="45"/>
      <c r="M25" s="45"/>
      <c r="N25" s="45"/>
      <c r="O25" s="45"/>
      <c r="P25" s="45"/>
      <c r="Q25" s="45"/>
      <c r="R25" s="45"/>
    </row>
    <row r="26" spans="1:18" x14ac:dyDescent="0.2">
      <c r="A26" t="s">
        <v>634</v>
      </c>
      <c r="B26" t="s">
        <v>1492</v>
      </c>
      <c r="C26" t="s">
        <v>1493</v>
      </c>
      <c r="D26" t="s">
        <v>197</v>
      </c>
      <c r="E26">
        <f>IF(C26="Top venue &lt;40% of volume",0,IF(C26="Top venue 40–70%",10,IF(C26="Top venue &gt;70%",20,IF(C26="Unknown",10,""))))</f>
        <v>0</v>
      </c>
      <c r="F26">
        <f>IF(D26="High",0,IF(D26="Medium",0.05,IF(D26="Low",0.1,IF(D26="Unknown",0.15,""))))</f>
        <v>0.05</v>
      </c>
      <c r="G26">
        <f>E26*(1+F26)</f>
        <v>0</v>
      </c>
      <c r="H26" t="s">
        <v>1494</v>
      </c>
      <c r="I26" t="s">
        <v>1495</v>
      </c>
      <c r="J26" t="s">
        <v>176</v>
      </c>
      <c r="K26">
        <f>IF(I26="","",MAX(IFERROR(DATEVALUE(TRIM(MID(SUBSTITUTE(I26,";",REPT(" ",50)),1,50))),0),IFERROR(DATEVALUE(TRIM(MID(SUBSTITUTE(I26,";",REPT(" ",50)),51,50))),0),IFERROR(DATEVALUE(TRIM(MID(SUBSTITUTE(I26,";",REPT(" ",50)),101,50))),0),IFERROR(DATEVALUE(TRIM(MID(SUBSTITUTE(I26,";",REPT(" ",50)),151,50))),0),IFERROR(DATEVALUE(TRIM(MID(SUBSTITUTE(I26,";",REPT(" ",50)),201,50))),0),IFERROR(DATEVALUE(TRIM(MID(SUBSTITUTE(I26,";",REPT(" ",50)),251,50))),0),IFERROR(DATEVALUE(TRIM(MID(SUBSTITUTE(I26,";",REPT(" ",50)),301,50))),0),IFERROR(DATEVALUE(TRIM(MID(SUBSTITUTE(I26,";",REPT(" ",50)),351,50))),0),IFERROR(DATEVALUE(TRIM(MID(SUBSTITUTE(I26,";",REPT(" ",50)),401,50))),0),IFERROR(DATEVALUE(TRIM(MID(SUBSTITUTE(I26,";",REPT(" ",50)),451,50))),0)))</f>
        <v>46003</v>
      </c>
      <c r="M26" t="s">
        <v>184</v>
      </c>
      <c r="N26">
        <f>IF(M26="","",IF(L26="",INDEX($F$61:$F$64,MATCH(M26,$C$61:$C$64,0)),IF(L26&lt;=INDEX($D$61:$D$64,MATCH(M26,$C$61:$C$64,0)),0,IF(L26&lt;=INDEX($E$61:$E$64,MATCH(M26,$C$61:$C$64,0)),INDEX($F$61:$F$64,MATCH(M26,$C$61:$C$64,0)),INDEX($G$61:$G$64,MATCH(M26,$C$61:$C$64,0))))))</f>
        <v>3</v>
      </c>
      <c r="O26">
        <f>G26+N26</f>
        <v>3</v>
      </c>
      <c r="P26" t="str">
        <f>IF(AND(C26="Top venue &gt;70%",OR(D26="High",D26="Medium")),"Review Required","No Review")</f>
        <v>No Review</v>
      </c>
      <c r="Q26" t="s">
        <v>1496</v>
      </c>
      <c r="R26" t="s">
        <v>1497</v>
      </c>
    </row>
    <row r="27" spans="1:18" x14ac:dyDescent="0.2">
      <c r="A27" t="s">
        <v>640</v>
      </c>
      <c r="B27" t="s">
        <v>1498</v>
      </c>
      <c r="C27" t="s">
        <v>1499</v>
      </c>
      <c r="D27" t="s">
        <v>163</v>
      </c>
      <c r="E27">
        <f>IF(C27="3 or more significant venues",0,IF(C27="2 significant venues",10,IF(C27="Single significant venue",20,IF(C27="Unknown",10,""))))</f>
        <v>0</v>
      </c>
      <c r="F27">
        <f>IF(D27="High",0,IF(D27="Medium",0.05,IF(D27="Low",0.1,IF(D27="Unknown",0.15,""))))</f>
        <v>0</v>
      </c>
      <c r="G27">
        <f>E27*(1+F27)</f>
        <v>0</v>
      </c>
      <c r="H27" t="s">
        <v>1500</v>
      </c>
      <c r="I27" t="s">
        <v>166</v>
      </c>
      <c r="J27" t="s">
        <v>166</v>
      </c>
      <c r="K27">
        <f>IF(I27="","",MAX(IFERROR(DATEVALUE(TRIM(MID(SUBSTITUTE(I27,";",REPT(" ",50)),1,50))),0),IFERROR(DATEVALUE(TRIM(MID(SUBSTITUTE(I27,";",REPT(" ",50)),51,50))),0),IFERROR(DATEVALUE(TRIM(MID(SUBSTITUTE(I27,";",REPT(" ",50)),101,50))),0),IFERROR(DATEVALUE(TRIM(MID(SUBSTITUTE(I27,";",REPT(" ",50)),151,50))),0),IFERROR(DATEVALUE(TRIM(MID(SUBSTITUTE(I27,";",REPT(" ",50)),201,50))),0),IFERROR(DATEVALUE(TRIM(MID(SUBSTITUTE(I27,";",REPT(" ",50)),251,50))),0),IFERROR(DATEVALUE(TRIM(MID(SUBSTITUTE(I27,";",REPT(" ",50)),301,50))),0),IFERROR(DATEVALUE(TRIM(MID(SUBSTITUTE(I27,";",REPT(" ",50)),351,50))),0),IFERROR(DATEVALUE(TRIM(MID(SUBSTITUTE(I27,";",REPT(" ",50)),401,50))),0),IFERROR(DATEVALUE(TRIM(MID(SUBSTITUTE(I27,";",REPT(" ",50)),451,50))),0)))</f>
        <v>46003</v>
      </c>
      <c r="M27" t="s">
        <v>184</v>
      </c>
      <c r="N27">
        <f>IF(M27="","",IF(L27="",INDEX($F$61:$F$64,MATCH(M27,$C$61:$C$64,0)),IF(L27&lt;=INDEX($D$61:$D$64,MATCH(M27,$C$61:$C$64,0)),0,IF(L27&lt;=INDEX($E$61:$E$64,MATCH(M27,$C$61:$C$64,0)),INDEX($F$61:$F$64,MATCH(M27,$C$61:$C$64,0)),INDEX($G$61:$G$64,MATCH(M27,$C$61:$C$64,0))))))</f>
        <v>3</v>
      </c>
      <c r="O27">
        <f>G27+N27</f>
        <v>3</v>
      </c>
      <c r="P27" t="s">
        <v>168</v>
      </c>
      <c r="R27" t="s">
        <v>1501</v>
      </c>
    </row>
    <row r="28" spans="1:18" x14ac:dyDescent="0.2">
      <c r="A28" t="s">
        <v>645</v>
      </c>
      <c r="B28" t="s">
        <v>1502</v>
      </c>
      <c r="C28" t="s">
        <v>1503</v>
      </c>
      <c r="D28" t="s">
        <v>163</v>
      </c>
      <c r="E28">
        <f>IF(C28="Diversified across major regulated jurisdictions",0,IF(C28="Mixed (regulated and offshore)",10,IF(C28="Mostly offshore or lightly regulated venues",20,IF(C28="Unknown",10,""))))</f>
        <v>10</v>
      </c>
      <c r="F28">
        <f>IF(D28="High",0,IF(D28="Medium",0.05,IF(D28="Low",0.1,IF(D28="Unknown",0.15,""))))</f>
        <v>0</v>
      </c>
      <c r="G28">
        <f>E28*(1+F28)</f>
        <v>10</v>
      </c>
      <c r="H28" t="s">
        <v>1504</v>
      </c>
      <c r="I28" t="s">
        <v>1505</v>
      </c>
      <c r="J28" t="s">
        <v>176</v>
      </c>
      <c r="K28">
        <f>IF(I28="","",MAX(IFERROR(DATEVALUE(TRIM(MID(SUBSTITUTE(I28,";",REPT(" ",50)),1,50))),0),IFERROR(DATEVALUE(TRIM(MID(SUBSTITUTE(I28,";",REPT(" ",50)),51,50))),0),IFERROR(DATEVALUE(TRIM(MID(SUBSTITUTE(I28,";",REPT(" ",50)),101,50))),0),IFERROR(DATEVALUE(TRIM(MID(SUBSTITUTE(I28,";",REPT(" ",50)),151,50))),0),IFERROR(DATEVALUE(TRIM(MID(SUBSTITUTE(I28,";",REPT(" ",50)),201,50))),0),IFERROR(DATEVALUE(TRIM(MID(SUBSTITUTE(I28,";",REPT(" ",50)),251,50))),0),IFERROR(DATEVALUE(TRIM(MID(SUBSTITUTE(I28,";",REPT(" ",50)),301,50))),0),IFERROR(DATEVALUE(TRIM(MID(SUBSTITUTE(I28,";",REPT(" ",50)),351,50))),0),IFERROR(DATEVALUE(TRIM(MID(SUBSTITUTE(I28,";",REPT(" ",50)),401,50))),0),IFERROR(DATEVALUE(TRIM(MID(SUBSTITUTE(I28,";",REPT(" ",50)),451,50))),0)))</f>
        <v>46003</v>
      </c>
      <c r="M28" t="s">
        <v>184</v>
      </c>
      <c r="N28">
        <f>IF(M28="","",IF(L28="",INDEX($F$61:$F$64,MATCH(M28,$C$61:$C$64,0)),IF(L28&lt;=INDEX($D$61:$D$64,MATCH(M28,$C$61:$C$64,0)),0,IF(L28&lt;=INDEX($E$61:$E$64,MATCH(M28,$C$61:$C$64,0)),INDEX($F$61:$F$64,MATCH(M28,$C$61:$C$64,0)),INDEX($G$61:$G$64,MATCH(M28,$C$61:$C$64,0))))))</f>
        <v>3</v>
      </c>
      <c r="O28">
        <f>G28+N28</f>
        <v>13</v>
      </c>
      <c r="P28" t="s">
        <v>168</v>
      </c>
      <c r="R28" t="s">
        <v>1506</v>
      </c>
    </row>
    <row r="29" spans="1:18" x14ac:dyDescent="0.2">
      <c r="A29" t="s">
        <v>672</v>
      </c>
      <c r="B29" t="s">
        <v>1507</v>
      </c>
      <c r="C29" t="s">
        <v>1508</v>
      </c>
      <c r="D29" t="s">
        <v>197</v>
      </c>
      <c r="E29">
        <v>0</v>
      </c>
      <c r="F29">
        <f>IF(D29="High",0,IF(D29="Medium",0.05,IF(D29="Low",0.1,IF(D29="Unknown",0.15,""))))</f>
        <v>0.05</v>
      </c>
      <c r="G29">
        <f>E29*(1+F29)</f>
        <v>0</v>
      </c>
      <c r="H29" t="s">
        <v>1509</v>
      </c>
      <c r="I29" t="s">
        <v>1510</v>
      </c>
      <c r="J29" t="s">
        <v>176</v>
      </c>
      <c r="K29">
        <f>IF(I29="","",MAX(IFERROR(DATEVALUE(TRIM(MID(SUBSTITUTE(I29,";",REPT(" ",50)),1,50))),0),IFERROR(DATEVALUE(TRIM(MID(SUBSTITUTE(I29,";",REPT(" ",50)),51,50))),0),IFERROR(DATEVALUE(TRIM(MID(SUBSTITUTE(I29,";",REPT(" ",50)),101,50))),0),IFERROR(DATEVALUE(TRIM(MID(SUBSTITUTE(I29,";",REPT(" ",50)),151,50))),0),IFERROR(DATEVALUE(TRIM(MID(SUBSTITUTE(I29,";",REPT(" ",50)),201,50))),0),IFERROR(DATEVALUE(TRIM(MID(SUBSTITUTE(I29,";",REPT(" ",50)),251,50))),0),IFERROR(DATEVALUE(TRIM(MID(SUBSTITUTE(I29,";",REPT(" ",50)),301,50))),0),IFERROR(DATEVALUE(TRIM(MID(SUBSTITUTE(I29,";",REPT(" ",50)),351,50))),0),IFERROR(DATEVALUE(TRIM(MID(SUBSTITUTE(I29,";",REPT(" ",50)),401,50))),0),IFERROR(DATEVALUE(TRIM(MID(SUBSTITUTE(I29,";",REPT(" ",50)),451,50))),0)))</f>
        <v>45929</v>
      </c>
      <c r="M29" t="s">
        <v>303</v>
      </c>
      <c r="N29">
        <f>IF(M29="","",IF(L29="",INDEX($F$61:$F$64,MATCH(M29,$C$61:$C$64,0)),IF(L29&lt;=INDEX($D$61:$D$64,MATCH(M29,$C$61:$C$64,0)),0,IF(L29&lt;=INDEX($E$61:$E$64,MATCH(M29,$C$61:$C$64,0)),INDEX($F$61:$F$64,MATCH(M29,$C$61:$C$64,0)),INDEX($G$61:$G$64,MATCH(M29,$C$61:$C$64,0))))))</f>
        <v>2</v>
      </c>
      <c r="O29">
        <f>G29+N29</f>
        <v>2</v>
      </c>
      <c r="P29" t="s">
        <v>168</v>
      </c>
      <c r="Q29" t="s">
        <v>863</v>
      </c>
      <c r="R29" t="s">
        <v>1511</v>
      </c>
    </row>
    <row r="30" spans="1:18" x14ac:dyDescent="0.2">
      <c r="A30" s="3"/>
      <c r="B30" s="44"/>
      <c r="C30" s="45"/>
      <c r="D30" s="45"/>
      <c r="E30" s="45"/>
      <c r="F30" s="45"/>
      <c r="G30" s="45"/>
      <c r="H30" s="45"/>
      <c r="I30" s="45"/>
      <c r="J30" s="45"/>
      <c r="K30" s="46"/>
      <c r="L30" s="45"/>
      <c r="M30" s="45"/>
      <c r="N30" s="45"/>
      <c r="O30" s="45"/>
      <c r="P30" s="45"/>
      <c r="Q30" s="45"/>
      <c r="R30" s="45"/>
    </row>
    <row r="31" spans="1:18" x14ac:dyDescent="0.2">
      <c r="A31" t="s">
        <v>865</v>
      </c>
      <c r="B31" t="s">
        <v>1512</v>
      </c>
      <c r="C31" t="s">
        <v>1513</v>
      </c>
      <c r="D31" t="s">
        <v>197</v>
      </c>
      <c r="E31">
        <f>IF(C31="Balanced CEX/DEX mix",0,IF(C31="Mostly CEX volume",10,IF(C31="Mostly single DEX/AMM venue",20,IF(C31="Unknown",10,""))))</f>
        <v>10</v>
      </c>
      <c r="F31">
        <f>IF(D31="High",0,IF(D31="Medium",0.05,IF(D31="Low",0.1,IF(D31="Unknown",0.15,""))))</f>
        <v>0.05</v>
      </c>
      <c r="G31">
        <f>E31*(1+F31)</f>
        <v>10.5</v>
      </c>
      <c r="H31" t="s">
        <v>1514</v>
      </c>
      <c r="I31" t="s">
        <v>166</v>
      </c>
      <c r="J31" t="s">
        <v>166</v>
      </c>
      <c r="K31">
        <f>IF(I31="","",MAX(IFERROR(DATEVALUE(TRIM(MID(SUBSTITUTE(I31,";",REPT(" ",50)),1,50))),0),IFERROR(DATEVALUE(TRIM(MID(SUBSTITUTE(I31,";",REPT(" ",50)),51,50))),0),IFERROR(DATEVALUE(TRIM(MID(SUBSTITUTE(I31,";",REPT(" ",50)),101,50))),0),IFERROR(DATEVALUE(TRIM(MID(SUBSTITUTE(I31,";",REPT(" ",50)),151,50))),0),IFERROR(DATEVALUE(TRIM(MID(SUBSTITUTE(I31,";",REPT(" ",50)),201,50))),0),IFERROR(DATEVALUE(TRIM(MID(SUBSTITUTE(I31,";",REPT(" ",50)),251,50))),0),IFERROR(DATEVALUE(TRIM(MID(SUBSTITUTE(I31,";",REPT(" ",50)),301,50))),0),IFERROR(DATEVALUE(TRIM(MID(SUBSTITUTE(I31,";",REPT(" ",50)),351,50))),0),IFERROR(DATEVALUE(TRIM(MID(SUBSTITUTE(I31,";",REPT(" ",50)),401,50))),0),IFERROR(DATEVALUE(TRIM(MID(SUBSTITUTE(I31,";",REPT(" ",50)),451,50))),0)))</f>
        <v>46003</v>
      </c>
      <c r="M31" t="s">
        <v>184</v>
      </c>
      <c r="N31">
        <f>IF(M31="","",IF(L31="",INDEX($F$61:$F$64,MATCH(M31,$C$61:$C$64,0)),IF(L31&lt;=INDEX($D$61:$D$64,MATCH(M31,$C$61:$C$64,0)),0,IF(L31&lt;=INDEX($E$61:$E$64,MATCH(M31,$C$61:$C$64,0)),INDEX($F$61:$F$64,MATCH(M31,$C$61:$C$64,0)),INDEX($G$61:$G$64,MATCH(M31,$C$61:$C$64,0))))))</f>
        <v>3</v>
      </c>
      <c r="O31">
        <f>G31+N31</f>
        <v>13.5</v>
      </c>
      <c r="P31" t="s">
        <v>168</v>
      </c>
      <c r="R31" t="s">
        <v>1515</v>
      </c>
    </row>
    <row r="32" spans="1:18" x14ac:dyDescent="0.2">
      <c r="A32" t="s">
        <v>872</v>
      </c>
      <c r="B32" t="s">
        <v>1516</v>
      </c>
      <c r="C32" t="s">
        <v>1517</v>
      </c>
      <c r="D32" t="s">
        <v>163</v>
      </c>
      <c r="E32">
        <f>IF(C32="Diverse across multiple base pairs",0,IF(C32="Moderately concentrated (2–3 key pairs)",10,IF(C32="Highly reliant on a single pair",20,IF(C32="Unknown",10,""))))</f>
        <v>10</v>
      </c>
      <c r="F32">
        <f>IF(D32="High",0,IF(D32="Medium",0.05,IF(D32="Low",0.1,IF(D32="Unknown",0.15,""))))</f>
        <v>0</v>
      </c>
      <c r="G32">
        <f>E32*(1+F32)</f>
        <v>10</v>
      </c>
      <c r="H32" t="s">
        <v>1518</v>
      </c>
      <c r="I32" t="s">
        <v>1519</v>
      </c>
      <c r="J32" t="s">
        <v>166</v>
      </c>
      <c r="K32">
        <f>IF(I32="","",MAX(IFERROR(DATEVALUE(TRIM(MID(SUBSTITUTE(I32,";",REPT(" ",50)),1,50))),0),IFERROR(DATEVALUE(TRIM(MID(SUBSTITUTE(I32,";",REPT(" ",50)),51,50))),0),IFERROR(DATEVALUE(TRIM(MID(SUBSTITUTE(I32,";",REPT(" ",50)),101,50))),0),IFERROR(DATEVALUE(TRIM(MID(SUBSTITUTE(I32,";",REPT(" ",50)),151,50))),0),IFERROR(DATEVALUE(TRIM(MID(SUBSTITUTE(I32,";",REPT(" ",50)),201,50))),0),IFERROR(DATEVALUE(TRIM(MID(SUBSTITUTE(I32,";",REPT(" ",50)),251,50))),0),IFERROR(DATEVALUE(TRIM(MID(SUBSTITUTE(I32,";",REPT(" ",50)),301,50))),0),IFERROR(DATEVALUE(TRIM(MID(SUBSTITUTE(I32,";",REPT(" ",50)),351,50))),0),IFERROR(DATEVALUE(TRIM(MID(SUBSTITUTE(I32,";",REPT(" ",50)),401,50))),0),IFERROR(DATEVALUE(TRIM(MID(SUBSTITUTE(I32,";",REPT(" ",50)),451,50))),0)))</f>
        <v>45976</v>
      </c>
      <c r="M32" t="s">
        <v>184</v>
      </c>
      <c r="N32">
        <f>IF(M32="","",IF(L32="",INDEX($F$61:$F$64,MATCH(M32,$C$61:$C$64,0)),IF(L32&lt;=INDEX($D$61:$D$64,MATCH(M32,$C$61:$C$64,0)),0,IF(L32&lt;=INDEX($E$61:$E$64,MATCH(M32,$C$61:$C$64,0)),INDEX($F$61:$F$64,MATCH(M32,$C$61:$C$64,0)),INDEX($G$61:$G$64,MATCH(M32,$C$61:$C$64,0))))))</f>
        <v>3</v>
      </c>
      <c r="O32">
        <f>G32+N32</f>
        <v>13</v>
      </c>
      <c r="P32" t="s">
        <v>168</v>
      </c>
      <c r="R32" t="s">
        <v>1520</v>
      </c>
    </row>
    <row r="33" spans="1:18" x14ac:dyDescent="0.2">
      <c r="A33" t="s">
        <v>879</v>
      </c>
      <c r="B33" t="s">
        <v>1521</v>
      </c>
      <c r="C33" t="s">
        <v>1522</v>
      </c>
      <c r="D33" t="s">
        <v>163</v>
      </c>
      <c r="E33">
        <f>IF(C33="Mix includes deep stablecoin pairs",0,IF(C33="Mostly volatile asset pairs but still deep",10,IF(C33="Liquidity mainly in thin/volatile or exotic pairs",20,IF(C33="Unknown",10,""))))</f>
        <v>0</v>
      </c>
      <c r="F33">
        <f>IF(D33="High",0,IF(D33="Medium",0.05,IF(D33="Low",0.1,IF(D33="Unknown",0.15,""))))</f>
        <v>0</v>
      </c>
      <c r="G33">
        <f>E33*(1+F33)</f>
        <v>0</v>
      </c>
      <c r="H33" t="s">
        <v>1523</v>
      </c>
      <c r="I33" t="s">
        <v>1524</v>
      </c>
      <c r="J33" t="s">
        <v>166</v>
      </c>
      <c r="K33">
        <f>IF(I33="","",MAX(IFERROR(DATEVALUE(TRIM(MID(SUBSTITUTE(I33,";",REPT(" ",50)),1,50))),0),IFERROR(DATEVALUE(TRIM(MID(SUBSTITUTE(I33,";",REPT(" ",50)),51,50))),0),IFERROR(DATEVALUE(TRIM(MID(SUBSTITUTE(I33,";",REPT(" ",50)),101,50))),0),IFERROR(DATEVALUE(TRIM(MID(SUBSTITUTE(I33,";",REPT(" ",50)),151,50))),0),IFERROR(DATEVALUE(TRIM(MID(SUBSTITUTE(I33,";",REPT(" ",50)),201,50))),0),IFERROR(DATEVALUE(TRIM(MID(SUBSTITUTE(I33,";",REPT(" ",50)),251,50))),0),IFERROR(DATEVALUE(TRIM(MID(SUBSTITUTE(I33,";",REPT(" ",50)),301,50))),0),IFERROR(DATEVALUE(TRIM(MID(SUBSTITUTE(I33,";",REPT(" ",50)),351,50))),0),IFERROR(DATEVALUE(TRIM(MID(SUBSTITUTE(I33,";",REPT(" ",50)),401,50))),0),IFERROR(DATEVALUE(TRIM(MID(SUBSTITUTE(I33,";",REPT(" ",50)),451,50))),0)))</f>
        <v>46002</v>
      </c>
      <c r="M33" t="s">
        <v>184</v>
      </c>
      <c r="N33">
        <f>IF(M33="","",IF(L33="",INDEX($F$61:$F$64,MATCH(M33,$C$61:$C$64,0)),IF(L33&lt;=INDEX($D$61:$D$64,MATCH(M33,$C$61:$C$64,0)),0,IF(L33&lt;=INDEX($E$61:$E$64,MATCH(M33,$C$61:$C$64,0)),INDEX($F$61:$F$64,MATCH(M33,$C$61:$C$64,0)),INDEX($G$61:$G$64,MATCH(M33,$C$61:$C$64,0))))))</f>
        <v>3</v>
      </c>
      <c r="O33">
        <f>G33+N33</f>
        <v>3</v>
      </c>
      <c r="P33" t="s">
        <v>168</v>
      </c>
      <c r="R33" t="s">
        <v>1525</v>
      </c>
    </row>
    <row r="34" spans="1:18" x14ac:dyDescent="0.2">
      <c r="A34" t="s">
        <v>886</v>
      </c>
      <c r="B34" t="s">
        <v>1526</v>
      </c>
      <c r="C34" t="s">
        <v>1527</v>
      </c>
      <c r="D34" t="s">
        <v>163</v>
      </c>
      <c r="E34">
        <v>0</v>
      </c>
      <c r="F34">
        <f>IF(D34="High",0,IF(D34="Medium",0.05,IF(D34="Low",0.1,IF(D34="Unknown",0.15,""))))</f>
        <v>0</v>
      </c>
      <c r="G34">
        <f>E34*(1+F34)</f>
        <v>0</v>
      </c>
      <c r="H34" t="s">
        <v>1528</v>
      </c>
      <c r="I34" t="s">
        <v>1529</v>
      </c>
      <c r="J34" t="s">
        <v>176</v>
      </c>
      <c r="K34">
        <f>IF(I34="","",MAX(IFERROR(DATEVALUE(TRIM(MID(SUBSTITUTE(I34,";",REPT(" ",50)),1,50))),0),IFERROR(DATEVALUE(TRIM(MID(SUBSTITUTE(I34,";",REPT(" ",50)),51,50))),0),IFERROR(DATEVALUE(TRIM(MID(SUBSTITUTE(I34,";",REPT(" ",50)),101,50))),0),IFERROR(DATEVALUE(TRIM(MID(SUBSTITUTE(I34,";",REPT(" ",50)),151,50))),0),IFERROR(DATEVALUE(TRIM(MID(SUBSTITUTE(I34,";",REPT(" ",50)),201,50))),0),IFERROR(DATEVALUE(TRIM(MID(SUBSTITUTE(I34,";",REPT(" ",50)),251,50))),0),IFERROR(DATEVALUE(TRIM(MID(SUBSTITUTE(I34,";",REPT(" ",50)),301,50))),0),IFERROR(DATEVALUE(TRIM(MID(SUBSTITUTE(I34,";",REPT(" ",50)),351,50))),0),IFERROR(DATEVALUE(TRIM(MID(SUBSTITUTE(I34,";",REPT(" ",50)),401,50))),0),IFERROR(DATEVALUE(TRIM(MID(SUBSTITUTE(I34,";",REPT(" ",50)),451,50))),0)))</f>
        <v>46001</v>
      </c>
      <c r="M34" t="s">
        <v>303</v>
      </c>
      <c r="N34">
        <f>IF(M34="","",IF(L34="",INDEX($F$61:$F$64,MATCH(M34,$C$61:$C$64,0)),IF(L34&lt;=INDEX($D$61:$D$64,MATCH(M34,$C$61:$C$64,0)),0,IF(L34&lt;=INDEX($E$61:$E$64,MATCH(M34,$C$61:$C$64,0)),INDEX($F$61:$F$64,MATCH(M34,$C$61:$C$64,0)),INDEX($G$61:$G$64,MATCH(M34,$C$61:$C$64,0))))))</f>
        <v>2</v>
      </c>
      <c r="O34">
        <f>G34+N34</f>
        <v>2</v>
      </c>
      <c r="P34" t="s">
        <v>168</v>
      </c>
      <c r="Q34" t="s">
        <v>863</v>
      </c>
      <c r="R34" t="s">
        <v>1530</v>
      </c>
    </row>
    <row r="35" spans="1:18" x14ac:dyDescent="0.2">
      <c r="A35" s="4"/>
      <c r="B35" s="5" t="s">
        <v>1531</v>
      </c>
      <c r="C35" s="4"/>
      <c r="D35" s="4"/>
      <c r="E35" s="4"/>
      <c r="F35" s="4"/>
      <c r="G35" s="4"/>
      <c r="H35" s="4"/>
      <c r="I35" s="4"/>
      <c r="J35" s="4"/>
      <c r="K35" s="23" t="str">
        <f>IF(I35="","",MAX(IFERROR(DATEVALUE(TRIM(MID(SUBSTITUTE(I35,";",REPT(" ",50)),1,50))),0),IFERROR(DATEVALUE(TRIM(MID(SUBSTITUTE(I35,";",REPT(" ",50)),51,50))),0),IFERROR(DATEVALUE(TRIM(MID(SUBSTITUTE(I35,";",REPT(" ",50)),101,50))),0),IFERROR(DATEVALUE(TRIM(MID(SUBSTITUTE(I35,";",REPT(" ",50)),151,50))),0),IFERROR(DATEVALUE(TRIM(MID(SUBSTITUTE(I35,";",REPT(" ",50)),201,50))),0),IFERROR(DATEVALUE(TRIM(MID(SUBSTITUTE(I35,";",REPT(" ",50)),251,50))),0),IFERROR(DATEVALUE(TRIM(MID(SUBSTITUTE(I35,";",REPT(" ",50)),301,50))),0),IFERROR(DATEVALUE(TRIM(MID(SUBSTITUTE(I35,";",REPT(" ",50)),351,50))),0),IFERROR(DATEVALUE(TRIM(MID(SUBSTITUTE(I35,";",REPT(" ",50)),401,50))),0),IFERROR(DATEVALUE(TRIM(MID(SUBSTITUTE(I35,";",REPT(" ",50)),451,50))),0)))</f>
        <v/>
      </c>
      <c r="L35" s="4"/>
      <c r="M35" s="4"/>
      <c r="N35" s="4" t="str">
        <f>IF(M35="","",IF(L35="",INDEX($F$61:$F$64,MATCH(M35,$C$61:$C$64,0)),IF(L35&lt;=INDEX($D$61:$D$64,MATCH(M35,$C$61:$C$64,0)),0,IF(L35&lt;=INDEX($E$61:$E$64,MATCH(M35,$C$61:$C$64,0)),INDEX($F$61:$F$64,MATCH(M35,$C$61:$C$64,0)),INDEX($G$61:$G$64,MATCH(M35,$C$61:$C$64,0))))))</f>
        <v/>
      </c>
      <c r="O35" s="4"/>
      <c r="P35" s="4"/>
      <c r="Q35" s="4"/>
      <c r="R35" s="4"/>
    </row>
    <row r="36" spans="1:18" x14ac:dyDescent="0.2">
      <c r="A36" s="3"/>
      <c r="B36" s="44"/>
      <c r="C36" s="45"/>
      <c r="D36" s="45"/>
      <c r="E36" s="45"/>
      <c r="F36" s="45"/>
      <c r="G36" s="45"/>
      <c r="H36" s="45"/>
      <c r="I36" s="45"/>
      <c r="J36" s="45"/>
      <c r="K36" s="46"/>
      <c r="L36" s="45"/>
      <c r="M36" s="45"/>
      <c r="N36" s="45"/>
      <c r="O36" s="45"/>
      <c r="P36" s="45"/>
      <c r="Q36" s="45"/>
      <c r="R36" s="45"/>
    </row>
    <row r="37" spans="1:18" x14ac:dyDescent="0.2">
      <c r="A37" t="s">
        <v>893</v>
      </c>
      <c r="B37" t="s">
        <v>1532</v>
      </c>
      <c r="C37" t="s">
        <v>1533</v>
      </c>
      <c r="D37" t="s">
        <v>163</v>
      </c>
      <c r="E37">
        <f>IF(C37="Lower or similar to majors",0,IF(C37="Moderately higher",10,IF(C37="Significantly higher/very high volatility",20,IF(C37="Unknown",10,""))))</f>
        <v>20</v>
      </c>
      <c r="F37">
        <f>IF(D37="High",0,IF(D37="Medium",0.05,IF(D37="Low",0.1,IF(D37="Unknown",0.15,""))))</f>
        <v>0</v>
      </c>
      <c r="G37">
        <f>E37*(1+F37)</f>
        <v>20</v>
      </c>
      <c r="H37" t="s">
        <v>1534</v>
      </c>
      <c r="I37" t="s">
        <v>1535</v>
      </c>
      <c r="J37" t="s">
        <v>176</v>
      </c>
      <c r="K37">
        <f>IF(I37="","",MAX(IFERROR(DATEVALUE(TRIM(MID(SUBSTITUTE(I37,";",REPT(" ",50)),1,50))),0),IFERROR(DATEVALUE(TRIM(MID(SUBSTITUTE(I37,";",REPT(" ",50)),51,50))),0),IFERROR(DATEVALUE(TRIM(MID(SUBSTITUTE(I37,";",REPT(" ",50)),101,50))),0),IFERROR(DATEVALUE(TRIM(MID(SUBSTITUTE(I37,";",REPT(" ",50)),151,50))),0),IFERROR(DATEVALUE(TRIM(MID(SUBSTITUTE(I37,";",REPT(" ",50)),201,50))),0),IFERROR(DATEVALUE(TRIM(MID(SUBSTITUTE(I37,";",REPT(" ",50)),251,50))),0),IFERROR(DATEVALUE(TRIM(MID(SUBSTITUTE(I37,";",REPT(" ",50)),301,50))),0),IFERROR(DATEVALUE(TRIM(MID(SUBSTITUTE(I37,";",REPT(" ",50)),351,50))),0),IFERROR(DATEVALUE(TRIM(MID(SUBSTITUTE(I37,";",REPT(" ",50)),401,50))),0),IFERROR(DATEVALUE(TRIM(MID(SUBSTITUTE(I37,";",REPT(" ",50)),451,50))),0)))</f>
        <v>44211</v>
      </c>
      <c r="M37" t="s">
        <v>184</v>
      </c>
      <c r="N37">
        <f>IF(M37="","",IF(L37="",INDEX($F$61:$F$64,MATCH(M37,$C$61:$C$64,0)),IF(L37&lt;=INDEX($D$61:$D$64,MATCH(M37,$C$61:$C$64,0)),0,IF(L37&lt;=INDEX($E$61:$E$64,MATCH(M37,$C$61:$C$64,0)),INDEX($F$61:$F$64,MATCH(M37,$C$61:$C$64,0)),INDEX($G$61:$G$64,MATCH(M37,$C$61:$C$64,0))))))</f>
        <v>3</v>
      </c>
      <c r="O37">
        <f>G37+N37</f>
        <v>23</v>
      </c>
      <c r="P37" t="s">
        <v>168</v>
      </c>
      <c r="R37" t="s">
        <v>1536</v>
      </c>
    </row>
    <row r="38" spans="1:18" x14ac:dyDescent="0.2">
      <c r="A38" t="s">
        <v>900</v>
      </c>
      <c r="B38" t="s">
        <v>1537</v>
      </c>
      <c r="C38" t="s">
        <v>1538</v>
      </c>
      <c r="D38" t="s">
        <v>197</v>
      </c>
      <c r="E38">
        <f>IF(C38="No unusual instability",0,IF(C38="Some heightened instability",10,IF(C38="Highly unstable with frequent extreme moves",20,IF(C38="Unknown",10,""))))</f>
        <v>10</v>
      </c>
      <c r="F38">
        <f>IF(D38="High",0,IF(D38="Medium",0.05,IF(D38="Low",0.1,IF(D38="Unknown",0.15,""))))</f>
        <v>0.05</v>
      </c>
      <c r="G38">
        <f>E38*(1+F38)</f>
        <v>10.5</v>
      </c>
      <c r="H38" t="s">
        <v>1539</v>
      </c>
      <c r="I38" t="s">
        <v>1540</v>
      </c>
      <c r="J38" t="s">
        <v>166</v>
      </c>
      <c r="K38">
        <f>IF(I38="","",MAX(IFERROR(DATEVALUE(TRIM(MID(SUBSTITUTE(I38,";",REPT(" ",50)),1,50))),0),IFERROR(DATEVALUE(TRIM(MID(SUBSTITUTE(I38,";",REPT(" ",50)),51,50))),0),IFERROR(DATEVALUE(TRIM(MID(SUBSTITUTE(I38,";",REPT(" ",50)),101,50))),0),IFERROR(DATEVALUE(TRIM(MID(SUBSTITUTE(I38,";",REPT(" ",50)),151,50))),0),IFERROR(DATEVALUE(TRIM(MID(SUBSTITUTE(I38,";",REPT(" ",50)),201,50))),0),IFERROR(DATEVALUE(TRIM(MID(SUBSTITUTE(I38,";",REPT(" ",50)),251,50))),0),IFERROR(DATEVALUE(TRIM(MID(SUBSTITUTE(I38,";",REPT(" ",50)),301,50))),0),IFERROR(DATEVALUE(TRIM(MID(SUBSTITUTE(I38,";",REPT(" ",50)),351,50))),0),IFERROR(DATEVALUE(TRIM(MID(SUBSTITUTE(I38,";",REPT(" ",50)),401,50))),0),IFERROR(DATEVALUE(TRIM(MID(SUBSTITUTE(I38,";",REPT(" ",50)),451,50))),0)))</f>
        <v>45597</v>
      </c>
      <c r="M38" t="s">
        <v>184</v>
      </c>
      <c r="N38">
        <f>IF(M38="","",IF(L38="",INDEX($F$61:$F$64,MATCH(M38,$C$61:$C$64,0)),IF(L38&lt;=INDEX($D$61:$D$64,MATCH(M38,$C$61:$C$64,0)),0,IF(L38&lt;=INDEX($E$61:$E$64,MATCH(M38,$C$61:$C$64,0)),INDEX($F$61:$F$64,MATCH(M38,$C$61:$C$64,0)),INDEX($G$61:$G$64,MATCH(M38,$C$61:$C$64,0))))))</f>
        <v>3</v>
      </c>
      <c r="O38">
        <f>G38+N38</f>
        <v>13.5</v>
      </c>
      <c r="P38" t="s">
        <v>168</v>
      </c>
      <c r="R38" t="s">
        <v>1541</v>
      </c>
    </row>
    <row r="39" spans="1:18" x14ac:dyDescent="0.2">
      <c r="A39" t="s">
        <v>913</v>
      </c>
      <c r="B39" t="s">
        <v>1542</v>
      </c>
      <c r="C39" t="s">
        <v>1543</v>
      </c>
      <c r="D39" t="s">
        <v>163</v>
      </c>
      <c r="E39">
        <v>0</v>
      </c>
      <c r="F39">
        <f>IF(D39="High",0,IF(D39="Medium",0.05,IF(D39="Low",0.1,IF(D39="Unknown",0.15,""))))</f>
        <v>0</v>
      </c>
      <c r="G39">
        <f>E39*(1+F39)</f>
        <v>0</v>
      </c>
      <c r="H39" t="s">
        <v>1544</v>
      </c>
      <c r="I39" t="s">
        <v>1545</v>
      </c>
      <c r="J39" t="s">
        <v>166</v>
      </c>
      <c r="K39">
        <f>IF(I39="","",MAX(IFERROR(DATEVALUE(TRIM(MID(SUBSTITUTE(I39,";",REPT(" ",50)),1,50))),0),IFERROR(DATEVALUE(TRIM(MID(SUBSTITUTE(I39,";",REPT(" ",50)),51,50))),0),IFERROR(DATEVALUE(TRIM(MID(SUBSTITUTE(I39,";",REPT(" ",50)),101,50))),0),IFERROR(DATEVALUE(TRIM(MID(SUBSTITUTE(I39,";",REPT(" ",50)),151,50))),0),IFERROR(DATEVALUE(TRIM(MID(SUBSTITUTE(I39,";",REPT(" ",50)),201,50))),0),IFERROR(DATEVALUE(TRIM(MID(SUBSTITUTE(I39,";",REPT(" ",50)),251,50))),0),IFERROR(DATEVALUE(TRIM(MID(SUBSTITUTE(I39,";",REPT(" ",50)),301,50))),0),IFERROR(DATEVALUE(TRIM(MID(SUBSTITUTE(I39,";",REPT(" ",50)),351,50))),0),IFERROR(DATEVALUE(TRIM(MID(SUBSTITUTE(I39,";",REPT(" ",50)),401,50))),0),IFERROR(DATEVALUE(TRIM(MID(SUBSTITUTE(I39,";",REPT(" ",50)),451,50))),0)))</f>
        <v>45968</v>
      </c>
      <c r="M39" t="s">
        <v>303</v>
      </c>
      <c r="N39">
        <f>IF(M39="","",IF(L39="",INDEX($F$61:$F$64,MATCH(M39,$C$61:$C$64,0)),IF(L39&lt;=INDEX($D$61:$D$64,MATCH(M39,$C$61:$C$64,0)),0,IF(L39&lt;=INDEX($E$61:$E$64,MATCH(M39,$C$61:$C$64,0)),INDEX($F$61:$F$64,MATCH(M39,$C$61:$C$64,0)),INDEX($G$61:$G$64,MATCH(M39,$C$61:$C$64,0))))))</f>
        <v>2</v>
      </c>
      <c r="O39">
        <f>G39+N39</f>
        <v>2</v>
      </c>
      <c r="P39" t="s">
        <v>168</v>
      </c>
      <c r="Q39" t="s">
        <v>863</v>
      </c>
      <c r="R39" t="s">
        <v>1546</v>
      </c>
    </row>
    <row r="40" spans="1:18" x14ac:dyDescent="0.2">
      <c r="A40" s="3"/>
      <c r="B40" s="44"/>
      <c r="C40" s="45"/>
      <c r="D40" s="45"/>
      <c r="E40" s="45"/>
      <c r="F40" s="45"/>
      <c r="G40" s="45"/>
      <c r="H40" s="45"/>
      <c r="I40" s="45"/>
      <c r="J40" s="45"/>
      <c r="K40" s="46"/>
      <c r="L40" s="45"/>
      <c r="M40" s="45"/>
      <c r="N40" s="45"/>
      <c r="O40" s="45"/>
      <c r="P40" s="45"/>
      <c r="Q40" s="45"/>
      <c r="R40" s="45"/>
    </row>
    <row r="41" spans="1:18" x14ac:dyDescent="0.2">
      <c r="A41" t="s">
        <v>919</v>
      </c>
      <c r="B41" t="s">
        <v>1547</v>
      </c>
      <c r="C41" t="s">
        <v>1548</v>
      </c>
      <c r="D41" t="s">
        <v>163</v>
      </c>
      <c r="E41">
        <f>IF(C41="Modest/typical for crypto (&lt;70%)",0,IF(C41="Severe (70–90%)",10,IF(C41="Extreme (&gt;90%)",20,IF(C41="Unknown",10,""))))</f>
        <v>20</v>
      </c>
      <c r="F41">
        <f>IF(D41="High",0,IF(D41="Medium",0.05,IF(D41="Low",0.1,IF(D41="Unknown",0.15,""))))</f>
        <v>0</v>
      </c>
      <c r="G41">
        <f>E41*(1+F41)</f>
        <v>20</v>
      </c>
      <c r="H41" t="s">
        <v>1549</v>
      </c>
      <c r="I41" t="s">
        <v>1550</v>
      </c>
      <c r="J41" t="s">
        <v>176</v>
      </c>
      <c r="K41">
        <f>IF(I41="","",MAX(IFERROR(DATEVALUE(TRIM(MID(SUBSTITUTE(I41,";",REPT(" ",50)),1,50))),0),IFERROR(DATEVALUE(TRIM(MID(SUBSTITUTE(I41,";",REPT(" ",50)),51,50))),0),IFERROR(DATEVALUE(TRIM(MID(SUBSTITUTE(I41,";",REPT(" ",50)),101,50))),0),IFERROR(DATEVALUE(TRIM(MID(SUBSTITUTE(I41,";",REPT(" ",50)),151,50))),0),IFERROR(DATEVALUE(TRIM(MID(SUBSTITUTE(I41,";",REPT(" ",50)),201,50))),0),IFERROR(DATEVALUE(TRIM(MID(SUBSTITUTE(I41,";",REPT(" ",50)),251,50))),0),IFERROR(DATEVALUE(TRIM(MID(SUBSTITUTE(I41,";",REPT(" ",50)),301,50))),0),IFERROR(DATEVALUE(TRIM(MID(SUBSTITUTE(I41,";",REPT(" ",50)),351,50))),0),IFERROR(DATEVALUE(TRIM(MID(SUBSTITUTE(I41,";",REPT(" ",50)),401,50))),0),IFERROR(DATEVALUE(TRIM(MID(SUBSTITUTE(I41,";",REPT(" ",50)),451,50))),0)))</f>
        <v>46003</v>
      </c>
      <c r="M41" t="s">
        <v>303</v>
      </c>
      <c r="N41">
        <f>IF(M41="","",IF(L41="",INDEX($F$61:$F$64,MATCH(M41,$C$61:$C$64,0)),IF(L41&lt;=INDEX($D$61:$D$64,MATCH(M41,$C$61:$C$64,0)),0,IF(L41&lt;=INDEX($E$61:$E$64,MATCH(M41,$C$61:$C$64,0)),INDEX($F$61:$F$64,MATCH(M41,$C$61:$C$64,0)),INDEX($G$61:$G$64,MATCH(M41,$C$61:$C$64,0))))))</f>
        <v>2</v>
      </c>
      <c r="O41">
        <f>G41+N41</f>
        <v>22</v>
      </c>
      <c r="P41" t="s">
        <v>168</v>
      </c>
      <c r="R41" t="s">
        <v>1551</v>
      </c>
    </row>
    <row r="42" spans="1:18" x14ac:dyDescent="0.2">
      <c r="A42" t="s">
        <v>925</v>
      </c>
      <c r="B42" t="s">
        <v>1552</v>
      </c>
      <c r="C42" t="s">
        <v>1553</v>
      </c>
      <c r="D42" t="s">
        <v>197</v>
      </c>
      <c r="E42">
        <f>IF(C42="No such incidents",0,IF(C42="Minor/isolated technical event fully resolved",10,IF(C42="Significant or repeated flash-crash/depeg events",20,IF(C42="Unknown",10,""))))</f>
        <v>0</v>
      </c>
      <c r="F42">
        <f>IF(D42="High",0,IF(D42="Medium",0.05,IF(D42="Low",0.1,IF(D42="Unknown",0.15,""))))</f>
        <v>0.05</v>
      </c>
      <c r="G42">
        <f>E42*(1+F42)</f>
        <v>0</v>
      </c>
      <c r="H42" t="s">
        <v>1554</v>
      </c>
      <c r="J42" t="s">
        <v>166</v>
      </c>
      <c r="K42" t="str">
        <f>IF(I42="","",MAX(IFERROR(DATEVALUE(TRIM(MID(SUBSTITUTE(I42,";",REPT(" ",50)),1,50))),0),IFERROR(DATEVALUE(TRIM(MID(SUBSTITUTE(I42,";",REPT(" ",50)),51,50))),0),IFERROR(DATEVALUE(TRIM(MID(SUBSTITUTE(I42,";",REPT(" ",50)),101,50))),0),IFERROR(DATEVALUE(TRIM(MID(SUBSTITUTE(I42,";",REPT(" ",50)),151,50))),0),IFERROR(DATEVALUE(TRIM(MID(SUBSTITUTE(I42,";",REPT(" ",50)),201,50))),0),IFERROR(DATEVALUE(TRIM(MID(SUBSTITUTE(I42,";",REPT(" ",50)),251,50))),0),IFERROR(DATEVALUE(TRIM(MID(SUBSTITUTE(I42,";",REPT(" ",50)),301,50))),0),IFERROR(DATEVALUE(TRIM(MID(SUBSTITUTE(I42,";",REPT(" ",50)),351,50))),0),IFERROR(DATEVALUE(TRIM(MID(SUBSTITUTE(I42,";",REPT(" ",50)),401,50))),0),IFERROR(DATEVALUE(TRIM(MID(SUBSTITUTE(I42,";",REPT(" ",50)),451,50))),0)))</f>
        <v/>
      </c>
      <c r="M42" t="s">
        <v>273</v>
      </c>
      <c r="N42">
        <f>IF(M42="","",IF(L42="",INDEX($F$61:$F$64,MATCH(M42,$C$61:$C$64,0)),IF(L42&lt;=INDEX($D$61:$D$64,MATCH(M42,$C$61:$C$64,0)),0,IF(L42&lt;=INDEX($E$61:$E$64,MATCH(M42,$C$61:$C$64,0)),INDEX($F$61:$F$64,MATCH(M42,$C$61:$C$64,0)),INDEX($G$61:$G$64,MATCH(M42,$C$61:$C$64,0))))))</f>
        <v>5</v>
      </c>
      <c r="O42">
        <f>G42+N42</f>
        <v>5</v>
      </c>
      <c r="P42" t="str">
        <f>IF(AND(C42="Significant or repeated flash-crash/depeg events",OR(D42="High",D42="Medium")),"Review Required","No Review")</f>
        <v>No Review</v>
      </c>
      <c r="Q42" t="s">
        <v>1555</v>
      </c>
      <c r="R42" t="s">
        <v>1556</v>
      </c>
    </row>
    <row r="43" spans="1:18" x14ac:dyDescent="0.2">
      <c r="A43" t="s">
        <v>932</v>
      </c>
      <c r="B43" t="s">
        <v>1557</v>
      </c>
      <c r="C43" t="s">
        <v>1558</v>
      </c>
      <c r="D43" t="s">
        <v>163</v>
      </c>
      <c r="E43">
        <f>IF(C43="Recovers to prior ranges",0,IF(C43="Partial recovery but remains impaired",10,IF(C43="Fails to recover (persistent impairment)",20,IF(C43="Unknown",10,""))))</f>
        <v>10</v>
      </c>
      <c r="F43">
        <f>IF(D43="High",0,IF(D43="Medium",0.05,IF(D43="Low",0.1,IF(D43="Unknown",0.15,""))))</f>
        <v>0</v>
      </c>
      <c r="G43">
        <f>E43*(1+F43)</f>
        <v>10</v>
      </c>
      <c r="H43" t="s">
        <v>1554</v>
      </c>
      <c r="I43" t="s">
        <v>954</v>
      </c>
      <c r="J43" t="s">
        <v>166</v>
      </c>
      <c r="K43">
        <f>IF(I43="","",MAX(IFERROR(DATEVALUE(TRIM(MID(SUBSTITUTE(I43,";",REPT(" ",50)),1,50))),0),IFERROR(DATEVALUE(TRIM(MID(SUBSTITUTE(I43,";",REPT(" ",50)),51,50))),0),IFERROR(DATEVALUE(TRIM(MID(SUBSTITUTE(I43,";",REPT(" ",50)),101,50))),0),IFERROR(DATEVALUE(TRIM(MID(SUBSTITUTE(I43,";",REPT(" ",50)),151,50))),0),IFERROR(DATEVALUE(TRIM(MID(SUBSTITUTE(I43,";",REPT(" ",50)),201,50))),0),IFERROR(DATEVALUE(TRIM(MID(SUBSTITUTE(I43,";",REPT(" ",50)),251,50))),0),IFERROR(DATEVALUE(TRIM(MID(SUBSTITUTE(I43,";",REPT(" ",50)),301,50))),0),IFERROR(DATEVALUE(TRIM(MID(SUBSTITUTE(I43,";",REPT(" ",50)),351,50))),0),IFERROR(DATEVALUE(TRIM(MID(SUBSTITUTE(I43,";",REPT(" ",50)),401,50))),0),IFERROR(DATEVALUE(TRIM(MID(SUBSTITUTE(I43,";",REPT(" ",50)),451,50))),0)))</f>
        <v>45992</v>
      </c>
      <c r="M43" t="s">
        <v>184</v>
      </c>
      <c r="N43">
        <f>IF(M43="","",IF(L43="",INDEX($F$61:$F$64,MATCH(M43,$C$61:$C$64,0)),IF(L43&lt;=INDEX($D$61:$D$64,MATCH(M43,$C$61:$C$64,0)),0,IF(L43&lt;=INDEX($E$61:$E$64,MATCH(M43,$C$61:$C$64,0)),INDEX($F$61:$F$64,MATCH(M43,$C$61:$C$64,0)),INDEX($G$61:$G$64,MATCH(M43,$C$61:$C$64,0))))))</f>
        <v>3</v>
      </c>
      <c r="O43">
        <f>G43+N43</f>
        <v>13</v>
      </c>
      <c r="P43" t="s">
        <v>168</v>
      </c>
      <c r="R43" t="s">
        <v>1559</v>
      </c>
    </row>
    <row r="44" spans="1:18" x14ac:dyDescent="0.2">
      <c r="A44" t="s">
        <v>939</v>
      </c>
      <c r="B44" t="s">
        <v>1560</v>
      </c>
      <c r="C44" t="s">
        <v>1561</v>
      </c>
      <c r="D44" t="s">
        <v>197</v>
      </c>
      <c r="E44">
        <v>0</v>
      </c>
      <c r="F44">
        <f>IF(D44="High",0,IF(D44="Medium",0.05,IF(D44="Low",0.1,IF(D44="Unknown",0.15,""))))</f>
        <v>0.05</v>
      </c>
      <c r="G44">
        <f>E44*(1+F44)</f>
        <v>0</v>
      </c>
      <c r="K44" t="str">
        <f>IF(I44="","",MAX(IFERROR(DATEVALUE(TRIM(MID(SUBSTITUTE(I44,";",REPT(" ",50)),1,50))),0),IFERROR(DATEVALUE(TRIM(MID(SUBSTITUTE(I44,";",REPT(" ",50)),51,50))),0),IFERROR(DATEVALUE(TRIM(MID(SUBSTITUTE(I44,";",REPT(" ",50)),101,50))),0),IFERROR(DATEVALUE(TRIM(MID(SUBSTITUTE(I44,";",REPT(" ",50)),151,50))),0),IFERROR(DATEVALUE(TRIM(MID(SUBSTITUTE(I44,";",REPT(" ",50)),201,50))),0),IFERROR(DATEVALUE(TRIM(MID(SUBSTITUTE(I44,";",REPT(" ",50)),251,50))),0),IFERROR(DATEVALUE(TRIM(MID(SUBSTITUTE(I44,";",REPT(" ",50)),301,50))),0),IFERROR(DATEVALUE(TRIM(MID(SUBSTITUTE(I44,";",REPT(" ",50)),351,50))),0),IFERROR(DATEVALUE(TRIM(MID(SUBSTITUTE(I44,";",REPT(" ",50)),401,50))),0),IFERROR(DATEVALUE(TRIM(MID(SUBSTITUTE(I44,";",REPT(" ",50)),451,50))),0)))</f>
        <v/>
      </c>
      <c r="M44" t="s">
        <v>303</v>
      </c>
      <c r="N44">
        <f>IF(M44="","",IF(L44="",INDEX($F$61:$F$64,MATCH(M44,$C$61:$C$64,0)),IF(L44&lt;=INDEX($D$61:$D$64,MATCH(M44,$C$61:$C$64,0)),0,IF(L44&lt;=INDEX($E$61:$E$64,MATCH(M44,$C$61:$C$64,0)),INDEX($F$61:$F$64,MATCH(M44,$C$61:$C$64,0)),INDEX($G$61:$G$64,MATCH(M44,$C$61:$C$64,0))))))</f>
        <v>2</v>
      </c>
      <c r="O44">
        <f>G44+N44</f>
        <v>2</v>
      </c>
      <c r="P44" t="s">
        <v>168</v>
      </c>
      <c r="Q44" t="s">
        <v>863</v>
      </c>
      <c r="R44" t="s">
        <v>1562</v>
      </c>
    </row>
    <row r="45" spans="1:18" x14ac:dyDescent="0.2">
      <c r="A45" s="4"/>
      <c r="B45" s="5" t="s">
        <v>1563</v>
      </c>
      <c r="C45" s="4"/>
      <c r="D45" s="4"/>
      <c r="E45" s="4"/>
      <c r="F45" s="4"/>
      <c r="G45" s="4"/>
      <c r="H45" s="4"/>
      <c r="I45" s="4"/>
      <c r="J45" s="4"/>
      <c r="K45" s="23" t="str">
        <f>IF(I45="","",MAX(IFERROR(DATEVALUE(TRIM(MID(SUBSTITUTE(I45,";",REPT(" ",50)),1,50))),0),IFERROR(DATEVALUE(TRIM(MID(SUBSTITUTE(I45,";",REPT(" ",50)),51,50))),0),IFERROR(DATEVALUE(TRIM(MID(SUBSTITUTE(I45,";",REPT(" ",50)),101,50))),0),IFERROR(DATEVALUE(TRIM(MID(SUBSTITUTE(I45,";",REPT(" ",50)),151,50))),0),IFERROR(DATEVALUE(TRIM(MID(SUBSTITUTE(I45,";",REPT(" ",50)),201,50))),0),IFERROR(DATEVALUE(TRIM(MID(SUBSTITUTE(I45,";",REPT(" ",50)),251,50))),0),IFERROR(DATEVALUE(TRIM(MID(SUBSTITUTE(I45,";",REPT(" ",50)),301,50))),0),IFERROR(DATEVALUE(TRIM(MID(SUBSTITUTE(I45,";",REPT(" ",50)),351,50))),0),IFERROR(DATEVALUE(TRIM(MID(SUBSTITUTE(I45,";",REPT(" ",50)),401,50))),0),IFERROR(DATEVALUE(TRIM(MID(SUBSTITUTE(I45,";",REPT(" ",50)),451,50))),0)))</f>
        <v/>
      </c>
      <c r="L45" s="4"/>
      <c r="M45" s="4"/>
      <c r="N45" s="4" t="str">
        <f>IF(M45="","",IF(L45="",INDEX($F$61:$F$64,MATCH(M45,$C$61:$C$64,0)),IF(L45&lt;=INDEX($D$61:$D$64,MATCH(M45,$C$61:$C$64,0)),0,IF(L45&lt;=INDEX($E$61:$E$64,MATCH(M45,$C$61:$C$64,0)),INDEX($F$61:$F$64,MATCH(M45,$C$61:$C$64,0)),INDEX($G$61:$G$64,MATCH(M45,$C$61:$C$64,0))))))</f>
        <v/>
      </c>
      <c r="O45" s="4"/>
      <c r="P45" s="4"/>
      <c r="Q45" s="4"/>
      <c r="R45" s="4"/>
    </row>
    <row r="46" spans="1:18" x14ac:dyDescent="0.2">
      <c r="A46" s="3"/>
      <c r="B46" s="44"/>
      <c r="C46" s="45"/>
      <c r="D46" s="45"/>
      <c r="E46" s="45"/>
      <c r="F46" s="45"/>
      <c r="G46" s="45"/>
      <c r="H46" s="45"/>
      <c r="I46" s="45"/>
      <c r="J46" s="45"/>
      <c r="K46" s="46"/>
      <c r="L46" s="45"/>
      <c r="M46" s="45"/>
      <c r="N46" s="45"/>
      <c r="O46" s="45"/>
      <c r="P46" s="45"/>
      <c r="Q46" s="45"/>
      <c r="R46" s="45"/>
    </row>
    <row r="47" spans="1:18" x14ac:dyDescent="0.2">
      <c r="A47" t="s">
        <v>438</v>
      </c>
      <c r="B47" t="s">
        <v>1564</v>
      </c>
      <c r="C47" t="s">
        <v>1565</v>
      </c>
      <c r="D47" t="s">
        <v>163</v>
      </c>
      <c r="E47">
        <f>IF(C47="Listed on multiple top-tier exchanges",0,IF(C47="Listed on a mix of mid-tier and some major exchanges",10,IF(C47="Listed only on small or lower-quality exchanges",20,IF(C47="Unknown",10,""))))</f>
        <v>0</v>
      </c>
      <c r="F47">
        <f>IF(D47="High",0,IF(D47="Medium",0.05,IF(D47="Low",0.1,IF(D47="Unknown",0.15,""))))</f>
        <v>0</v>
      </c>
      <c r="G47">
        <f>E47*(1+F47)</f>
        <v>0</v>
      </c>
      <c r="H47" t="s">
        <v>1566</v>
      </c>
      <c r="I47" t="s">
        <v>1567</v>
      </c>
      <c r="J47" t="s">
        <v>166</v>
      </c>
      <c r="K47">
        <f>IF(I47="","",MAX(IFERROR(DATEVALUE(TRIM(MID(SUBSTITUTE(I47,";",REPT(" ",50)),1,50))),0),IFERROR(DATEVALUE(TRIM(MID(SUBSTITUTE(I47,";",REPT(" ",50)),51,50))),0),IFERROR(DATEVALUE(TRIM(MID(SUBSTITUTE(I47,";",REPT(" ",50)),101,50))),0),IFERROR(DATEVALUE(TRIM(MID(SUBSTITUTE(I47,";",REPT(" ",50)),151,50))),0),IFERROR(DATEVALUE(TRIM(MID(SUBSTITUTE(I47,";",REPT(" ",50)),201,50))),0),IFERROR(DATEVALUE(TRIM(MID(SUBSTITUTE(I47,";",REPT(" ",50)),251,50))),0),IFERROR(DATEVALUE(TRIM(MID(SUBSTITUTE(I47,";",REPT(" ",50)),301,50))),0),IFERROR(DATEVALUE(TRIM(MID(SUBSTITUTE(I47,";",REPT(" ",50)),351,50))),0),IFERROR(DATEVALUE(TRIM(MID(SUBSTITUTE(I47,";",REPT(" ",50)),401,50))),0),IFERROR(DATEVALUE(TRIM(MID(SUBSTITUTE(I47,";",REPT(" ",50)),451,50))),0)))</f>
        <v>46001</v>
      </c>
      <c r="M47" t="s">
        <v>167</v>
      </c>
      <c r="N47">
        <f>IF(M47="","",IF(L47="",INDEX($F$61:$F$64,MATCH(M47,$C$61:$C$64,0)),IF(L47&lt;=INDEX($D$61:$D$64,MATCH(M47,$C$61:$C$64,0)),0,IF(L47&lt;=INDEX($E$61:$E$64,MATCH(M47,$C$61:$C$64,0)),INDEX($F$61:$F$64,MATCH(M47,$C$61:$C$64,0)),INDEX($G$61:$G$64,MATCH(M47,$C$61:$C$64,0))))))</f>
        <v>0</v>
      </c>
      <c r="O47">
        <f>G47+N47</f>
        <v>0</v>
      </c>
      <c r="P47" t="s">
        <v>168</v>
      </c>
      <c r="R47" t="s">
        <v>1568</v>
      </c>
    </row>
    <row r="48" spans="1:18" x14ac:dyDescent="0.2">
      <c r="A48" t="s">
        <v>445</v>
      </c>
      <c r="B48" t="s">
        <v>1569</v>
      </c>
      <c r="C48" t="s">
        <v>1570</v>
      </c>
      <c r="D48" t="s">
        <v>163</v>
      </c>
      <c r="E48">
        <f>IF(C48="Included in major indices/ETPs",0,IF(C48="Included only in niche indices",10,IF(C48="Not included in any indices/ETPs",20,IF(C48="Unknown",10,""))))</f>
        <v>0</v>
      </c>
      <c r="F48">
        <f>IF(D48="High",0,IF(D48="Medium",0.05,IF(D48="Low",0.1,IF(D48="Unknown",0.15,""))))</f>
        <v>0</v>
      </c>
      <c r="G48">
        <f>E48*(1+F48)</f>
        <v>0</v>
      </c>
      <c r="H48" t="s">
        <v>1571</v>
      </c>
      <c r="I48" t="s">
        <v>1572</v>
      </c>
      <c r="J48" t="s">
        <v>176</v>
      </c>
      <c r="K48">
        <f>IF(I48="","",MAX(IFERROR(DATEVALUE(TRIM(MID(SUBSTITUTE(I48,";",REPT(" ",50)),1,50))),0),IFERROR(DATEVALUE(TRIM(MID(SUBSTITUTE(I48,";",REPT(" ",50)),51,50))),0),IFERROR(DATEVALUE(TRIM(MID(SUBSTITUTE(I48,";",REPT(" ",50)),101,50))),0),IFERROR(DATEVALUE(TRIM(MID(SUBSTITUTE(I48,";",REPT(" ",50)),151,50))),0),IFERROR(DATEVALUE(TRIM(MID(SUBSTITUTE(I48,";",REPT(" ",50)),201,50))),0),IFERROR(DATEVALUE(TRIM(MID(SUBSTITUTE(I48,";",REPT(" ",50)),251,50))),0),IFERROR(DATEVALUE(TRIM(MID(SUBSTITUTE(I48,";",REPT(" ",50)),301,50))),0),IFERROR(DATEVALUE(TRIM(MID(SUBSTITUTE(I48,";",REPT(" ",50)),351,50))),0),IFERROR(DATEVALUE(TRIM(MID(SUBSTITUTE(I48,";",REPT(" ",50)),401,50))),0),IFERROR(DATEVALUE(TRIM(MID(SUBSTITUTE(I48,";",REPT(" ",50)),451,50))),0)))</f>
        <v>45975</v>
      </c>
      <c r="M48" t="s">
        <v>167</v>
      </c>
      <c r="N48">
        <f>IF(M48="","",IF(L48="",INDEX($F$61:$F$64,MATCH(M48,$C$61:$C$64,0)),IF(L48&lt;=INDEX($D$61:$D$64,MATCH(M48,$C$61:$C$64,0)),0,IF(L48&lt;=INDEX($E$61:$E$64,MATCH(M48,$C$61:$C$64,0)),INDEX($F$61:$F$64,MATCH(M48,$C$61:$C$64,0)),INDEX($G$61:$G$64,MATCH(M48,$C$61:$C$64,0))))))</f>
        <v>0</v>
      </c>
      <c r="O48">
        <f>G48+N48</f>
        <v>0</v>
      </c>
      <c r="P48" t="s">
        <v>168</v>
      </c>
      <c r="R48" t="s">
        <v>1573</v>
      </c>
    </row>
    <row r="49" spans="1:18" x14ac:dyDescent="0.2">
      <c r="A49" t="s">
        <v>461</v>
      </c>
      <c r="B49" t="s">
        <v>1574</v>
      </c>
      <c r="C49" t="s">
        <v>1575</v>
      </c>
      <c r="D49" t="s">
        <v>163</v>
      </c>
      <c r="E49">
        <v>0</v>
      </c>
      <c r="F49">
        <f>IF(D49="High",0,IF(D49="Medium",0.05,IF(D49="Low",0.1,IF(D49="Unknown",0.15,""))))</f>
        <v>0</v>
      </c>
      <c r="G49">
        <f>E49*(1+F49)</f>
        <v>0</v>
      </c>
      <c r="H49" t="s">
        <v>1576</v>
      </c>
      <c r="I49" t="s">
        <v>1577</v>
      </c>
      <c r="J49" t="s">
        <v>176</v>
      </c>
      <c r="K49">
        <f>IF(I49="","",MAX(IFERROR(DATEVALUE(TRIM(MID(SUBSTITUTE(I49,";",REPT(" ",50)),1,50))),0),IFERROR(DATEVALUE(TRIM(MID(SUBSTITUTE(I49,";",REPT(" ",50)),51,50))),0),IFERROR(DATEVALUE(TRIM(MID(SUBSTITUTE(I49,";",REPT(" ",50)),101,50))),0),IFERROR(DATEVALUE(TRIM(MID(SUBSTITUTE(I49,";",REPT(" ",50)),151,50))),0),IFERROR(DATEVALUE(TRIM(MID(SUBSTITUTE(I49,";",REPT(" ",50)),201,50))),0),IFERROR(DATEVALUE(TRIM(MID(SUBSTITUTE(I49,";",REPT(" ",50)),251,50))),0),IFERROR(DATEVALUE(TRIM(MID(SUBSTITUTE(I49,";",REPT(" ",50)),301,50))),0),IFERROR(DATEVALUE(TRIM(MID(SUBSTITUTE(I49,";",REPT(" ",50)),351,50))),0),IFERROR(DATEVALUE(TRIM(MID(SUBSTITUTE(I49,";",REPT(" ",50)),401,50))),0),IFERROR(DATEVALUE(TRIM(MID(SUBSTITUTE(I49,";",REPT(" ",50)),451,50))),0)))</f>
        <v>46003</v>
      </c>
      <c r="M49" t="s">
        <v>167</v>
      </c>
      <c r="N49">
        <f>IF(M49="","",IF(L49="",INDEX($F$61:$F$64,MATCH(M49,$C$61:$C$64,0)),IF(L49&lt;=INDEX($D$61:$D$64,MATCH(M49,$C$61:$C$64,0)),0,IF(L49&lt;=INDEX($E$61:$E$64,MATCH(M49,$C$61:$C$64,0)),INDEX($F$61:$F$64,MATCH(M49,$C$61:$C$64,0)),INDEX($G$61:$G$64,MATCH(M49,$C$61:$C$64,0))))))</f>
        <v>0</v>
      </c>
      <c r="O49">
        <f>G49+N49</f>
        <v>0</v>
      </c>
      <c r="P49" t="s">
        <v>168</v>
      </c>
      <c r="Q49" t="s">
        <v>863</v>
      </c>
      <c r="R49" t="s">
        <v>1578</v>
      </c>
    </row>
    <row r="50" spans="1:18" x14ac:dyDescent="0.2">
      <c r="A50" s="3"/>
      <c r="B50" s="44"/>
      <c r="C50" s="45"/>
      <c r="D50" s="45"/>
      <c r="E50" s="45"/>
      <c r="F50" s="45"/>
      <c r="G50" s="45"/>
      <c r="H50" s="45"/>
      <c r="I50" s="45"/>
      <c r="J50" s="45"/>
      <c r="K50" s="46"/>
      <c r="L50" s="45"/>
      <c r="M50" s="45"/>
      <c r="N50" s="45"/>
      <c r="O50" s="45"/>
      <c r="P50" s="45"/>
      <c r="Q50" s="45"/>
      <c r="R50" s="45"/>
    </row>
    <row r="51" spans="1:18" x14ac:dyDescent="0.2">
      <c r="A51" t="s">
        <v>467</v>
      </c>
      <c r="B51" t="s">
        <v>1579</v>
      </c>
      <c r="C51" t="s">
        <v>1580</v>
      </c>
      <c r="D51" t="s">
        <v>197</v>
      </c>
      <c r="E51">
        <f>IF(C51="No market-integrity halts reported",0,IF(C51="Single/isolated halt resolved",10,IF(C51="Multiple or sustained market-integrity halts",20,IF(C51="Unknown",10,""))))</f>
        <v>0</v>
      </c>
      <c r="F51">
        <f>IF(D51="High",0,IF(D51="Medium",0.05,IF(D51="Low",0.1,IF(D51="Unknown",0.15,""))))</f>
        <v>0.05</v>
      </c>
      <c r="G51">
        <f>E51*(1+F51)</f>
        <v>0</v>
      </c>
      <c r="H51" t="s">
        <v>1581</v>
      </c>
      <c r="I51" t="s">
        <v>1582</v>
      </c>
      <c r="J51" t="s">
        <v>166</v>
      </c>
      <c r="K51">
        <f>IF(I51="","",MAX(IFERROR(DATEVALUE(TRIM(MID(SUBSTITUTE(I51,";",REPT(" ",50)),1,50))),0),IFERROR(DATEVALUE(TRIM(MID(SUBSTITUTE(I51,";",REPT(" ",50)),51,50))),0),IFERROR(DATEVALUE(TRIM(MID(SUBSTITUTE(I51,";",REPT(" ",50)),101,50))),0),IFERROR(DATEVALUE(TRIM(MID(SUBSTITUTE(I51,";",REPT(" ",50)),151,50))),0),IFERROR(DATEVALUE(TRIM(MID(SUBSTITUTE(I51,";",REPT(" ",50)),201,50))),0),IFERROR(DATEVALUE(TRIM(MID(SUBSTITUTE(I51,";",REPT(" ",50)),251,50))),0),IFERROR(DATEVALUE(TRIM(MID(SUBSTITUTE(I51,";",REPT(" ",50)),301,50))),0),IFERROR(DATEVALUE(TRIM(MID(SUBSTITUTE(I51,";",REPT(" ",50)),351,50))),0),IFERROR(DATEVALUE(TRIM(MID(SUBSTITUTE(I51,";",REPT(" ",50)),401,50))),0),IFERROR(DATEVALUE(TRIM(MID(SUBSTITUTE(I51,";",REPT(" ",50)),451,50))),0)))</f>
        <v>45850</v>
      </c>
      <c r="M51" t="s">
        <v>273</v>
      </c>
      <c r="N51">
        <f>IF(M51="","",IF(L51="",INDEX($F$61:$F$64,MATCH(M51,$C$61:$C$64,0)),IF(L51&lt;=INDEX($D$61:$D$64,MATCH(M51,$C$61:$C$64,0)),0,IF(L51&lt;=INDEX($E$61:$E$64,MATCH(M51,$C$61:$C$64,0)),INDEX($F$61:$F$64,MATCH(M51,$C$61:$C$64,0)),INDEX($G$61:$G$64,MATCH(M51,$C$61:$C$64,0))))))</f>
        <v>5</v>
      </c>
      <c r="O51">
        <f>G51+N51</f>
        <v>5</v>
      </c>
      <c r="P51" t="str">
        <f>IF(AND(C51="Multiple or sustained market-integrity halts",OR(D51="High",D51="Medium")),"Review Required","No Review")</f>
        <v>No Review</v>
      </c>
      <c r="Q51" t="s">
        <v>1583</v>
      </c>
      <c r="R51" t="s">
        <v>1584</v>
      </c>
    </row>
    <row r="52" spans="1:18" x14ac:dyDescent="0.2">
      <c r="A52" t="s">
        <v>473</v>
      </c>
      <c r="B52" t="s">
        <v>1585</v>
      </c>
      <c r="C52" t="s">
        <v>1586</v>
      </c>
      <c r="D52" t="s">
        <v>197</v>
      </c>
      <c r="E52">
        <f>IF(C52="No such delistings reported",0,IF(C52="Single delisting with clear resolution",10,IF(C52="One or more delistings for integrity/protection reasons",20,IF(C52="Unknown",10,""))))</f>
        <v>0</v>
      </c>
      <c r="F52">
        <f>IF(D52="High",0,IF(D52="Medium",0.05,IF(D52="Low",0.1,IF(D52="Unknown",0.15,""))))</f>
        <v>0.05</v>
      </c>
      <c r="G52">
        <f>E52*(1+F52)</f>
        <v>0</v>
      </c>
      <c r="H52" t="s">
        <v>1587</v>
      </c>
      <c r="I52" t="s">
        <v>1588</v>
      </c>
      <c r="J52" t="s">
        <v>176</v>
      </c>
      <c r="K52">
        <f>IF(I52="","",MAX(IFERROR(DATEVALUE(TRIM(MID(SUBSTITUTE(I52,";",REPT(" ",50)),1,50))),0),IFERROR(DATEVALUE(TRIM(MID(SUBSTITUTE(I52,";",REPT(" ",50)),51,50))),0),IFERROR(DATEVALUE(TRIM(MID(SUBSTITUTE(I52,";",REPT(" ",50)),101,50))),0),IFERROR(DATEVALUE(TRIM(MID(SUBSTITUTE(I52,";",REPT(" ",50)),151,50))),0),IFERROR(DATEVALUE(TRIM(MID(SUBSTITUTE(I52,";",REPT(" ",50)),201,50))),0),IFERROR(DATEVALUE(TRIM(MID(SUBSTITUTE(I52,";",REPT(" ",50)),251,50))),0),IFERROR(DATEVALUE(TRIM(MID(SUBSTITUTE(I52,";",REPT(" ",50)),301,50))),0),IFERROR(DATEVALUE(TRIM(MID(SUBSTITUTE(I52,";",REPT(" ",50)),351,50))),0),IFERROR(DATEVALUE(TRIM(MID(SUBSTITUTE(I52,";",REPT(" ",50)),401,50))),0),IFERROR(DATEVALUE(TRIM(MID(SUBSTITUTE(I52,";",REPT(" ",50)),451,50))),0)))</f>
        <v>45800</v>
      </c>
      <c r="M52" t="s">
        <v>273</v>
      </c>
      <c r="N52">
        <f>IF(M52="","",IF(L52="",INDEX($F$61:$F$64,MATCH(M52,$C$61:$C$64,0)),IF(L52&lt;=INDEX($D$61:$D$64,MATCH(M52,$C$61:$C$64,0)),0,IF(L52&lt;=INDEX($E$61:$E$64,MATCH(M52,$C$61:$C$64,0)),INDEX($F$61:$F$64,MATCH(M52,$C$61:$C$64,0)),INDEX($G$61:$G$64,MATCH(M52,$C$61:$C$64,0))))))</f>
        <v>5</v>
      </c>
      <c r="O52">
        <f>G52+N52</f>
        <v>5</v>
      </c>
      <c r="P52" t="str">
        <f>IF(AND(C52="One or more delistings for integrity/protection reasons",OR(D52="High",D52="Medium")),"Review Required","No Review")</f>
        <v>No Review</v>
      </c>
      <c r="Q52" t="s">
        <v>1589</v>
      </c>
      <c r="R52" t="s">
        <v>1590</v>
      </c>
    </row>
    <row r="53" spans="1:18" x14ac:dyDescent="0.2">
      <c r="A53" t="s">
        <v>479</v>
      </c>
      <c r="B53" t="s">
        <v>1591</v>
      </c>
      <c r="C53" t="s">
        <v>1592</v>
      </c>
      <c r="D53" t="s">
        <v>197</v>
      </c>
      <c r="E53">
        <f>IF(C53="No specific warnings found",0,IF(C53="Generic/high-level risk warnings only",10,IF(C53="Specific warnings about this token",20,IF(C53="Unknown",10,""))))</f>
        <v>0</v>
      </c>
      <c r="F53">
        <f>IF(D53="High",0,IF(D53="Medium",0.05,IF(D53="Low",0.1,IF(D53="Unknown",0.15,""))))</f>
        <v>0.05</v>
      </c>
      <c r="G53">
        <f>E53*(1+F53)</f>
        <v>0</v>
      </c>
      <c r="H53" t="s">
        <v>1593</v>
      </c>
      <c r="I53" t="s">
        <v>1594</v>
      </c>
      <c r="J53" t="s">
        <v>176</v>
      </c>
      <c r="K53">
        <f>IF(I53="","",MAX(IFERROR(DATEVALUE(TRIM(MID(SUBSTITUTE(I53,";",REPT(" ",50)),1,50))),0),IFERROR(DATEVALUE(TRIM(MID(SUBSTITUTE(I53,";",REPT(" ",50)),51,50))),0),IFERROR(DATEVALUE(TRIM(MID(SUBSTITUTE(I53,";",REPT(" ",50)),101,50))),0),IFERROR(DATEVALUE(TRIM(MID(SUBSTITUTE(I53,";",REPT(" ",50)),151,50))),0),IFERROR(DATEVALUE(TRIM(MID(SUBSTITUTE(I53,";",REPT(" ",50)),201,50))),0),IFERROR(DATEVALUE(TRIM(MID(SUBSTITUTE(I53,";",REPT(" ",50)),251,50))),0),IFERROR(DATEVALUE(TRIM(MID(SUBSTITUTE(I53,";",REPT(" ",50)),301,50))),0),IFERROR(DATEVALUE(TRIM(MID(SUBSTITUTE(I53,";",REPT(" ",50)),351,50))),0),IFERROR(DATEVALUE(TRIM(MID(SUBSTITUTE(I53,";",REPT(" ",50)),401,50))),0),IFERROR(DATEVALUE(TRIM(MID(SUBSTITUTE(I53,";",REPT(" ",50)),451,50))),0)))</f>
        <v>45920</v>
      </c>
      <c r="M53" t="s">
        <v>273</v>
      </c>
      <c r="N53">
        <f>IF(M53="","",IF(L53="",INDEX($F$61:$F$64,MATCH(M53,$C$61:$C$64,0)),IF(L53&lt;=INDEX($D$61:$D$64,MATCH(M53,$C$61:$C$64,0)),0,IF(L53&lt;=INDEX($E$61:$E$64,MATCH(M53,$C$61:$C$64,0)),INDEX($F$61:$F$64,MATCH(M53,$C$61:$C$64,0)),INDEX($G$61:$G$64,MATCH(M53,$C$61:$C$64,0))))))</f>
        <v>5</v>
      </c>
      <c r="O53">
        <f>G53+N53</f>
        <v>5</v>
      </c>
      <c r="P53" t="str">
        <f>IF(AND(C53="Specific warnings about this token",OR(D53="High",D53="Medium")),"Review Required","No Review")</f>
        <v>No Review</v>
      </c>
      <c r="Q53" t="s">
        <v>1595</v>
      </c>
      <c r="R53" t="s">
        <v>1596</v>
      </c>
    </row>
    <row r="54" spans="1:18" x14ac:dyDescent="0.2">
      <c r="A54" t="s">
        <v>497</v>
      </c>
      <c r="B54" t="s">
        <v>1597</v>
      </c>
      <c r="C54" t="s">
        <v>1598</v>
      </c>
      <c r="D54" t="s">
        <v>163</v>
      </c>
      <c r="E54">
        <v>0</v>
      </c>
      <c r="F54">
        <f>IF(D54="High",0,IF(D54="Medium",0.05,IF(D54="Low",0.1,IF(D54="Unknown",0.15,""))))</f>
        <v>0</v>
      </c>
      <c r="G54">
        <f>E54*(1+F54)</f>
        <v>0</v>
      </c>
      <c r="H54" t="s">
        <v>1599</v>
      </c>
      <c r="I54" t="s">
        <v>1600</v>
      </c>
      <c r="J54" t="s">
        <v>176</v>
      </c>
      <c r="K54">
        <f>IF(I54="","",MAX(IFERROR(DATEVALUE(TRIM(MID(SUBSTITUTE(I54,";",REPT(" ",50)),1,50))),0),IFERROR(DATEVALUE(TRIM(MID(SUBSTITUTE(I54,";",REPT(" ",50)),51,50))),0),IFERROR(DATEVALUE(TRIM(MID(SUBSTITUTE(I54,";",REPT(" ",50)),101,50))),0),IFERROR(DATEVALUE(TRIM(MID(SUBSTITUTE(I54,";",REPT(" ",50)),151,50))),0),IFERROR(DATEVALUE(TRIM(MID(SUBSTITUTE(I54,";",REPT(" ",50)),201,50))),0),IFERROR(DATEVALUE(TRIM(MID(SUBSTITUTE(I54,";",REPT(" ",50)),251,50))),0),IFERROR(DATEVALUE(TRIM(MID(SUBSTITUTE(I54,";",REPT(" ",50)),301,50))),0),IFERROR(DATEVALUE(TRIM(MID(SUBSTITUTE(I54,";",REPT(" ",50)),351,50))),0),IFERROR(DATEVALUE(TRIM(MID(SUBSTITUTE(I54,";",REPT(" ",50)),401,50))),0),IFERROR(DATEVALUE(TRIM(MID(SUBSTITUTE(I54,";",REPT(" ",50)),451,50))),0)))</f>
        <v>45495</v>
      </c>
      <c r="M54" t="s">
        <v>273</v>
      </c>
      <c r="N54">
        <f>IF(M54="","",IF(L54="",INDEX($F$61:$F$64,MATCH(M54,$C$61:$C$64,0)),IF(L54&lt;=INDEX($D$61:$D$64,MATCH(M54,$C$61:$C$64,0)),0,IF(L54&lt;=INDEX($E$61:$E$64,MATCH(M54,$C$61:$C$64,0)),INDEX($F$61:$F$64,MATCH(M54,$C$61:$C$64,0)),INDEX($G$61:$G$64,MATCH(M54,$C$61:$C$64,0))))))</f>
        <v>5</v>
      </c>
      <c r="O54">
        <f>G54+N54</f>
        <v>5</v>
      </c>
      <c r="P54" t="s">
        <v>168</v>
      </c>
      <c r="Q54" t="s">
        <v>863</v>
      </c>
      <c r="R54" t="s">
        <v>1601</v>
      </c>
    </row>
    <row r="59" spans="1:18" x14ac:dyDescent="0.2">
      <c r="C59" s="56" t="s">
        <v>552</v>
      </c>
      <c r="D59" s="57"/>
      <c r="E59" s="57"/>
      <c r="F59" s="57"/>
      <c r="G59" s="58"/>
    </row>
    <row r="60" spans="1:18" x14ac:dyDescent="0.2">
      <c r="C60" s="31" t="s">
        <v>152</v>
      </c>
      <c r="D60" s="32" t="s">
        <v>553</v>
      </c>
      <c r="E60" s="32" t="s">
        <v>554</v>
      </c>
      <c r="F60" s="32" t="s">
        <v>555</v>
      </c>
      <c r="G60" s="32" t="s">
        <v>556</v>
      </c>
    </row>
    <row r="61" spans="1:18" x14ac:dyDescent="0.2">
      <c r="C61" s="33" t="s">
        <v>273</v>
      </c>
      <c r="D61" s="34">
        <v>90</v>
      </c>
      <c r="E61" s="34">
        <v>180</v>
      </c>
      <c r="F61" s="34">
        <v>5</v>
      </c>
      <c r="G61" s="35">
        <v>10</v>
      </c>
    </row>
    <row r="62" spans="1:18" x14ac:dyDescent="0.2">
      <c r="C62" s="36" t="s">
        <v>184</v>
      </c>
      <c r="D62" s="34">
        <v>180</v>
      </c>
      <c r="E62" s="34">
        <v>365</v>
      </c>
      <c r="F62" s="34">
        <v>3</v>
      </c>
      <c r="G62" s="35">
        <v>6</v>
      </c>
    </row>
    <row r="63" spans="1:18" x14ac:dyDescent="0.2">
      <c r="C63" s="36" t="s">
        <v>303</v>
      </c>
      <c r="D63" s="34">
        <v>365</v>
      </c>
      <c r="E63" s="34">
        <v>730</v>
      </c>
      <c r="F63" s="34">
        <v>2</v>
      </c>
      <c r="G63" s="35">
        <v>4</v>
      </c>
    </row>
    <row r="64" spans="1:18" x14ac:dyDescent="0.2">
      <c r="C64" s="31" t="s">
        <v>167</v>
      </c>
      <c r="D64" s="37">
        <v>9999</v>
      </c>
      <c r="E64" s="37">
        <v>9999</v>
      </c>
      <c r="F64" s="37">
        <v>0</v>
      </c>
      <c r="G64" s="32">
        <v>0</v>
      </c>
    </row>
    <row r="68" spans="3:5" ht="16" customHeight="1" thickBot="1" x14ac:dyDescent="0.25"/>
    <row r="69" spans="3:5" ht="16" customHeight="1" thickBot="1" x14ac:dyDescent="0.25">
      <c r="C69" s="52" t="s">
        <v>557</v>
      </c>
      <c r="D69" s="53"/>
      <c r="E69" s="54"/>
    </row>
    <row r="70" spans="3:5" x14ac:dyDescent="0.2">
      <c r="C70" s="47" t="s">
        <v>558</v>
      </c>
      <c r="D70" s="48"/>
      <c r="E70" s="8">
        <f>IF(COUNTIFS($A$4:$A$54,"A*",$C$4:$C$54,"&lt;&gt;")=0,"",AVERAGEIFS($O$4:$O$54,$A$4:$A$54,"A*",$C$4:$C$54,"&lt;&gt;"))</f>
        <v>6.5</v>
      </c>
    </row>
    <row r="71" spans="3:5" x14ac:dyDescent="0.2">
      <c r="C71" s="47" t="s">
        <v>559</v>
      </c>
      <c r="D71" s="48"/>
      <c r="E71" s="8">
        <f>IF(COUNTIFS($A$4:$A$54,"B*",$C$4:$C$54,"&lt;&gt;")=0,"",AVERAGEIFS($O$4:$O$54,$A$4:$A$54,"B*",$C$4:$C$54,"&lt;&gt;"))</f>
        <v>6.9375</v>
      </c>
    </row>
    <row r="72" spans="3:5" x14ac:dyDescent="0.2">
      <c r="C72" s="47" t="s">
        <v>560</v>
      </c>
      <c r="D72" s="48"/>
      <c r="E72" s="8">
        <f>IF(COUNTIFS($A$4:$A$54,"C*",$C$4:$C$54,"&lt;&gt;")=0,"",AVERAGEIFS($O$4:$O$54,$A$4:$A$54,"C*",$C$4:$C$54,"&lt;&gt;"))</f>
        <v>6.5625</v>
      </c>
    </row>
    <row r="73" spans="3:5" x14ac:dyDescent="0.2">
      <c r="C73" s="47" t="s">
        <v>561</v>
      </c>
      <c r="D73" s="48"/>
      <c r="E73" s="8">
        <f>IF(COUNTIFS($A$4:$A$54,"D*",$C$4:$C$54,"&lt;&gt;")=0,"",AVERAGEIFS($O$4:$O$54,$A$4:$A$54,"D*",$C$4:$C$54,"&lt;&gt;"))</f>
        <v>11.5</v>
      </c>
    </row>
    <row r="74" spans="3:5" x14ac:dyDescent="0.2">
      <c r="C74" s="47" t="s">
        <v>562</v>
      </c>
      <c r="D74" s="48"/>
      <c r="E74" s="8">
        <f>IF(COUNTIFS($A$4:$A$54,"E*",$C$4:$C$54,"&lt;&gt;")=0,"",AVERAGEIFS($O$4:$O$54,$A$4:$A$54,"E*",$C$4:$C$54,"&lt;&gt;"))</f>
        <v>2.8571428571428572</v>
      </c>
    </row>
    <row r="75" spans="3:5" x14ac:dyDescent="0.2">
      <c r="C75" s="47" t="s">
        <v>563</v>
      </c>
      <c r="D75" s="48"/>
      <c r="E75" s="8">
        <f>IF(COUNTIF($C$4:$C$54,"&lt;&gt;")=0,"",AVERAGEIFS($O$4:$O$54,$C$4:$C$54,"&lt;&gt;"))</f>
        <v>6.8552631578947372</v>
      </c>
    </row>
    <row r="76" spans="3:5" x14ac:dyDescent="0.2">
      <c r="C76" s="47" t="s">
        <v>564</v>
      </c>
      <c r="D76" s="48"/>
      <c r="E76" s="8" t="str">
        <f>IF(E75="","",IF(E75&lt;3,"Very Low",IF(E75&lt;6,"Low",IF(E75&lt;9,"Medium",IF(E75&lt;12,"Medium-High","High")))))</f>
        <v>Medium</v>
      </c>
    </row>
    <row r="77" spans="3:5" x14ac:dyDescent="0.2">
      <c r="C77" s="49" t="s">
        <v>565</v>
      </c>
      <c r="D77" s="50"/>
      <c r="E77" s="9" t="str">
        <f>IF(COUNT($E$70:$E$74)=0,"",IF($E$70=MIN($E$70:$E$74),"A",IF($E$71=MIN($E$70:$E$74),"B",IF($E$72=MIN($E$70:$E$74),"C",IF($E$73=MIN($E$70:$E$74),"D","E")))))</f>
        <v>E</v>
      </c>
    </row>
  </sheetData>
  <mergeCells count="20">
    <mergeCell ref="C77:D77"/>
    <mergeCell ref="B50:R50"/>
    <mergeCell ref="C74:D74"/>
    <mergeCell ref="C76:D76"/>
    <mergeCell ref="B25:R25"/>
    <mergeCell ref="B3:R3"/>
    <mergeCell ref="B46:R46"/>
    <mergeCell ref="C73:D73"/>
    <mergeCell ref="C75:D75"/>
    <mergeCell ref="B8:R8"/>
    <mergeCell ref="B14:R14"/>
    <mergeCell ref="C59:G59"/>
    <mergeCell ref="C71:D71"/>
    <mergeCell ref="C69:E69"/>
    <mergeCell ref="C70:D70"/>
    <mergeCell ref="B19:R19"/>
    <mergeCell ref="B40:R40"/>
    <mergeCell ref="C72:D72"/>
    <mergeCell ref="B30:R30"/>
    <mergeCell ref="B36:R36"/>
  </mergeCells>
  <conditionalFormatting sqref="O4:O60">
    <cfRule type="colorScale" priority="11">
      <colorScale>
        <cfvo type="num" val="0"/>
        <cfvo type="percentile" val="50"/>
        <cfvo type="num" val="25"/>
        <color rgb="FF73FB79"/>
        <color rgb="FFFFFD78"/>
        <color rgb="FFFF2600"/>
      </colorScale>
    </cfRule>
  </conditionalFormatting>
  <conditionalFormatting sqref="P4:P54">
    <cfRule type="cellIs" dxfId="15" priority="12" operator="equal">
      <formula>"No Review"</formula>
    </cfRule>
    <cfRule type="cellIs" dxfId="14" priority="13" operator="equal">
      <formula>"Review Required"</formula>
    </cfRule>
  </conditionalFormatting>
  <dataValidations count="1">
    <dataValidation type="list" showInputMessage="1" showErrorMessage="1" sqref="M4:M67" xr:uid="{00000000-0002-0000-0500-000000000000}">
      <formula1>"Critical–Fast,Operational–Medium,Background–Slow,Evergreen–No Penalty"</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52"/>
  <sheetViews>
    <sheetView topLeftCell="I1" workbookViewId="0">
      <selection activeCell="G48" sqref="G48"/>
    </sheetView>
  </sheetViews>
  <sheetFormatPr baseColWidth="10" defaultColWidth="8.83203125" defaultRowHeight="15" x14ac:dyDescent="0.2"/>
  <cols>
    <col min="1" max="1" width="13.6640625" customWidth="1"/>
    <col min="2" max="2" width="255.6640625" customWidth="1"/>
    <col min="3" max="5" width="15.83203125" customWidth="1"/>
    <col min="6" max="6" width="18.6640625" customWidth="1"/>
    <col min="7" max="7" width="23.5" customWidth="1"/>
    <col min="8" max="10" width="15.83203125" customWidth="1"/>
    <col min="11" max="11" width="22.5" style="24" customWidth="1"/>
    <col min="12" max="15" width="15.83203125" customWidth="1"/>
    <col min="16" max="16" width="19.6640625" customWidth="1"/>
    <col min="17" max="17" width="119.33203125" customWidth="1"/>
    <col min="18" max="18" width="69.33203125" customWidth="1"/>
    <col min="19" max="19" width="8.83203125" customWidth="1"/>
    <col min="20" max="23" width="18.5" customWidth="1"/>
  </cols>
  <sheetData>
    <row r="1" spans="1:19" x14ac:dyDescent="0.2">
      <c r="A1" s="1" t="s">
        <v>140</v>
      </c>
      <c r="B1" s="1" t="s">
        <v>141</v>
      </c>
      <c r="C1" s="1" t="s">
        <v>142</v>
      </c>
      <c r="D1" s="1" t="s">
        <v>143</v>
      </c>
      <c r="E1" s="1" t="s">
        <v>144</v>
      </c>
      <c r="F1" s="1" t="s">
        <v>145</v>
      </c>
      <c r="G1" s="1" t="s">
        <v>146</v>
      </c>
      <c r="H1" s="1" t="s">
        <v>147</v>
      </c>
      <c r="I1" s="1" t="s">
        <v>148</v>
      </c>
      <c r="J1" s="1" t="s">
        <v>149</v>
      </c>
      <c r="K1" s="22" t="s">
        <v>150</v>
      </c>
      <c r="L1" s="1" t="s">
        <v>151</v>
      </c>
      <c r="M1" s="1" t="s">
        <v>152</v>
      </c>
      <c r="N1" s="1" t="s">
        <v>153</v>
      </c>
      <c r="O1" s="1" t="s">
        <v>154</v>
      </c>
      <c r="P1" s="1" t="s">
        <v>155</v>
      </c>
      <c r="Q1" s="1" t="s">
        <v>156</v>
      </c>
      <c r="R1" s="1" t="s">
        <v>157</v>
      </c>
      <c r="S1" t="s">
        <v>158</v>
      </c>
    </row>
    <row r="2" spans="1:19" x14ac:dyDescent="0.2">
      <c r="A2" s="4"/>
      <c r="B2" s="5" t="s">
        <v>1602</v>
      </c>
      <c r="C2" s="4"/>
      <c r="D2" s="4"/>
      <c r="E2" s="4"/>
      <c r="F2" s="4"/>
      <c r="G2" s="4"/>
      <c r="H2" s="4"/>
      <c r="I2" s="4"/>
      <c r="J2" s="4"/>
      <c r="K2" s="23"/>
      <c r="L2" s="4"/>
      <c r="M2" s="4"/>
      <c r="N2" s="4"/>
      <c r="O2" s="4"/>
      <c r="P2" s="4"/>
      <c r="Q2" s="4"/>
      <c r="R2" s="4"/>
    </row>
    <row r="3" spans="1:19" x14ac:dyDescent="0.2">
      <c r="A3" s="3"/>
      <c r="B3" s="44"/>
      <c r="C3" s="45"/>
      <c r="D3" s="45"/>
      <c r="E3" s="45"/>
      <c r="F3" s="45"/>
      <c r="G3" s="45"/>
      <c r="H3" s="45"/>
      <c r="I3" s="45"/>
      <c r="J3" s="45"/>
      <c r="K3" s="46"/>
      <c r="L3" s="45"/>
      <c r="M3" s="45"/>
      <c r="N3" s="45"/>
      <c r="O3" s="45"/>
      <c r="P3" s="45"/>
      <c r="Q3" s="45"/>
      <c r="R3" s="45"/>
    </row>
    <row r="4" spans="1:19" x14ac:dyDescent="0.2">
      <c r="A4" t="s">
        <v>160</v>
      </c>
      <c r="B4" t="s">
        <v>1603</v>
      </c>
      <c r="C4" t="s">
        <v>1604</v>
      </c>
      <c r="D4" t="s">
        <v>163</v>
      </c>
      <c r="E4">
        <f>IF(C4="Clear and credible utility/business model",0,IF(C4="Partially clear with some gaps",10,IF(C4="Weak or mainly narrative with little substance",20,IF(C4="Unknown",10,""))))</f>
        <v>0</v>
      </c>
      <c r="F4">
        <f>IF(D4="High",0,IF(D4="Medium",0.05,IF(D4="Low",0.1,IF(D4="Unknown",0.15,""))))</f>
        <v>0</v>
      </c>
      <c r="G4">
        <f>E4*(1+F4)</f>
        <v>0</v>
      </c>
      <c r="H4" t="s">
        <v>1605</v>
      </c>
      <c r="I4" t="s">
        <v>1606</v>
      </c>
      <c r="J4" t="s">
        <v>176</v>
      </c>
      <c r="K4">
        <f>IF(I4="","",MAX(IFERROR(DATEVALUE(TRIM(MID(SUBSTITUTE(I4,";",REPT(" ",50)),1,50))),0),IFERROR(DATEVALUE(TRIM(MID(SUBSTITUTE(I4,";",REPT(" ",50)),51,50))),0),IFERROR(DATEVALUE(TRIM(MID(SUBSTITUTE(I4,";",REPT(" ",50)),101,50))),0),IFERROR(DATEVALUE(TRIM(MID(SUBSTITUTE(I4,";",REPT(" ",50)),151,50))),0),IFERROR(DATEVALUE(TRIM(MID(SUBSTITUTE(I4,";",REPT(" ",50)),201,50))),0),IFERROR(DATEVALUE(TRIM(MID(SUBSTITUTE(I4,";",REPT(" ",50)),251,50))),0),IFERROR(DATEVALUE(TRIM(MID(SUBSTITUTE(I4,";",REPT(" ",50)),301,50))),0),IFERROR(DATEVALUE(TRIM(MID(SUBSTITUTE(I4,";",REPT(" ",50)),351,50))),0),IFERROR(DATEVALUE(TRIM(MID(SUBSTITUTE(I4,";",REPT(" ",50)),401,50))),0),IFERROR(DATEVALUE(TRIM(MID(SUBSTITUTE(I4,";",REPT(" ",50)),451,50))),0)))</f>
        <v>46001</v>
      </c>
      <c r="M4" t="s">
        <v>167</v>
      </c>
      <c r="N4">
        <f>IF(M4="","",IF(L4="",INDEX($F$37:$F$40,MATCH(M4,$C$37:$C$40,0)),IF(L4&lt;=INDEX($D$37:$D$40,MATCH(M4,$C$37:$C$40,0)),0,IF(L4&lt;=INDEX($E$37:$E$40,MATCH(M4,$C$37:$C$40,0)),INDEX($F$37:$F$40,MATCH(M4,$C$37:$C$40,0)),INDEX($G$37:$G$40,MATCH(M4,$C$37:$C$40,0))))))</f>
        <v>0</v>
      </c>
      <c r="O4">
        <f>G4+N4</f>
        <v>0</v>
      </c>
      <c r="P4" t="s">
        <v>168</v>
      </c>
      <c r="R4" t="s">
        <v>1607</v>
      </c>
    </row>
    <row r="5" spans="1:19" x14ac:dyDescent="0.2">
      <c r="A5" t="s">
        <v>171</v>
      </c>
      <c r="B5" t="s">
        <v>1608</v>
      </c>
      <c r="C5" t="s">
        <v>1609</v>
      </c>
      <c r="D5" t="s">
        <v>163</v>
      </c>
      <c r="E5">
        <f>IF(C5="Primarily utility/usage-driven",0,IF(C5="Mixed (both usage and speculation)",10,IF(C5="Heavily dependent on speculation/narrative",20,IF(C5="Unknown",10,""))))</f>
        <v>10</v>
      </c>
      <c r="F5">
        <f>IF(D5="High",0,IF(D5="Medium",0.05,IF(D5="Low",0.1,IF(D5="Unknown",0.15,""))))</f>
        <v>0</v>
      </c>
      <c r="G5">
        <f>E5*(1+F5)</f>
        <v>10</v>
      </c>
      <c r="H5" t="s">
        <v>1610</v>
      </c>
      <c r="I5" t="s">
        <v>1611</v>
      </c>
      <c r="J5" t="s">
        <v>176</v>
      </c>
      <c r="K5">
        <f>IF(I5="","",MAX(IFERROR(DATEVALUE(TRIM(MID(SUBSTITUTE(I5,";",REPT(" ",50)),1,50))),0),IFERROR(DATEVALUE(TRIM(MID(SUBSTITUTE(I5,";",REPT(" ",50)),51,50))),0),IFERROR(DATEVALUE(TRIM(MID(SUBSTITUTE(I5,";",REPT(" ",50)),101,50))),0),IFERROR(DATEVALUE(TRIM(MID(SUBSTITUTE(I5,";",REPT(" ",50)),151,50))),0),IFERROR(DATEVALUE(TRIM(MID(SUBSTITUTE(I5,";",REPT(" ",50)),201,50))),0),IFERROR(DATEVALUE(TRIM(MID(SUBSTITUTE(I5,";",REPT(" ",50)),251,50))),0),IFERROR(DATEVALUE(TRIM(MID(SUBSTITUTE(I5,";",REPT(" ",50)),301,50))),0),IFERROR(DATEVALUE(TRIM(MID(SUBSTITUTE(I5,";",REPT(" ",50)),351,50))),0),IFERROR(DATEVALUE(TRIM(MID(SUBSTITUTE(I5,";",REPT(" ",50)),401,50))),0),IFERROR(DATEVALUE(TRIM(MID(SUBSTITUTE(I5,";",REPT(" ",50)),451,50))),0)))</f>
        <v>45597</v>
      </c>
      <c r="M5" t="s">
        <v>167</v>
      </c>
      <c r="N5">
        <f>IF(M5="","",IF(L5="",INDEX($F$37:$F$40,MATCH(M5,$C$37:$C$40,0)),IF(L5&lt;=INDEX($D$37:$D$40,MATCH(M5,$C$37:$C$40,0)),0,IF(L5&lt;=INDEX($E$37:$E$40,MATCH(M5,$C$37:$C$40,0)),INDEX($F$37:$F$40,MATCH(M5,$C$37:$C$40,0)),INDEX($G$37:$G$40,MATCH(M5,$C$37:$C$40,0))))))</f>
        <v>0</v>
      </c>
      <c r="O5">
        <f>G5+N5</f>
        <v>10</v>
      </c>
      <c r="P5" t="str">
        <f>IF(AND(C5="Heavily dependent on speculation/narrative",OR(D5="High",D5="Medium")),"Review Required","No Review")</f>
        <v>No Review</v>
      </c>
      <c r="Q5" t="s">
        <v>1612</v>
      </c>
      <c r="R5" t="s">
        <v>1613</v>
      </c>
    </row>
    <row r="6" spans="1:19" x14ac:dyDescent="0.2">
      <c r="A6" t="s">
        <v>179</v>
      </c>
      <c r="B6" t="s">
        <v>1614</v>
      </c>
      <c r="C6" t="s">
        <v>1615</v>
      </c>
      <c r="D6" t="s">
        <v>163</v>
      </c>
      <c r="E6">
        <f>IF(C6="Diversified across multiple drivers",0,IF(C6="Moderately concentrated",10,IF(C6="Highly concentrated in a single driver",20,IF(C6="Unknown",10,""))))</f>
        <v>0</v>
      </c>
      <c r="F6">
        <f>IF(D6="High",0,IF(D6="Medium",0.05,IF(D6="Low",0.1,IF(D6="Unknown",0.15,""))))</f>
        <v>0</v>
      </c>
      <c r="G6">
        <f>E6*(1+F6)</f>
        <v>0</v>
      </c>
      <c r="H6" t="s">
        <v>1616</v>
      </c>
      <c r="I6" t="s">
        <v>1617</v>
      </c>
      <c r="J6" t="s">
        <v>176</v>
      </c>
      <c r="K6">
        <f>IF(I6="","",MAX(IFERROR(DATEVALUE(TRIM(MID(SUBSTITUTE(I6,";",REPT(" ",50)),1,50))),0),IFERROR(DATEVALUE(TRIM(MID(SUBSTITUTE(I6,";",REPT(" ",50)),51,50))),0),IFERROR(DATEVALUE(TRIM(MID(SUBSTITUTE(I6,";",REPT(" ",50)),101,50))),0),IFERROR(DATEVALUE(TRIM(MID(SUBSTITUTE(I6,";",REPT(" ",50)),151,50))),0),IFERROR(DATEVALUE(TRIM(MID(SUBSTITUTE(I6,";",REPT(" ",50)),201,50))),0),IFERROR(DATEVALUE(TRIM(MID(SUBSTITUTE(I6,";",REPT(" ",50)),251,50))),0),IFERROR(DATEVALUE(TRIM(MID(SUBSTITUTE(I6,";",REPT(" ",50)),301,50))),0),IFERROR(DATEVALUE(TRIM(MID(SUBSTITUTE(I6,";",REPT(" ",50)),351,50))),0),IFERROR(DATEVALUE(TRIM(MID(SUBSTITUTE(I6,";",REPT(" ",50)),401,50))),0),IFERROR(DATEVALUE(TRIM(MID(SUBSTITUTE(I6,";",REPT(" ",50)),451,50))),0)))</f>
        <v>45992</v>
      </c>
      <c r="M6" t="s">
        <v>167</v>
      </c>
      <c r="N6">
        <f>IF(M6="","",IF(L6="",INDEX($F$37:$F$40,MATCH(M6,$C$37:$C$40,0)),IF(L6&lt;=INDEX($D$37:$D$40,MATCH(M6,$C$37:$C$40,0)),0,IF(L6&lt;=INDEX($E$37:$E$40,MATCH(M6,$C$37:$C$40,0)),INDEX($F$37:$F$40,MATCH(M6,$C$37:$C$40,0)),INDEX($G$37:$G$40,MATCH(M6,$C$37:$C$40,0))))))</f>
        <v>0</v>
      </c>
      <c r="O6">
        <f>G6+N6</f>
        <v>0</v>
      </c>
      <c r="P6" t="s">
        <v>168</v>
      </c>
      <c r="R6" t="s">
        <v>1618</v>
      </c>
    </row>
    <row r="7" spans="1:19" x14ac:dyDescent="0.2">
      <c r="A7" t="s">
        <v>200</v>
      </c>
      <c r="B7" t="s">
        <v>1619</v>
      </c>
      <c r="C7" t="s">
        <v>1620</v>
      </c>
      <c r="D7" t="s">
        <v>163</v>
      </c>
      <c r="E7">
        <v>0</v>
      </c>
      <c r="F7">
        <f>IF(D7="High",0,IF(D7="Medium",0.05,IF(D7="Low",0.1,IF(D7="Unknown",0.15,""))))</f>
        <v>0</v>
      </c>
      <c r="G7">
        <f>E7*(1+F7)</f>
        <v>0</v>
      </c>
      <c r="H7" t="s">
        <v>1621</v>
      </c>
      <c r="I7" t="s">
        <v>1622</v>
      </c>
      <c r="J7" t="s">
        <v>176</v>
      </c>
      <c r="K7">
        <f>IF(I7="","",MAX(IFERROR(DATEVALUE(TRIM(MID(SUBSTITUTE(I7,";",REPT(" ",50)),1,50))),0),IFERROR(DATEVALUE(TRIM(MID(SUBSTITUTE(I7,";",REPT(" ",50)),51,50))),0),IFERROR(DATEVALUE(TRIM(MID(SUBSTITUTE(I7,";",REPT(" ",50)),101,50))),0),IFERROR(DATEVALUE(TRIM(MID(SUBSTITUTE(I7,";",REPT(" ",50)),151,50))),0),IFERROR(DATEVALUE(TRIM(MID(SUBSTITUTE(I7,";",REPT(" ",50)),201,50))),0),IFERROR(DATEVALUE(TRIM(MID(SUBSTITUTE(I7,";",REPT(" ",50)),251,50))),0),IFERROR(DATEVALUE(TRIM(MID(SUBSTITUTE(I7,";",REPT(" ",50)),301,50))),0),IFERROR(DATEVALUE(TRIM(MID(SUBSTITUTE(I7,";",REPT(" ",50)),351,50))),0),IFERROR(DATEVALUE(TRIM(MID(SUBSTITUTE(I7,";",REPT(" ",50)),401,50))),0),IFERROR(DATEVALUE(TRIM(MID(SUBSTITUTE(I7,";",REPT(" ",50)),451,50))),0)))</f>
        <v>45992</v>
      </c>
      <c r="M7" t="s">
        <v>167</v>
      </c>
      <c r="N7">
        <f>IF(M7="","",IF(L7="",INDEX($F$37:$F$40,MATCH(M7,$C$37:$C$40,0)),IF(L7&lt;=INDEX($D$37:$D$40,MATCH(M7,$C$37:$C$40,0)),0,IF(L7&lt;=INDEX($E$37:$E$40,MATCH(M7,$C$37:$C$40,0)),INDEX($F$37:$F$40,MATCH(M7,$C$37:$C$40,0)),INDEX($G$37:$G$40,MATCH(M7,$C$37:$C$40,0))))))</f>
        <v>0</v>
      </c>
      <c r="O7">
        <f>G7+N7</f>
        <v>0</v>
      </c>
      <c r="P7" t="s">
        <v>168</v>
      </c>
      <c r="Q7" t="s">
        <v>863</v>
      </c>
      <c r="R7" t="s">
        <v>1623</v>
      </c>
    </row>
    <row r="8" spans="1:19" x14ac:dyDescent="0.2">
      <c r="A8" s="4"/>
      <c r="B8" s="5" t="s">
        <v>1624</v>
      </c>
      <c r="C8" s="4"/>
      <c r="D8" s="4"/>
      <c r="E8" s="4"/>
      <c r="F8" s="4"/>
      <c r="G8" s="4"/>
      <c r="H8" s="4"/>
      <c r="I8" s="4"/>
      <c r="J8" s="4"/>
      <c r="K8" s="23" t="str">
        <f>IF(I8="","",MAX(IFERROR(DATEVALUE(TRIM(MID(SUBSTITUTE(I8,";",REPT(" ",50)),1,50))),0),IFERROR(DATEVALUE(TRIM(MID(SUBSTITUTE(I8,";",REPT(" ",50)),51,50))),0),IFERROR(DATEVALUE(TRIM(MID(SUBSTITUTE(I8,";",REPT(" ",50)),101,50))),0),IFERROR(DATEVALUE(TRIM(MID(SUBSTITUTE(I8,";",REPT(" ",50)),151,50))),0),IFERROR(DATEVALUE(TRIM(MID(SUBSTITUTE(I8,";",REPT(" ",50)),201,50))),0),IFERROR(DATEVALUE(TRIM(MID(SUBSTITUTE(I8,";",REPT(" ",50)),251,50))),0),IFERROR(DATEVALUE(TRIM(MID(SUBSTITUTE(I8,";",REPT(" ",50)),301,50))),0),IFERROR(DATEVALUE(TRIM(MID(SUBSTITUTE(I8,";",REPT(" ",50)),351,50))),0),IFERROR(DATEVALUE(TRIM(MID(SUBSTITUTE(I8,";",REPT(" ",50)),401,50))),0),IFERROR(DATEVALUE(TRIM(MID(SUBSTITUTE(I8,";",REPT(" ",50)),451,50))),0)))</f>
        <v/>
      </c>
      <c r="L8" s="4"/>
      <c r="M8" s="4"/>
      <c r="N8" s="4" t="str">
        <f>IF(M8="","",IF(L8="",INDEX($F$37:$F$40,MATCH(M8,$C$37:$C$40,0)),IF(L8&lt;=INDEX($D$37:$D$40,MATCH(M8,$C$37:$C$40,0)),0,IF(L8&lt;=INDEX($E$37:$E$40,MATCH(M8,$C$37:$C$40,0)),INDEX($F$37:$F$40,MATCH(M8,$C$37:$C$40,0)),INDEX($G$37:$G$40,MATCH(M8,$C$37:$C$40,0))))))</f>
        <v/>
      </c>
      <c r="O8" s="4"/>
      <c r="P8" s="4"/>
      <c r="Q8" s="4"/>
      <c r="R8" s="4"/>
    </row>
    <row r="9" spans="1:19" x14ac:dyDescent="0.2">
      <c r="A9" s="3"/>
      <c r="B9" s="44"/>
      <c r="C9" s="45"/>
      <c r="D9" s="45"/>
      <c r="E9" s="45"/>
      <c r="F9" s="45"/>
      <c r="G9" s="45"/>
      <c r="H9" s="45"/>
      <c r="I9" s="45"/>
      <c r="J9" s="45"/>
      <c r="K9" s="46"/>
      <c r="L9" s="45"/>
      <c r="M9" s="45"/>
      <c r="N9" s="45"/>
      <c r="O9" s="45"/>
      <c r="P9" s="45"/>
      <c r="Q9" s="45"/>
      <c r="R9" s="45"/>
    </row>
    <row r="10" spans="1:19" x14ac:dyDescent="0.2">
      <c r="A10" t="s">
        <v>241</v>
      </c>
      <c r="B10" t="s">
        <v>1625</v>
      </c>
      <c r="C10" t="s">
        <v>1626</v>
      </c>
      <c r="D10" t="s">
        <v>163</v>
      </c>
      <c r="E10">
        <f>IF(C10="No actions identified",0,IF(C10="Minor actions or warnings resolved",10,IF(C10="Significant or ongoing enforcement actions",20,IF(C10="Unknown",10,""))))</f>
        <v>0</v>
      </c>
      <c r="F10">
        <f>IF(D10="High",0,IF(D10="Medium",0.05,IF(D10="Low",0.1,IF(D10="Unknown",0.15,""))))</f>
        <v>0</v>
      </c>
      <c r="G10">
        <f>E10*(1+F10)</f>
        <v>0</v>
      </c>
      <c r="H10" t="s">
        <v>1627</v>
      </c>
      <c r="I10" t="s">
        <v>1628</v>
      </c>
      <c r="J10" t="s">
        <v>176</v>
      </c>
      <c r="K10">
        <f>IF(I10="","",MAX(IFERROR(DATEVALUE(TRIM(MID(SUBSTITUTE(I10,";",REPT(" ",50)),1,50))),0),IFERROR(DATEVALUE(TRIM(MID(SUBSTITUTE(I10,";",REPT(" ",50)),51,50))),0),IFERROR(DATEVALUE(TRIM(MID(SUBSTITUTE(I10,";",REPT(" ",50)),101,50))),0),IFERROR(DATEVALUE(TRIM(MID(SUBSTITUTE(I10,";",REPT(" ",50)),151,50))),0),IFERROR(DATEVALUE(TRIM(MID(SUBSTITUTE(I10,";",REPT(" ",50)),201,50))),0),IFERROR(DATEVALUE(TRIM(MID(SUBSTITUTE(I10,";",REPT(" ",50)),251,50))),0),IFERROR(DATEVALUE(TRIM(MID(SUBSTITUTE(I10,";",REPT(" ",50)),301,50))),0),IFERROR(DATEVALUE(TRIM(MID(SUBSTITUTE(I10,";",REPT(" ",50)),351,50))),0),IFERROR(DATEVALUE(TRIM(MID(SUBSTITUTE(I10,";",REPT(" ",50)),401,50))),0),IFERROR(DATEVALUE(TRIM(MID(SUBSTITUTE(I10,";",REPT(" ",50)),451,50))),0)))</f>
        <v>45948</v>
      </c>
      <c r="M10" t="s">
        <v>303</v>
      </c>
      <c r="N10">
        <f>IF(M10="","",IF(L10="",INDEX($F$37:$F$40,MATCH(M10,$C$37:$C$40,0)),IF(L10&lt;=INDEX($D$37:$D$40,MATCH(M10,$C$37:$C$40,0)),0,IF(L10&lt;=INDEX($E$37:$E$40,MATCH(M10,$C$37:$C$40,0)),INDEX($F$37:$F$40,MATCH(M10,$C$37:$C$40,0)),INDEX($G$37:$G$40,MATCH(M10,$C$37:$C$40,0))))))</f>
        <v>2</v>
      </c>
      <c r="O10">
        <f>G10+N10</f>
        <v>2</v>
      </c>
      <c r="P10" t="str">
        <f>IF(AND(C10="Significant or ongoing enforcement actions",OR(D10="High",D10="Medium")),"Review Required","No Review")</f>
        <v>No Review</v>
      </c>
      <c r="Q10" t="s">
        <v>1629</v>
      </c>
      <c r="R10" t="s">
        <v>1630</v>
      </c>
    </row>
    <row r="11" spans="1:19" x14ac:dyDescent="0.2">
      <c r="A11" t="s">
        <v>247</v>
      </c>
      <c r="B11" t="s">
        <v>1631</v>
      </c>
      <c r="C11" t="s">
        <v>1632</v>
      </c>
      <c r="D11" t="s">
        <v>197</v>
      </c>
      <c r="E11">
        <f>IF(C11="No such issues identified",0,IF(C11="Some allegations but contested/resolved",10,IF(C11="Clear or repeated findings of serious misconduct",20,IF(C11="Unknown",10,""))))</f>
        <v>10</v>
      </c>
      <c r="F11">
        <f>IF(D11="High",0,IF(D11="Medium",0.05,IF(D11="Low",0.1,IF(D11="Unknown",0.15,""))))</f>
        <v>0.05</v>
      </c>
      <c r="G11">
        <f>E11*(1+F11)</f>
        <v>10.5</v>
      </c>
      <c r="H11" t="s">
        <v>1633</v>
      </c>
      <c r="I11" t="s">
        <v>1634</v>
      </c>
      <c r="J11" t="s">
        <v>176</v>
      </c>
      <c r="K11">
        <f>IF(I11="","",MAX(IFERROR(DATEVALUE(TRIM(MID(SUBSTITUTE(I11,";",REPT(" ",50)),1,50))),0),IFERROR(DATEVALUE(TRIM(MID(SUBSTITUTE(I11,";",REPT(" ",50)),51,50))),0),IFERROR(DATEVALUE(TRIM(MID(SUBSTITUTE(I11,";",REPT(" ",50)),101,50))),0),IFERROR(DATEVALUE(TRIM(MID(SUBSTITUTE(I11,";",REPT(" ",50)),151,50))),0),IFERROR(DATEVALUE(TRIM(MID(SUBSTITUTE(I11,";",REPT(" ",50)),201,50))),0),IFERROR(DATEVALUE(TRIM(MID(SUBSTITUTE(I11,";",REPT(" ",50)),251,50))),0),IFERROR(DATEVALUE(TRIM(MID(SUBSTITUTE(I11,";",REPT(" ",50)),301,50))),0),IFERROR(DATEVALUE(TRIM(MID(SUBSTITUTE(I11,";",REPT(" ",50)),351,50))),0),IFERROR(DATEVALUE(TRIM(MID(SUBSTITUTE(I11,";",REPT(" ",50)),401,50))),0),IFERROR(DATEVALUE(TRIM(MID(SUBSTITUTE(I11,";",REPT(" ",50)),451,50))),0)))</f>
        <v>45870</v>
      </c>
      <c r="M11" t="s">
        <v>303</v>
      </c>
      <c r="N11">
        <f>IF(M11="","",IF(L11="",INDEX($F$37:$F$40,MATCH(M11,$C$37:$C$40,0)),IF(L11&lt;=INDEX($D$37:$D$40,MATCH(M11,$C$37:$C$40,0)),0,IF(L11&lt;=INDEX($E$37:$E$40,MATCH(M11,$C$37:$C$40,0)),INDEX($F$37:$F$40,MATCH(M11,$C$37:$C$40,0)),INDEX($G$37:$G$40,MATCH(M11,$C$37:$C$40,0))))))</f>
        <v>2</v>
      </c>
      <c r="O11">
        <f>G11+N11</f>
        <v>12.5</v>
      </c>
      <c r="P11" t="str">
        <f>IF(AND(C11="Clear or repeated findings of serious misconduct",OR(D11="High",D11="Medium")),"Review Required","No Review")</f>
        <v>No Review</v>
      </c>
      <c r="Q11" t="s">
        <v>1635</v>
      </c>
      <c r="R11" t="s">
        <v>1636</v>
      </c>
    </row>
    <row r="12" spans="1:19" x14ac:dyDescent="0.2">
      <c r="A12" t="s">
        <v>252</v>
      </c>
      <c r="B12" t="s">
        <v>1637</v>
      </c>
      <c r="C12" t="s">
        <v>1638</v>
      </c>
      <c r="D12" t="s">
        <v>163</v>
      </c>
      <c r="E12">
        <f>IF(C12="No material conflicts identified",0,IF(C12="Some concerns but mitigated or disclosed",10,IF(C12="Significant or opaque conflicts/extractive structures",20,IF(C12="Unknown",10,""))))</f>
        <v>10</v>
      </c>
      <c r="F12">
        <f>IF(D12="High",0,IF(D12="Medium",0.05,IF(D12="Low",0.1,IF(D12="Unknown",0.15,""))))</f>
        <v>0</v>
      </c>
      <c r="G12">
        <f>E12*(1+F12)</f>
        <v>10</v>
      </c>
      <c r="H12" t="s">
        <v>1639</v>
      </c>
      <c r="I12" t="s">
        <v>1640</v>
      </c>
      <c r="J12" t="s">
        <v>176</v>
      </c>
      <c r="K12">
        <f>IF(I12="","",MAX(IFERROR(DATEVALUE(TRIM(MID(SUBSTITUTE(I12,";",REPT(" ",50)),1,50))),0),IFERROR(DATEVALUE(TRIM(MID(SUBSTITUTE(I12,";",REPT(" ",50)),51,50))),0),IFERROR(DATEVALUE(TRIM(MID(SUBSTITUTE(I12,";",REPT(" ",50)),101,50))),0),IFERROR(DATEVALUE(TRIM(MID(SUBSTITUTE(I12,";",REPT(" ",50)),151,50))),0),IFERROR(DATEVALUE(TRIM(MID(SUBSTITUTE(I12,";",REPT(" ",50)),201,50))),0),IFERROR(DATEVALUE(TRIM(MID(SUBSTITUTE(I12,";",REPT(" ",50)),251,50))),0),IFERROR(DATEVALUE(TRIM(MID(SUBSTITUTE(I12,";",REPT(" ",50)),301,50))),0),IFERROR(DATEVALUE(TRIM(MID(SUBSTITUTE(I12,";",REPT(" ",50)),351,50))),0),IFERROR(DATEVALUE(TRIM(MID(SUBSTITUTE(I12,";",REPT(" ",50)),401,50))),0),IFERROR(DATEVALUE(TRIM(MID(SUBSTITUTE(I12,";",REPT(" ",50)),451,50))),0)))</f>
        <v>45945</v>
      </c>
      <c r="M12" t="s">
        <v>303</v>
      </c>
      <c r="N12">
        <f>IF(M12="","",IF(L12="",INDEX($F$37:$F$40,MATCH(M12,$C$37:$C$40,0)),IF(L12&lt;=INDEX($D$37:$D$40,MATCH(M12,$C$37:$C$40,0)),0,IF(L12&lt;=INDEX($E$37:$E$40,MATCH(M12,$C$37:$C$40,0)),INDEX($F$37:$F$40,MATCH(M12,$C$37:$C$40,0)),INDEX($G$37:$G$40,MATCH(M12,$C$37:$C$40,0))))))</f>
        <v>2</v>
      </c>
      <c r="O12">
        <f>G12+N12</f>
        <v>12</v>
      </c>
      <c r="P12" t="s">
        <v>168</v>
      </c>
      <c r="R12" t="s">
        <v>1641</v>
      </c>
    </row>
    <row r="13" spans="1:19" x14ac:dyDescent="0.2">
      <c r="A13" t="s">
        <v>627</v>
      </c>
      <c r="B13" t="s">
        <v>1642</v>
      </c>
      <c r="C13" t="s">
        <v>1643</v>
      </c>
      <c r="D13" t="s">
        <v>197</v>
      </c>
      <c r="E13">
        <v>0</v>
      </c>
      <c r="F13">
        <f>IF(D13="High",0,IF(D13="Medium",0.05,IF(D13="Low",0.1,IF(D13="Unknown",0.15,""))))</f>
        <v>0.05</v>
      </c>
      <c r="G13">
        <f>E13*(1+F13)</f>
        <v>0</v>
      </c>
      <c r="H13" t="s">
        <v>1644</v>
      </c>
      <c r="I13" t="s">
        <v>1645</v>
      </c>
      <c r="J13" t="s">
        <v>176</v>
      </c>
      <c r="K13">
        <f>IF(I13="","",MAX(IFERROR(DATEVALUE(TRIM(MID(SUBSTITUTE(I13,";",REPT(" ",50)),1,50))),0),IFERROR(DATEVALUE(TRIM(MID(SUBSTITUTE(I13,";",REPT(" ",50)),51,50))),0),IFERROR(DATEVALUE(TRIM(MID(SUBSTITUTE(I13,";",REPT(" ",50)),101,50))),0),IFERROR(DATEVALUE(TRIM(MID(SUBSTITUTE(I13,";",REPT(" ",50)),151,50))),0),IFERROR(DATEVALUE(TRIM(MID(SUBSTITUTE(I13,";",REPT(" ",50)),201,50))),0),IFERROR(DATEVALUE(TRIM(MID(SUBSTITUTE(I13,";",REPT(" ",50)),251,50))),0),IFERROR(DATEVALUE(TRIM(MID(SUBSTITUTE(I13,";",REPT(" ",50)),301,50))),0),IFERROR(DATEVALUE(TRIM(MID(SUBSTITUTE(I13,";",REPT(" ",50)),351,50))),0),IFERROR(DATEVALUE(TRIM(MID(SUBSTITUTE(I13,";",REPT(" ",50)),401,50))),0),IFERROR(DATEVALUE(TRIM(MID(SUBSTITUTE(I13,";",REPT(" ",50)),451,50))),0)))</f>
        <v>45853</v>
      </c>
      <c r="M13" t="s">
        <v>303</v>
      </c>
      <c r="N13">
        <f>IF(M13="","",IF(L13="",INDEX($F$37:$F$40,MATCH(M13,$C$37:$C$40,0)),IF(L13&lt;=INDEX($D$37:$D$40,MATCH(M13,$C$37:$C$40,0)),0,IF(L13&lt;=INDEX($E$37:$E$40,MATCH(M13,$C$37:$C$40,0)),INDEX($F$37:$F$40,MATCH(M13,$C$37:$C$40,0)),INDEX($G$37:$G$40,MATCH(M13,$C$37:$C$40,0))))))</f>
        <v>2</v>
      </c>
      <c r="O13">
        <f>G13+N13</f>
        <v>2</v>
      </c>
      <c r="P13" t="s">
        <v>168</v>
      </c>
      <c r="Q13" t="s">
        <v>863</v>
      </c>
      <c r="R13" t="s">
        <v>1646</v>
      </c>
    </row>
    <row r="14" spans="1:19" x14ac:dyDescent="0.2">
      <c r="A14" s="4"/>
      <c r="B14" s="5" t="s">
        <v>1647</v>
      </c>
      <c r="C14" s="4"/>
      <c r="D14" s="4"/>
      <c r="E14" s="4"/>
      <c r="F14" s="4"/>
      <c r="G14" s="4"/>
      <c r="H14" s="4"/>
      <c r="I14" s="4"/>
      <c r="J14" s="4"/>
      <c r="K14" s="23" t="str">
        <f>IF(I14="","",MAX(IFERROR(DATEVALUE(TRIM(MID(SUBSTITUTE(I14,";",REPT(" ",50)),1,50))),0),IFERROR(DATEVALUE(TRIM(MID(SUBSTITUTE(I14,";",REPT(" ",50)),51,50))),0),IFERROR(DATEVALUE(TRIM(MID(SUBSTITUTE(I14,";",REPT(" ",50)),101,50))),0),IFERROR(DATEVALUE(TRIM(MID(SUBSTITUTE(I14,";",REPT(" ",50)),151,50))),0),IFERROR(DATEVALUE(TRIM(MID(SUBSTITUTE(I14,";",REPT(" ",50)),201,50))),0),IFERROR(DATEVALUE(TRIM(MID(SUBSTITUTE(I14,";",REPT(" ",50)),251,50))),0),IFERROR(DATEVALUE(TRIM(MID(SUBSTITUTE(I14,";",REPT(" ",50)),301,50))),0),IFERROR(DATEVALUE(TRIM(MID(SUBSTITUTE(I14,";",REPT(" ",50)),351,50))),0),IFERROR(DATEVALUE(TRIM(MID(SUBSTITUTE(I14,";",REPT(" ",50)),401,50))),0),IFERROR(DATEVALUE(TRIM(MID(SUBSTITUTE(I14,";",REPT(" ",50)),451,50))),0)))</f>
        <v/>
      </c>
      <c r="L14" s="4"/>
      <c r="M14" s="4"/>
      <c r="N14" s="4" t="str">
        <f>IF(M14="","",IF(L14="",INDEX($F$37:$F$40,MATCH(M14,$C$37:$C$40,0)),IF(L14&lt;=INDEX($D$37:$D$40,MATCH(M14,$C$37:$C$40,0)),0,IF(L14&lt;=INDEX($E$37:$E$40,MATCH(M14,$C$37:$C$40,0)),INDEX($F$37:$F$40,MATCH(M14,$C$37:$C$40,0)),INDEX($G$37:$G$40,MATCH(M14,$C$37:$C$40,0))))))</f>
        <v/>
      </c>
      <c r="O14" s="4"/>
      <c r="P14" s="4"/>
      <c r="Q14" s="4"/>
      <c r="R14" s="4"/>
    </row>
    <row r="15" spans="1:19" x14ac:dyDescent="0.2">
      <c r="A15" s="3"/>
      <c r="B15" s="44"/>
      <c r="C15" s="45"/>
      <c r="D15" s="45"/>
      <c r="E15" s="45"/>
      <c r="F15" s="45"/>
      <c r="G15" s="45"/>
      <c r="H15" s="45"/>
      <c r="I15" s="45"/>
      <c r="J15" s="45"/>
      <c r="K15" s="46"/>
      <c r="L15" s="45"/>
      <c r="M15" s="45"/>
      <c r="N15" s="45"/>
      <c r="O15" s="45"/>
      <c r="P15" s="45"/>
      <c r="Q15" s="45"/>
      <c r="R15" s="45"/>
    </row>
    <row r="16" spans="1:19" x14ac:dyDescent="0.2">
      <c r="A16" t="s">
        <v>634</v>
      </c>
      <c r="B16" t="s">
        <v>1648</v>
      </c>
      <c r="C16" t="s">
        <v>1649</v>
      </c>
      <c r="D16" t="s">
        <v>163</v>
      </c>
      <c r="E16">
        <f>IF(C16="Generally positive or balanced",0,IF(C16="Mixed with some critical pieces",10,IF(C16="Predominantly negative or scandal-focused",20,IF(C16="Unknown",10,""))))</f>
        <v>10</v>
      </c>
      <c r="F16">
        <f>IF(D16="High",0,IF(D16="Medium",0.05,IF(D16="Low",0.1,IF(D16="Unknown",0.15,""))))</f>
        <v>0</v>
      </c>
      <c r="G16">
        <f>E16*(1+F16)</f>
        <v>10</v>
      </c>
      <c r="H16" t="s">
        <v>1650</v>
      </c>
      <c r="I16" t="s">
        <v>1651</v>
      </c>
      <c r="J16" t="s">
        <v>176</v>
      </c>
      <c r="K16">
        <f>IF(I16="","",MAX(IFERROR(DATEVALUE(TRIM(MID(SUBSTITUTE(I16,";",REPT(" ",50)),1,50))),0),IFERROR(DATEVALUE(TRIM(MID(SUBSTITUTE(I16,";",REPT(" ",50)),51,50))),0),IFERROR(DATEVALUE(TRIM(MID(SUBSTITUTE(I16,";",REPT(" ",50)),101,50))),0),IFERROR(DATEVALUE(TRIM(MID(SUBSTITUTE(I16,";",REPT(" ",50)),151,50))),0),IFERROR(DATEVALUE(TRIM(MID(SUBSTITUTE(I16,";",REPT(" ",50)),201,50))),0),IFERROR(DATEVALUE(TRIM(MID(SUBSTITUTE(I16,";",REPT(" ",50)),251,50))),0),IFERROR(DATEVALUE(TRIM(MID(SUBSTITUTE(I16,";",REPT(" ",50)),301,50))),0),IFERROR(DATEVALUE(TRIM(MID(SUBSTITUTE(I16,";",REPT(" ",50)),351,50))),0),IFERROR(DATEVALUE(TRIM(MID(SUBSTITUTE(I16,";",REPT(" ",50)),401,50))),0),IFERROR(DATEVALUE(TRIM(MID(SUBSTITUTE(I16,";",REPT(" ",50)),451,50))),0)))</f>
        <v>45931</v>
      </c>
      <c r="M16" t="s">
        <v>184</v>
      </c>
      <c r="N16">
        <f>IF(M16="","",IF(L16="",INDEX($F$37:$F$40,MATCH(M16,$C$37:$C$40,0)),IF(L16&lt;=INDEX($D$37:$D$40,MATCH(M16,$C$37:$C$40,0)),0,IF(L16&lt;=INDEX($E$37:$E$40,MATCH(M16,$C$37:$C$40,0)),INDEX($F$37:$F$40,MATCH(M16,$C$37:$C$40,0)),INDEX($G$37:$G$40,MATCH(M16,$C$37:$C$40,0))))))</f>
        <v>3</v>
      </c>
      <c r="O16">
        <f>G16+N16</f>
        <v>13</v>
      </c>
      <c r="P16" t="s">
        <v>168</v>
      </c>
      <c r="R16" t="s">
        <v>1652</v>
      </c>
    </row>
    <row r="17" spans="1:18" x14ac:dyDescent="0.2">
      <c r="A17" t="s">
        <v>640</v>
      </c>
      <c r="B17" t="s">
        <v>1653</v>
      </c>
      <c r="C17" t="s">
        <v>1654</v>
      </c>
      <c r="D17" t="s">
        <v>163</v>
      </c>
      <c r="E17">
        <f>IF(C17="No major controversies identified",0,IF(C17="Some controversy but limited in scope",10,IF(C17="Major or repeated controversies affecting many users",20,IF(C17="Unknown",10,""))))</f>
        <v>10</v>
      </c>
      <c r="F17">
        <f>IF(D17="High",0,IF(D17="Medium",0.05,IF(D17="Low",0.1,IF(D17="Unknown",0.15,""))))</f>
        <v>0</v>
      </c>
      <c r="G17">
        <f>E17*(1+F17)</f>
        <v>10</v>
      </c>
      <c r="H17" t="s">
        <v>1655</v>
      </c>
      <c r="I17" t="s">
        <v>1656</v>
      </c>
      <c r="J17" t="s">
        <v>176</v>
      </c>
      <c r="K17">
        <f>IF(I17="","",MAX(IFERROR(DATEVALUE(TRIM(MID(SUBSTITUTE(I17,";",REPT(" ",50)),1,50))),0),IFERROR(DATEVALUE(TRIM(MID(SUBSTITUTE(I17,";",REPT(" ",50)),51,50))),0),IFERROR(DATEVALUE(TRIM(MID(SUBSTITUTE(I17,";",REPT(" ",50)),101,50))),0),IFERROR(DATEVALUE(TRIM(MID(SUBSTITUTE(I17,";",REPT(" ",50)),151,50))),0),IFERROR(DATEVALUE(TRIM(MID(SUBSTITUTE(I17,";",REPT(" ",50)),201,50))),0),IFERROR(DATEVALUE(TRIM(MID(SUBSTITUTE(I17,";",REPT(" ",50)),251,50))),0),IFERROR(DATEVALUE(TRIM(MID(SUBSTITUTE(I17,";",REPT(" ",50)),301,50))),0),IFERROR(DATEVALUE(TRIM(MID(SUBSTITUTE(I17,";",REPT(" ",50)),351,50))),0),IFERROR(DATEVALUE(TRIM(MID(SUBSTITUTE(I17,";",REPT(" ",50)),401,50))),0),IFERROR(DATEVALUE(TRIM(MID(SUBSTITUTE(I17,";",REPT(" ",50)),451,50))),0)))</f>
        <v>45505</v>
      </c>
      <c r="M17" t="s">
        <v>184</v>
      </c>
      <c r="N17">
        <f>IF(M17="","",IF(L17="",INDEX($F$37:$F$40,MATCH(M17,$C$37:$C$40,0)),IF(L17&lt;=INDEX($D$37:$D$40,MATCH(M17,$C$37:$C$40,0)),0,IF(L17&lt;=INDEX($E$37:$E$40,MATCH(M17,$C$37:$C$40,0)),INDEX($F$37:$F$40,MATCH(M17,$C$37:$C$40,0)),INDEX($G$37:$G$40,MATCH(M17,$C$37:$C$40,0))))))</f>
        <v>3</v>
      </c>
      <c r="O17">
        <f>G17+N17</f>
        <v>13</v>
      </c>
      <c r="P17" t="str">
        <f>IF(AND(C17="Major or repeated controversies affecting many users",OR(D17="High",D17="Medium")),"Review Required","No Review")</f>
        <v>No Review</v>
      </c>
      <c r="Q17" t="s">
        <v>1657</v>
      </c>
      <c r="R17" t="s">
        <v>1658</v>
      </c>
    </row>
    <row r="18" spans="1:18" x14ac:dyDescent="0.2">
      <c r="A18" t="s">
        <v>645</v>
      </c>
      <c r="B18" t="s">
        <v>1659</v>
      </c>
      <c r="C18" t="s">
        <v>1660</v>
      </c>
      <c r="D18" t="s">
        <v>163</v>
      </c>
      <c r="E18">
        <f>IF(C18="Generally positive or neutral",0,IF(C18="Mixed with some pattern of complaints",10,IF(C18="Predominantly negative or repeated serious complaints",20,IF(C18="Unknown",10,""))))</f>
        <v>0</v>
      </c>
      <c r="F18">
        <f>IF(D18="High",0,IF(D18="Medium",0.05,IF(D18="Low",0.1,IF(D18="Unknown",0.15,""))))</f>
        <v>0</v>
      </c>
      <c r="G18">
        <f>E18*(1+F18)</f>
        <v>0</v>
      </c>
      <c r="H18" t="s">
        <v>1661</v>
      </c>
      <c r="I18" t="s">
        <v>1662</v>
      </c>
      <c r="J18" t="s">
        <v>176</v>
      </c>
      <c r="K18">
        <f>IF(I18="","",MAX(IFERROR(DATEVALUE(TRIM(MID(SUBSTITUTE(I18,";",REPT(" ",50)),1,50))),0),IFERROR(DATEVALUE(TRIM(MID(SUBSTITUTE(I18,";",REPT(" ",50)),51,50))),0),IFERROR(DATEVALUE(TRIM(MID(SUBSTITUTE(I18,";",REPT(" ",50)),101,50))),0),IFERROR(DATEVALUE(TRIM(MID(SUBSTITUTE(I18,";",REPT(" ",50)),151,50))),0),IFERROR(DATEVALUE(TRIM(MID(SUBSTITUTE(I18,";",REPT(" ",50)),201,50))),0),IFERROR(DATEVALUE(TRIM(MID(SUBSTITUTE(I18,";",REPT(" ",50)),251,50))),0),IFERROR(DATEVALUE(TRIM(MID(SUBSTITUTE(I18,";",REPT(" ",50)),301,50))),0),IFERROR(DATEVALUE(TRIM(MID(SUBSTITUTE(I18,";",REPT(" ",50)),351,50))),0),IFERROR(DATEVALUE(TRIM(MID(SUBSTITUTE(I18,";",REPT(" ",50)),401,50))),0),IFERROR(DATEVALUE(TRIM(MID(SUBSTITUTE(I18,";",REPT(" ",50)),451,50))),0)))</f>
        <v>45663</v>
      </c>
      <c r="M18" t="s">
        <v>184</v>
      </c>
      <c r="N18">
        <f>IF(M18="","",IF(L18="",INDEX($F$37:$F$40,MATCH(M18,$C$37:$C$40,0)),IF(L18&lt;=INDEX($D$37:$D$40,MATCH(M18,$C$37:$C$40,0)),0,IF(L18&lt;=INDEX($E$37:$E$40,MATCH(M18,$C$37:$C$40,0)),INDEX($F$37:$F$40,MATCH(M18,$C$37:$C$40,0)),INDEX($G$37:$G$40,MATCH(M18,$C$37:$C$40,0))))))</f>
        <v>3</v>
      </c>
      <c r="O18">
        <f>G18+N18</f>
        <v>3</v>
      </c>
      <c r="P18" t="str">
        <f>IF(AND(C18="Predominantly negative or repeated serious complaints",OR(D18="High",D18="Medium")),"Review Required","No Review")</f>
        <v>No Review</v>
      </c>
      <c r="Q18" t="s">
        <v>1663</v>
      </c>
      <c r="R18" t="s">
        <v>1664</v>
      </c>
    </row>
    <row r="19" spans="1:18" x14ac:dyDescent="0.2">
      <c r="A19" t="s">
        <v>672</v>
      </c>
      <c r="B19" t="s">
        <v>1665</v>
      </c>
      <c r="C19" t="s">
        <v>1666</v>
      </c>
      <c r="D19" t="s">
        <v>163</v>
      </c>
      <c r="E19">
        <v>0</v>
      </c>
      <c r="F19">
        <f>IF(D19="High",0,IF(D19="Medium",0.05,IF(D19="Low",0.1,IF(D19="Unknown",0.15,""))))</f>
        <v>0</v>
      </c>
      <c r="G19">
        <f>E19*(1+F19)</f>
        <v>0</v>
      </c>
      <c r="H19" t="s">
        <v>1667</v>
      </c>
      <c r="I19" t="s">
        <v>1668</v>
      </c>
      <c r="J19" t="s">
        <v>176</v>
      </c>
      <c r="K19">
        <f>IF(I19="","",MAX(IFERROR(DATEVALUE(TRIM(MID(SUBSTITUTE(I19,";",REPT(" ",50)),1,50))),0),IFERROR(DATEVALUE(TRIM(MID(SUBSTITUTE(I19,";",REPT(" ",50)),51,50))),0),IFERROR(DATEVALUE(TRIM(MID(SUBSTITUTE(I19,";",REPT(" ",50)),101,50))),0),IFERROR(DATEVALUE(TRIM(MID(SUBSTITUTE(I19,";",REPT(" ",50)),151,50))),0),IFERROR(DATEVALUE(TRIM(MID(SUBSTITUTE(I19,";",REPT(" ",50)),201,50))),0),IFERROR(DATEVALUE(TRIM(MID(SUBSTITUTE(I19,";",REPT(" ",50)),251,50))),0),IFERROR(DATEVALUE(TRIM(MID(SUBSTITUTE(I19,";",REPT(" ",50)),301,50))),0),IFERROR(DATEVALUE(TRIM(MID(SUBSTITUTE(I19,";",REPT(" ",50)),351,50))),0),IFERROR(DATEVALUE(TRIM(MID(SUBSTITUTE(I19,";",REPT(" ",50)),401,50))),0),IFERROR(DATEVALUE(TRIM(MID(SUBSTITUTE(I19,";",REPT(" ",50)),451,50))),0)))</f>
        <v>45971</v>
      </c>
      <c r="M19" t="s">
        <v>303</v>
      </c>
      <c r="N19">
        <f>IF(M19="","",IF(L19="",INDEX($F$37:$F$40,MATCH(M19,$C$37:$C$40,0)),IF(L19&lt;=INDEX($D$37:$D$40,MATCH(M19,$C$37:$C$40,0)),0,IF(L19&lt;=INDEX($E$37:$E$40,MATCH(M19,$C$37:$C$40,0)),INDEX($F$37:$F$40,MATCH(M19,$C$37:$C$40,0)),INDEX($G$37:$G$40,MATCH(M19,$C$37:$C$40,0))))))</f>
        <v>2</v>
      </c>
      <c r="O19">
        <f>G19+N19</f>
        <v>2</v>
      </c>
      <c r="P19" t="s">
        <v>168</v>
      </c>
      <c r="Q19" t="s">
        <v>863</v>
      </c>
      <c r="R19" t="s">
        <v>1669</v>
      </c>
    </row>
    <row r="20" spans="1:18" x14ac:dyDescent="0.2">
      <c r="A20" s="4"/>
      <c r="B20" s="5" t="s">
        <v>1670</v>
      </c>
      <c r="C20" s="4"/>
      <c r="D20" s="4"/>
      <c r="E20" s="4"/>
      <c r="F20" s="4"/>
      <c r="G20" s="4"/>
      <c r="H20" s="4"/>
      <c r="I20" s="4"/>
      <c r="J20" s="4"/>
      <c r="K20" s="23" t="str">
        <f>IF(I20="","",MAX(IFERROR(DATEVALUE(TRIM(MID(SUBSTITUTE(I20,";",REPT(" ",50)),1,50))),0),IFERROR(DATEVALUE(TRIM(MID(SUBSTITUTE(I20,";",REPT(" ",50)),51,50))),0),IFERROR(DATEVALUE(TRIM(MID(SUBSTITUTE(I20,";",REPT(" ",50)),101,50))),0),IFERROR(DATEVALUE(TRIM(MID(SUBSTITUTE(I20,";",REPT(" ",50)),151,50))),0),IFERROR(DATEVALUE(TRIM(MID(SUBSTITUTE(I20,";",REPT(" ",50)),201,50))),0),IFERROR(DATEVALUE(TRIM(MID(SUBSTITUTE(I20,";",REPT(" ",50)),251,50))),0),IFERROR(DATEVALUE(TRIM(MID(SUBSTITUTE(I20,";",REPT(" ",50)),301,50))),0),IFERROR(DATEVALUE(TRIM(MID(SUBSTITUTE(I20,";",REPT(" ",50)),351,50))),0),IFERROR(DATEVALUE(TRIM(MID(SUBSTITUTE(I20,";",REPT(" ",50)),401,50))),0),IFERROR(DATEVALUE(TRIM(MID(SUBSTITUTE(I20,";",REPT(" ",50)),451,50))),0)))</f>
        <v/>
      </c>
      <c r="L20" s="4"/>
      <c r="M20" s="4"/>
      <c r="N20" s="4" t="str">
        <f>IF(M20="","",IF(L20="",INDEX($F$37:$F$40,MATCH(M20,$C$37:$C$40,0)),IF(L20&lt;=INDEX($D$37:$D$40,MATCH(M20,$C$37:$C$40,0)),0,IF(L20&lt;=INDEX($E$37:$E$40,MATCH(M20,$C$37:$C$40,0)),INDEX($F$37:$F$40,MATCH(M20,$C$37:$C$40,0)),INDEX($G$37:$G$40,MATCH(M20,$C$37:$C$40,0))))))</f>
        <v/>
      </c>
      <c r="O20" s="4"/>
      <c r="P20" s="4"/>
      <c r="Q20" s="4"/>
      <c r="R20" s="4"/>
    </row>
    <row r="21" spans="1:18" x14ac:dyDescent="0.2">
      <c r="A21" s="3"/>
      <c r="B21" s="44"/>
      <c r="C21" s="45"/>
      <c r="D21" s="45"/>
      <c r="E21" s="45"/>
      <c r="F21" s="45"/>
      <c r="G21" s="45"/>
      <c r="H21" s="45"/>
      <c r="I21" s="45"/>
      <c r="J21" s="45"/>
      <c r="K21" s="46"/>
      <c r="L21" s="45"/>
      <c r="M21" s="45"/>
      <c r="N21" s="45"/>
      <c r="O21" s="45"/>
      <c r="P21" s="45"/>
      <c r="Q21" s="45"/>
      <c r="R21" s="45"/>
    </row>
    <row r="22" spans="1:18" x14ac:dyDescent="0.2">
      <c r="A22" t="s">
        <v>893</v>
      </c>
      <c r="B22" t="s">
        <v>1671</v>
      </c>
      <c r="C22" t="s">
        <v>1672</v>
      </c>
      <c r="D22" t="s">
        <v>163</v>
      </c>
      <c r="E22">
        <f>IF(C22="Low impact (e.g., PoS or similar)",0,IF(C22="Moderate impact",10,IF(C22="High impact (e.g., PoW with high energy use)",20,IF(C22="Unknown",10,""))))</f>
        <v>0</v>
      </c>
      <c r="F22">
        <f>IF(D22="High",0,IF(D22="Medium",0.05,IF(D22="Low",0.1,IF(D22="Unknown",0.15,""))))</f>
        <v>0</v>
      </c>
      <c r="G22">
        <f>E22*(1+F22)</f>
        <v>0</v>
      </c>
      <c r="H22" t="s">
        <v>1673</v>
      </c>
      <c r="I22" t="s">
        <v>1674</v>
      </c>
      <c r="J22" t="s">
        <v>176</v>
      </c>
      <c r="K22">
        <f>IF(I22="","",MAX(IFERROR(DATEVALUE(TRIM(MID(SUBSTITUTE(I22,";",REPT(" ",50)),1,50))),0),IFERROR(DATEVALUE(TRIM(MID(SUBSTITUTE(I22,";",REPT(" ",50)),51,50))),0),IFERROR(DATEVALUE(TRIM(MID(SUBSTITUTE(I22,";",REPT(" ",50)),101,50))),0),IFERROR(DATEVALUE(TRIM(MID(SUBSTITUTE(I22,";",REPT(" ",50)),151,50))),0),IFERROR(DATEVALUE(TRIM(MID(SUBSTITUTE(I22,";",REPT(" ",50)),201,50))),0),IFERROR(DATEVALUE(TRIM(MID(SUBSTITUTE(I22,";",REPT(" ",50)),251,50))),0),IFERROR(DATEVALUE(TRIM(MID(SUBSTITUTE(I22,";",REPT(" ",50)),301,50))),0),IFERROR(DATEVALUE(TRIM(MID(SUBSTITUTE(I22,";",REPT(" ",50)),351,50))),0),IFERROR(DATEVALUE(TRIM(MID(SUBSTITUTE(I22,";",REPT(" ",50)),401,50))),0),IFERROR(DATEVALUE(TRIM(MID(SUBSTITUTE(I22,";",REPT(" ",50)),451,50))),0)))</f>
        <v>45306</v>
      </c>
      <c r="M22" t="s">
        <v>303</v>
      </c>
      <c r="N22">
        <f>IF(M22="","",IF(L22="",INDEX($F$37:$F$40,MATCH(M22,$C$37:$C$40,0)),IF(L22&lt;=INDEX($D$37:$D$40,MATCH(M22,$C$37:$C$40,0)),0,IF(L22&lt;=INDEX($E$37:$E$40,MATCH(M22,$C$37:$C$40,0)),INDEX($F$37:$F$40,MATCH(M22,$C$37:$C$40,0)),INDEX($G$37:$G$40,MATCH(M22,$C$37:$C$40,0))))))</f>
        <v>2</v>
      </c>
      <c r="O22">
        <f>G22+N22</f>
        <v>2</v>
      </c>
      <c r="P22" t="s">
        <v>168</v>
      </c>
      <c r="R22" t="s">
        <v>1675</v>
      </c>
    </row>
    <row r="23" spans="1:18" x14ac:dyDescent="0.2">
      <c r="A23" t="s">
        <v>900</v>
      </c>
      <c r="B23" t="s">
        <v>1676</v>
      </c>
      <c r="C23" t="s">
        <v>1677</v>
      </c>
      <c r="D23" t="s">
        <v>163</v>
      </c>
      <c r="E23">
        <f>IF(C23="No material ESG controversies identified",0,IF(C23="Some ESG criticisms but limited",10,IF(C23="Significant or repeated ESG controversies",20,IF(C23="Unknown",10,""))))</f>
        <v>10</v>
      </c>
      <c r="F23">
        <f>IF(D23="High",0,IF(D23="Medium",0.05,IF(D23="Low",0.1,IF(D23="Unknown",0.15,""))))</f>
        <v>0</v>
      </c>
      <c r="G23">
        <f>E23*(1+F23)</f>
        <v>10</v>
      </c>
      <c r="H23" t="s">
        <v>1678</v>
      </c>
      <c r="I23" t="s">
        <v>1679</v>
      </c>
      <c r="J23" t="s">
        <v>176</v>
      </c>
      <c r="K23">
        <f>IF(I23="","",MAX(IFERROR(DATEVALUE(TRIM(MID(SUBSTITUTE(I23,";",REPT(" ",50)),1,50))),0),IFERROR(DATEVALUE(TRIM(MID(SUBSTITUTE(I23,";",REPT(" ",50)),51,50))),0),IFERROR(DATEVALUE(TRIM(MID(SUBSTITUTE(I23,";",REPT(" ",50)),101,50))),0),IFERROR(DATEVALUE(TRIM(MID(SUBSTITUTE(I23,";",REPT(" ",50)),151,50))),0),IFERROR(DATEVALUE(TRIM(MID(SUBSTITUTE(I23,";",REPT(" ",50)),201,50))),0),IFERROR(DATEVALUE(TRIM(MID(SUBSTITUTE(I23,";",REPT(" ",50)),251,50))),0),IFERROR(DATEVALUE(TRIM(MID(SUBSTITUTE(I23,";",REPT(" ",50)),301,50))),0),IFERROR(DATEVALUE(TRIM(MID(SUBSTITUTE(I23,";",REPT(" ",50)),351,50))),0),IFERROR(DATEVALUE(TRIM(MID(SUBSTITUTE(I23,";",REPT(" ",50)),401,50))),0),IFERROR(DATEVALUE(TRIM(MID(SUBSTITUTE(I23,";",REPT(" ",50)),451,50))),0)))</f>
        <v>45474</v>
      </c>
      <c r="M23" t="s">
        <v>303</v>
      </c>
      <c r="N23">
        <f>IF(M23="","",IF(L23="",INDEX($F$37:$F$40,MATCH(M23,$C$37:$C$40,0)),IF(L23&lt;=INDEX($D$37:$D$40,MATCH(M23,$C$37:$C$40,0)),0,IF(L23&lt;=INDEX($E$37:$E$40,MATCH(M23,$C$37:$C$40,0)),INDEX($F$37:$F$40,MATCH(M23,$C$37:$C$40,0)),INDEX($G$37:$G$40,MATCH(M23,$C$37:$C$40,0))))))</f>
        <v>2</v>
      </c>
      <c r="O23">
        <f>G23+N23</f>
        <v>12</v>
      </c>
      <c r="P23" t="str">
        <f>IF(AND(C23="Significant or repeated ESG controversies",OR(D23="High",D23="Medium")),"Review Required","No Review")</f>
        <v>No Review</v>
      </c>
      <c r="Q23" t="s">
        <v>1680</v>
      </c>
      <c r="R23" t="s">
        <v>1681</v>
      </c>
    </row>
    <row r="24" spans="1:18" x14ac:dyDescent="0.2">
      <c r="A24" t="s">
        <v>913</v>
      </c>
      <c r="B24" t="s">
        <v>1682</v>
      </c>
      <c r="C24" t="s">
        <v>1683</v>
      </c>
      <c r="D24" t="s">
        <v>163</v>
      </c>
      <c r="E24">
        <v>0</v>
      </c>
      <c r="F24">
        <f>IF(D24="High",0,IF(D24="Medium",0.05,IF(D24="Low",0.1,IF(D24="Unknown",0.15,""))))</f>
        <v>0</v>
      </c>
      <c r="G24">
        <f>E24*(1+F24)</f>
        <v>0</v>
      </c>
      <c r="H24" t="s">
        <v>1684</v>
      </c>
      <c r="I24" t="s">
        <v>1685</v>
      </c>
      <c r="J24" t="s">
        <v>176</v>
      </c>
      <c r="K24">
        <f>IF(I24="","",MAX(IFERROR(DATEVALUE(TRIM(MID(SUBSTITUTE(I24,";",REPT(" ",50)),1,50))),0),IFERROR(DATEVALUE(TRIM(MID(SUBSTITUTE(I24,";",REPT(" ",50)),51,50))),0),IFERROR(DATEVALUE(TRIM(MID(SUBSTITUTE(I24,";",REPT(" ",50)),101,50))),0),IFERROR(DATEVALUE(TRIM(MID(SUBSTITUTE(I24,";",REPT(" ",50)),151,50))),0),IFERROR(DATEVALUE(TRIM(MID(SUBSTITUTE(I24,";",REPT(" ",50)),201,50))),0),IFERROR(DATEVALUE(TRIM(MID(SUBSTITUTE(I24,";",REPT(" ",50)),251,50))),0),IFERROR(DATEVALUE(TRIM(MID(SUBSTITUTE(I24,";",REPT(" ",50)),301,50))),0),IFERROR(DATEVALUE(TRIM(MID(SUBSTITUTE(I24,";",REPT(" ",50)),351,50))),0),IFERROR(DATEVALUE(TRIM(MID(SUBSTITUTE(I24,";",REPT(" ",50)),401,50))),0),IFERROR(DATEVALUE(TRIM(MID(SUBSTITUTE(I24,";",REPT(" ",50)),451,50))),0)))</f>
        <v>45231</v>
      </c>
      <c r="M24" t="s">
        <v>303</v>
      </c>
      <c r="N24">
        <f>IF(M24="","",IF(L24="",INDEX($F$37:$F$40,MATCH(M24,$C$37:$C$40,0)),IF(L24&lt;=INDEX($D$37:$D$40,MATCH(M24,$C$37:$C$40,0)),0,IF(L24&lt;=INDEX($E$37:$E$40,MATCH(M24,$C$37:$C$40,0)),INDEX($F$37:$F$40,MATCH(M24,$C$37:$C$40,0)),INDEX($G$37:$G$40,MATCH(M24,$C$37:$C$40,0))))))</f>
        <v>2</v>
      </c>
      <c r="O24">
        <f>G24+N24</f>
        <v>2</v>
      </c>
      <c r="P24" t="s">
        <v>168</v>
      </c>
      <c r="Q24" t="s">
        <v>863</v>
      </c>
      <c r="R24" t="s">
        <v>1686</v>
      </c>
    </row>
    <row r="25" spans="1:18" x14ac:dyDescent="0.2">
      <c r="A25" s="4"/>
      <c r="B25" s="5" t="s">
        <v>1687</v>
      </c>
      <c r="C25" s="4"/>
      <c r="D25" s="4"/>
      <c r="E25" s="4"/>
      <c r="F25" s="4"/>
      <c r="G25" s="4"/>
      <c r="H25" s="4"/>
      <c r="I25" s="4"/>
      <c r="J25" s="4"/>
      <c r="K25" s="23" t="str">
        <f>IF(I25="","",MAX(IFERROR(DATEVALUE(TRIM(MID(SUBSTITUTE(I25,";",REPT(" ",50)),1,50))),0),IFERROR(DATEVALUE(TRIM(MID(SUBSTITUTE(I25,";",REPT(" ",50)),51,50))),0),IFERROR(DATEVALUE(TRIM(MID(SUBSTITUTE(I25,";",REPT(" ",50)),101,50))),0),IFERROR(DATEVALUE(TRIM(MID(SUBSTITUTE(I25,";",REPT(" ",50)),151,50))),0),IFERROR(DATEVALUE(TRIM(MID(SUBSTITUTE(I25,";",REPT(" ",50)),201,50))),0),IFERROR(DATEVALUE(TRIM(MID(SUBSTITUTE(I25,";",REPT(" ",50)),251,50))),0),IFERROR(DATEVALUE(TRIM(MID(SUBSTITUTE(I25,";",REPT(" ",50)),301,50))),0),IFERROR(DATEVALUE(TRIM(MID(SUBSTITUTE(I25,";",REPT(" ",50)),351,50))),0),IFERROR(DATEVALUE(TRIM(MID(SUBSTITUTE(I25,";",REPT(" ",50)),401,50))),0),IFERROR(DATEVALUE(TRIM(MID(SUBSTITUTE(I25,";",REPT(" ",50)),451,50))),0)))</f>
        <v/>
      </c>
      <c r="L25" s="4"/>
      <c r="M25" s="4"/>
      <c r="N25" s="4" t="str">
        <f>IF(M25="","",IF(L25="",INDEX($F$37:$F$40,MATCH(M25,$C$37:$C$40,0)),IF(L25&lt;=INDEX($D$37:$D$40,MATCH(M25,$C$37:$C$40,0)),0,IF(L25&lt;=INDEX($E$37:$E$40,MATCH(M25,$C$37:$C$40,0)),INDEX($F$37:$F$40,MATCH(M25,$C$37:$C$40,0)),INDEX($G$37:$G$40,MATCH(M25,$C$37:$C$40,0))))))</f>
        <v/>
      </c>
      <c r="O25" s="4"/>
      <c r="P25" s="4"/>
      <c r="Q25" s="4"/>
      <c r="R25" s="4"/>
    </row>
    <row r="26" spans="1:18" x14ac:dyDescent="0.2">
      <c r="A26" s="3"/>
      <c r="B26" s="44"/>
      <c r="C26" s="45"/>
      <c r="D26" s="45"/>
      <c r="E26" s="45"/>
      <c r="F26" s="45"/>
      <c r="G26" s="45"/>
      <c r="H26" s="45"/>
      <c r="I26" s="45"/>
      <c r="J26" s="45"/>
      <c r="K26" s="46"/>
      <c r="L26" s="45"/>
      <c r="M26" s="45"/>
      <c r="N26" s="45"/>
      <c r="O26" s="45"/>
      <c r="P26" s="45"/>
      <c r="Q26" s="45"/>
      <c r="R26" s="45"/>
    </row>
    <row r="27" spans="1:18" x14ac:dyDescent="0.2">
      <c r="A27" t="s">
        <v>438</v>
      </c>
      <c r="B27" t="s">
        <v>1688</v>
      </c>
      <c r="C27" t="s">
        <v>1689</v>
      </c>
      <c r="D27" t="s">
        <v>163</v>
      </c>
      <c r="E27">
        <f>IF(C27="Backed/partnered with reputable institutions",0,IF(C27="Mix of reputable and lesser-known partners",10,IF(C27="Mainly low-quality or opaque partners",20,IF(C27="Unknown",10,""))))</f>
        <v>0</v>
      </c>
      <c r="F27">
        <f>IF(D27="High",0,IF(D27="Medium",0.05,IF(D27="Low",0.1,IF(D27="Unknown",0.15,""))))</f>
        <v>0</v>
      </c>
      <c r="G27">
        <f>E27*(1+F27)</f>
        <v>0</v>
      </c>
      <c r="H27" t="s">
        <v>1690</v>
      </c>
      <c r="I27" t="s">
        <v>1691</v>
      </c>
      <c r="J27" t="s">
        <v>176</v>
      </c>
      <c r="K27">
        <f>IF(I27="","",MAX(IFERROR(DATEVALUE(TRIM(MID(SUBSTITUTE(I27,";",REPT(" ",50)),1,50))),0),IFERROR(DATEVALUE(TRIM(MID(SUBSTITUTE(I27,";",REPT(" ",50)),51,50))),0),IFERROR(DATEVALUE(TRIM(MID(SUBSTITUTE(I27,";",REPT(" ",50)),101,50))),0),IFERROR(DATEVALUE(TRIM(MID(SUBSTITUTE(I27,";",REPT(" ",50)),151,50))),0),IFERROR(DATEVALUE(TRIM(MID(SUBSTITUTE(I27,";",REPT(" ",50)),201,50))),0),IFERROR(DATEVALUE(TRIM(MID(SUBSTITUTE(I27,";",REPT(" ",50)),251,50))),0),IFERROR(DATEVALUE(TRIM(MID(SUBSTITUTE(I27,";",REPT(" ",50)),301,50))),0),IFERROR(DATEVALUE(TRIM(MID(SUBSTITUTE(I27,";",REPT(" ",50)),351,50))),0),IFERROR(DATEVALUE(TRIM(MID(SUBSTITUTE(I27,";",REPT(" ",50)),401,50))),0),IFERROR(DATEVALUE(TRIM(MID(SUBSTITUTE(I27,";",REPT(" ",50)),451,50))),0)))</f>
        <v>45972</v>
      </c>
      <c r="M27" t="s">
        <v>167</v>
      </c>
      <c r="N27">
        <f>IF(M27="","",IF(L27="",INDEX($F$37:$F$40,MATCH(M27,$C$37:$C$40,0)),IF(L27&lt;=INDEX($D$37:$D$40,MATCH(M27,$C$37:$C$40,0)),0,IF(L27&lt;=INDEX($E$37:$E$40,MATCH(M27,$C$37:$C$40,0)),INDEX($F$37:$F$40,MATCH(M27,$C$37:$C$40,0)),INDEX($G$37:$G$40,MATCH(M27,$C$37:$C$40,0))))))</f>
        <v>0</v>
      </c>
      <c r="O27">
        <f>G27+N27</f>
        <v>0</v>
      </c>
      <c r="P27" t="s">
        <v>168</v>
      </c>
      <c r="R27" t="s">
        <v>1692</v>
      </c>
    </row>
    <row r="28" spans="1:18" x14ac:dyDescent="0.2">
      <c r="A28" t="s">
        <v>445</v>
      </c>
      <c r="B28" t="s">
        <v>1693</v>
      </c>
      <c r="C28" t="s">
        <v>1694</v>
      </c>
      <c r="D28" t="s">
        <v>197</v>
      </c>
      <c r="E28">
        <f>IF(C28="No such exits identified",0,IF(C28="Some exits for neutral/commercial reasons",10,IF(C28="Exits explicitly citing risk or conduct concerns",20,IF(C28="Unknown",10,""))))</f>
        <v>0</v>
      </c>
      <c r="F28">
        <f>IF(D28="High",0,IF(D28="Medium",0.05,IF(D28="Low",0.1,IF(D28="Unknown",0.15,""))))</f>
        <v>0.05</v>
      </c>
      <c r="G28">
        <f>E28*(1+F28)</f>
        <v>0</v>
      </c>
      <c r="H28" t="s">
        <v>1695</v>
      </c>
      <c r="I28" t="s">
        <v>1696</v>
      </c>
      <c r="J28" t="s">
        <v>176</v>
      </c>
      <c r="K28">
        <f>IF(I28="","",MAX(IFERROR(DATEVALUE(TRIM(MID(SUBSTITUTE(I28,";",REPT(" ",50)),1,50))),0),IFERROR(DATEVALUE(TRIM(MID(SUBSTITUTE(I28,";",REPT(" ",50)),51,50))),0),IFERROR(DATEVALUE(TRIM(MID(SUBSTITUTE(I28,";",REPT(" ",50)),101,50))),0),IFERROR(DATEVALUE(TRIM(MID(SUBSTITUTE(I28,";",REPT(" ",50)),151,50))),0),IFERROR(DATEVALUE(TRIM(MID(SUBSTITUTE(I28,";",REPT(" ",50)),201,50))),0),IFERROR(DATEVALUE(TRIM(MID(SUBSTITUTE(I28,";",REPT(" ",50)),251,50))),0),IFERROR(DATEVALUE(TRIM(MID(SUBSTITUTE(I28,";",REPT(" ",50)),301,50))),0),IFERROR(DATEVALUE(TRIM(MID(SUBSTITUTE(I28,";",REPT(" ",50)),351,50))),0),IFERROR(DATEVALUE(TRIM(MID(SUBSTITUTE(I28,";",REPT(" ",50)),401,50))),0),IFERROR(DATEVALUE(TRIM(MID(SUBSTITUTE(I28,";",REPT(" ",50)),451,50))),0)))</f>
        <v>45945</v>
      </c>
      <c r="M28" t="s">
        <v>184</v>
      </c>
      <c r="N28">
        <f>IF(M28="","",IF(L28="",INDEX($F$37:$F$40,MATCH(M28,$C$37:$C$40,0)),IF(L28&lt;=INDEX($D$37:$D$40,MATCH(M28,$C$37:$C$40,0)),0,IF(L28&lt;=INDEX($E$37:$E$40,MATCH(M28,$C$37:$C$40,0)),INDEX($F$37:$F$40,MATCH(M28,$C$37:$C$40,0)),INDEX($G$37:$G$40,MATCH(M28,$C$37:$C$40,0))))))</f>
        <v>3</v>
      </c>
      <c r="O28">
        <f>G28+N28</f>
        <v>3</v>
      </c>
      <c r="P28" t="str">
        <f>IF(AND(C28="Exits explicitly citing risk or conduct concerns",OR(D28="High",D28="Medium")),"Review Required","No Review")</f>
        <v>No Review</v>
      </c>
      <c r="Q28" t="s">
        <v>1697</v>
      </c>
      <c r="R28" t="s">
        <v>1698</v>
      </c>
    </row>
    <row r="29" spans="1:18" x14ac:dyDescent="0.2">
      <c r="A29" t="s">
        <v>451</v>
      </c>
      <c r="B29" t="s">
        <v>1699</v>
      </c>
      <c r="C29" t="s">
        <v>1700</v>
      </c>
      <c r="D29" t="s">
        <v>163</v>
      </c>
      <c r="E29">
        <f>IF(C29="Some positive or neutral inclusion/partnership",0,IF(C29="No material association identified",10,IF(C29="Public distancing or explicit exclusion",20,IF(C29="Unknown",10,""))))</f>
        <v>0</v>
      </c>
      <c r="F29">
        <f>IF(D29="High",0,IF(D29="Medium",0.05,IF(D29="Low",0.1,IF(D29="Unknown",0.15,""))))</f>
        <v>0</v>
      </c>
      <c r="G29">
        <f>E29*(1+F29)</f>
        <v>0</v>
      </c>
      <c r="H29" t="s">
        <v>1701</v>
      </c>
      <c r="I29" t="s">
        <v>1702</v>
      </c>
      <c r="J29" t="s">
        <v>176</v>
      </c>
      <c r="K29">
        <f>IF(I29="","",MAX(IFERROR(DATEVALUE(TRIM(MID(SUBSTITUTE(I29,";",REPT(" ",50)),1,50))),0),IFERROR(DATEVALUE(TRIM(MID(SUBSTITUTE(I29,";",REPT(" ",50)),51,50))),0),IFERROR(DATEVALUE(TRIM(MID(SUBSTITUTE(I29,";",REPT(" ",50)),101,50))),0),IFERROR(DATEVALUE(TRIM(MID(SUBSTITUTE(I29,";",REPT(" ",50)),151,50))),0),IFERROR(DATEVALUE(TRIM(MID(SUBSTITUTE(I29,";",REPT(" ",50)),201,50))),0),IFERROR(DATEVALUE(TRIM(MID(SUBSTITUTE(I29,";",REPT(" ",50)),251,50))),0),IFERROR(DATEVALUE(TRIM(MID(SUBSTITUTE(I29,";",REPT(" ",50)),301,50))),0),IFERROR(DATEVALUE(TRIM(MID(SUBSTITUTE(I29,";",REPT(" ",50)),351,50))),0),IFERROR(DATEVALUE(TRIM(MID(SUBSTITUTE(I29,";",REPT(" ",50)),401,50))),0),IFERROR(DATEVALUE(TRIM(MID(SUBSTITUTE(I29,";",REPT(" ",50)),451,50))),0)))</f>
        <v>45972</v>
      </c>
      <c r="M29" t="s">
        <v>167</v>
      </c>
      <c r="N29">
        <f>IF(M29="","",IF(L29="",INDEX($F$37:$F$40,MATCH(M29,$C$37:$C$40,0)),IF(L29&lt;=INDEX($D$37:$D$40,MATCH(M29,$C$37:$C$40,0)),0,IF(L29&lt;=INDEX($E$37:$E$40,MATCH(M29,$C$37:$C$40,0)),INDEX($F$37:$F$40,MATCH(M29,$C$37:$C$40,0)),INDEX($G$37:$G$40,MATCH(M29,$C$37:$C$40,0))))))</f>
        <v>0</v>
      </c>
      <c r="O29">
        <f>G29+N29</f>
        <v>0</v>
      </c>
      <c r="P29" t="str">
        <f>IF(AND(C29="Public distancing or explicit exclusion",OR(D29="High",D29="Medium")),"Review Required","No Review")</f>
        <v>No Review</v>
      </c>
      <c r="Q29" t="s">
        <v>1703</v>
      </c>
      <c r="R29" t="s">
        <v>1704</v>
      </c>
    </row>
    <row r="30" spans="1:18" x14ac:dyDescent="0.2">
      <c r="A30" t="s">
        <v>461</v>
      </c>
      <c r="B30" t="s">
        <v>1705</v>
      </c>
      <c r="C30" t="s">
        <v>1706</v>
      </c>
      <c r="D30" t="s">
        <v>163</v>
      </c>
      <c r="E30">
        <v>0</v>
      </c>
      <c r="F30">
        <f>IF(D30="High",0,IF(D30="Medium",0.05,IF(D30="Low",0.1,IF(D30="Unknown",0.15,""))))</f>
        <v>0</v>
      </c>
      <c r="G30">
        <f>E30*(1+F30)</f>
        <v>0</v>
      </c>
      <c r="H30" t="s">
        <v>1707</v>
      </c>
      <c r="I30" t="s">
        <v>1708</v>
      </c>
      <c r="J30" t="s">
        <v>176</v>
      </c>
      <c r="K30">
        <f>IF(I30="","",MAX(IFERROR(DATEVALUE(TRIM(MID(SUBSTITUTE(I30,";",REPT(" ",50)),1,50))),0),IFERROR(DATEVALUE(TRIM(MID(SUBSTITUTE(I30,";",REPT(" ",50)),51,50))),0),IFERROR(DATEVALUE(TRIM(MID(SUBSTITUTE(I30,";",REPT(" ",50)),101,50))),0),IFERROR(DATEVALUE(TRIM(MID(SUBSTITUTE(I30,";",REPT(" ",50)),151,50))),0),IFERROR(DATEVALUE(TRIM(MID(SUBSTITUTE(I30,";",REPT(" ",50)),201,50))),0),IFERROR(DATEVALUE(TRIM(MID(SUBSTITUTE(I30,";",REPT(" ",50)),251,50))),0),IFERROR(DATEVALUE(TRIM(MID(SUBSTITUTE(I30,";",REPT(" ",50)),301,50))),0),IFERROR(DATEVALUE(TRIM(MID(SUBSTITUTE(I30,";",REPT(" ",50)),351,50))),0),IFERROR(DATEVALUE(TRIM(MID(SUBSTITUTE(I30,";",REPT(" ",50)),401,50))),0),IFERROR(DATEVALUE(TRIM(MID(SUBSTITUTE(I30,";",REPT(" ",50)),451,50))),0)))</f>
        <v>45972</v>
      </c>
      <c r="M30" t="s">
        <v>167</v>
      </c>
      <c r="N30">
        <f>IF(M30="","",IF(L30="",INDEX($F$37:$F$40,MATCH(M30,$C$37:$C$40,0)),IF(L30&lt;=INDEX($D$37:$D$40,MATCH(M30,$C$37:$C$40,0)),0,IF(L30&lt;=INDEX($E$37:$E$40,MATCH(M30,$C$37:$C$40,0)),INDEX($F$37:$F$40,MATCH(M30,$C$37:$C$40,0)),INDEX($G$37:$G$40,MATCH(M30,$C$37:$C$40,0))))))</f>
        <v>0</v>
      </c>
      <c r="O30">
        <f>G30+N30</f>
        <v>0</v>
      </c>
      <c r="P30" t="s">
        <v>168</v>
      </c>
      <c r="Q30" t="s">
        <v>863</v>
      </c>
      <c r="R30" t="s">
        <v>1709</v>
      </c>
    </row>
    <row r="35" spans="3:7" x14ac:dyDescent="0.2">
      <c r="C35" s="56" t="s">
        <v>552</v>
      </c>
      <c r="D35" s="57"/>
      <c r="E35" s="57"/>
      <c r="F35" s="57"/>
      <c r="G35" s="58"/>
    </row>
    <row r="36" spans="3:7" x14ac:dyDescent="0.2">
      <c r="C36" s="31" t="s">
        <v>152</v>
      </c>
      <c r="D36" s="32" t="s">
        <v>553</v>
      </c>
      <c r="E36" s="32" t="s">
        <v>554</v>
      </c>
      <c r="F36" s="32" t="s">
        <v>555</v>
      </c>
      <c r="G36" s="32" t="s">
        <v>556</v>
      </c>
    </row>
    <row r="37" spans="3:7" x14ac:dyDescent="0.2">
      <c r="C37" s="33" t="s">
        <v>273</v>
      </c>
      <c r="D37" s="34">
        <v>90</v>
      </c>
      <c r="E37" s="34">
        <v>180</v>
      </c>
      <c r="F37" s="34">
        <v>5</v>
      </c>
      <c r="G37" s="35">
        <v>10</v>
      </c>
    </row>
    <row r="38" spans="3:7" x14ac:dyDescent="0.2">
      <c r="C38" s="36" t="s">
        <v>184</v>
      </c>
      <c r="D38" s="34">
        <v>180</v>
      </c>
      <c r="E38" s="34">
        <v>365</v>
      </c>
      <c r="F38" s="34">
        <v>3</v>
      </c>
      <c r="G38" s="35">
        <v>6</v>
      </c>
    </row>
    <row r="39" spans="3:7" x14ac:dyDescent="0.2">
      <c r="C39" s="36" t="s">
        <v>303</v>
      </c>
      <c r="D39" s="34">
        <v>365</v>
      </c>
      <c r="E39" s="34">
        <v>730</v>
      </c>
      <c r="F39" s="34">
        <v>2</v>
      </c>
      <c r="G39" s="35">
        <v>4</v>
      </c>
    </row>
    <row r="40" spans="3:7" x14ac:dyDescent="0.2">
      <c r="C40" s="31" t="s">
        <v>167</v>
      </c>
      <c r="D40" s="37">
        <v>9999</v>
      </c>
      <c r="E40" s="37">
        <v>9999</v>
      </c>
      <c r="F40" s="37">
        <v>0</v>
      </c>
      <c r="G40" s="32">
        <v>0</v>
      </c>
    </row>
    <row r="43" spans="3:7" ht="16" customHeight="1" thickBot="1" x14ac:dyDescent="0.25"/>
    <row r="44" spans="3:7" ht="16" customHeight="1" thickBot="1" x14ac:dyDescent="0.25">
      <c r="C44" s="52" t="s">
        <v>557</v>
      </c>
      <c r="D44" s="53"/>
      <c r="E44" s="54"/>
    </row>
    <row r="45" spans="3:7" x14ac:dyDescent="0.2">
      <c r="C45" s="47" t="s">
        <v>558</v>
      </c>
      <c r="D45" s="48"/>
      <c r="E45" s="8">
        <f>IF(COUNTIFS($A$4:$A$30,"A*",$C$4:$C$30,"&lt;&gt;")=0,"",AVERAGEIFS($O$4:$O$30,$A$4:$A$30,"A*",$C$4:$C$30,"&lt;&gt;"))</f>
        <v>2.5</v>
      </c>
    </row>
    <row r="46" spans="3:7" x14ac:dyDescent="0.2">
      <c r="C46" s="47" t="s">
        <v>559</v>
      </c>
      <c r="D46" s="48"/>
      <c r="E46" s="8">
        <f>IF(COUNTIFS($A$4:$A$30,"B*",$C$4:$C$30,"&lt;&gt;")=0,"",AVERAGEIFS($O$4:$O$30,$A$4:$A$30,"B*",$C$4:$C$30,"&lt;&gt;"))</f>
        <v>7.125</v>
      </c>
    </row>
    <row r="47" spans="3:7" x14ac:dyDescent="0.2">
      <c r="C47" s="47" t="s">
        <v>560</v>
      </c>
      <c r="D47" s="48"/>
      <c r="E47" s="8">
        <f>IF(COUNTIFS($A$4:$A$30,"C*",$C$4:$C$30,"&lt;&gt;")=0,"",AVERAGEIFS($O$4:$O$30,$A$4:$A$30,"C*",$C$4:$C$30,"&lt;&gt;"))</f>
        <v>7.75</v>
      </c>
    </row>
    <row r="48" spans="3:7" x14ac:dyDescent="0.2">
      <c r="C48" s="47" t="s">
        <v>561</v>
      </c>
      <c r="D48" s="48"/>
      <c r="E48" s="8">
        <f>IF(COUNTIFS($A$4:$A$30,"D*",$C$4:$C$30,"&lt;&gt;")=0,"",AVERAGEIFS($O$4:$O$30,$A$4:$A$30,"D*",$C$4:$C$30,"&lt;&gt;"))</f>
        <v>5.333333333333333</v>
      </c>
    </row>
    <row r="49" spans="3:5" x14ac:dyDescent="0.2">
      <c r="C49" s="47" t="s">
        <v>562</v>
      </c>
      <c r="D49" s="48"/>
      <c r="E49" s="8">
        <f>IF(COUNTIFS($A$4:$A$30,"E*",$C$4:$C$30,"&lt;&gt;")=0,"",AVERAGEIFS($O$4:$O$30,$A$4:$A$30,"E*",$C$4:$C$30,"&lt;&gt;"))</f>
        <v>0.75</v>
      </c>
    </row>
    <row r="50" spans="3:5" x14ac:dyDescent="0.2">
      <c r="C50" s="47" t="s">
        <v>563</v>
      </c>
      <c r="D50" s="48"/>
      <c r="E50" s="8">
        <f>IF(COUNTIF($C$4:$C$30,"&lt;&gt;")=0,"",AVERAGEIFS($O$4:$O$30,$C$4:$C$30,"&lt;&gt;"))</f>
        <v>4.6578947368421053</v>
      </c>
    </row>
    <row r="51" spans="3:5" x14ac:dyDescent="0.2">
      <c r="C51" s="47" t="s">
        <v>564</v>
      </c>
      <c r="D51" s="48"/>
      <c r="E51" s="8" t="str">
        <f>IF(E50="","",IF(E50&lt;3,"Very Low",IF(E50&lt;6,"Low",IF(E50&lt;9,"Medium",IF(E50&lt;12,"Medium-High","High")))))</f>
        <v>Low</v>
      </c>
    </row>
    <row r="52" spans="3:5" x14ac:dyDescent="0.2">
      <c r="C52" s="49" t="s">
        <v>565</v>
      </c>
      <c r="D52" s="50"/>
      <c r="E52" s="9" t="str">
        <f>IF(COUNT($E$45:$E$49)=0,"",IF($E$45=MIN($E$45:$E$49),"A",IF($E$46=MIN($E$45:$E$49),"B",IF($E$47=MIN($E$45:$E$49),"C",IF($E$48=MIN($E$45:$E$49),"D","E")))))</f>
        <v>E</v>
      </c>
    </row>
  </sheetData>
  <mergeCells count="15">
    <mergeCell ref="C52:D52"/>
    <mergeCell ref="B3:R3"/>
    <mergeCell ref="C48:D48"/>
    <mergeCell ref="C49:D49"/>
    <mergeCell ref="B9:R9"/>
    <mergeCell ref="B21:R21"/>
    <mergeCell ref="C51:D51"/>
    <mergeCell ref="B15:R15"/>
    <mergeCell ref="C50:D50"/>
    <mergeCell ref="C45:D45"/>
    <mergeCell ref="C35:G35"/>
    <mergeCell ref="B26:R26"/>
    <mergeCell ref="C46:D46"/>
    <mergeCell ref="C44:E44"/>
    <mergeCell ref="C47:D47"/>
  </mergeCells>
  <conditionalFormatting sqref="O4:O40">
    <cfRule type="colorScale" priority="6">
      <colorScale>
        <cfvo type="num" val="0"/>
        <cfvo type="percentile" val="50"/>
        <cfvo type="num" val="25"/>
        <color rgb="FF73FB79"/>
        <color rgb="FFFFFD78"/>
        <color rgb="FFFF2600"/>
      </colorScale>
    </cfRule>
  </conditionalFormatting>
  <conditionalFormatting sqref="P4:P30">
    <cfRule type="cellIs" dxfId="13" priority="7" operator="equal">
      <formula>"No Review"</formula>
    </cfRule>
    <cfRule type="cellIs" dxfId="12" priority="8" operator="equal">
      <formula>"Review Required"</formula>
    </cfRule>
  </conditionalFormatting>
  <dataValidations count="1">
    <dataValidation type="list" showInputMessage="1" showErrorMessage="1" sqref="M4:M42" xr:uid="{00000000-0002-0000-0600-000000000000}">
      <formula1>"Critical–Fast,Operational–Medium,Background–Slow,Evergreen–No Penalty"</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30"/>
  <sheetViews>
    <sheetView workbookViewId="0">
      <selection activeCell="G2" sqref="G2"/>
    </sheetView>
  </sheetViews>
  <sheetFormatPr baseColWidth="10" defaultColWidth="8.83203125" defaultRowHeight="15" x14ac:dyDescent="0.2"/>
  <cols>
    <col min="1" max="1" width="37.83203125" customWidth="1"/>
    <col min="2" max="9" width="21.33203125" customWidth="1"/>
  </cols>
  <sheetData>
    <row r="1" spans="1:8" x14ac:dyDescent="0.2">
      <c r="A1" s="18" t="s">
        <v>1710</v>
      </c>
      <c r="B1" s="18" t="s">
        <v>1711</v>
      </c>
      <c r="C1" s="18" t="s">
        <v>1712</v>
      </c>
      <c r="D1" s="18" t="s">
        <v>1713</v>
      </c>
      <c r="E1" s="18" t="s">
        <v>1714</v>
      </c>
      <c r="F1" s="18" t="s">
        <v>1715</v>
      </c>
      <c r="G1" s="18" t="s">
        <v>1716</v>
      </c>
      <c r="H1" s="18" t="s">
        <v>1717</v>
      </c>
    </row>
    <row r="2" spans="1:8" x14ac:dyDescent="0.2">
      <c r="A2" s="7" t="s">
        <v>1718</v>
      </c>
      <c r="B2" s="11">
        <v>0.15</v>
      </c>
      <c r="C2" s="11">
        <f ca="1">'Token Fundamentals &amp; Governance'!E106</f>
        <v>6.3030303030303028</v>
      </c>
      <c r="D2" s="11" t="str">
        <f ca="1">'Token Fundamentals &amp; Governance'!E107</f>
        <v>Medium</v>
      </c>
      <c r="E2" s="11">
        <f t="shared" ref="E2:E7" ca="1" si="0">IF(C2="","",IF(C2&lt;3,1,IF(C2&lt;6,2,IF(C2&lt;9,3,IF(C2&lt;12,4,5)))))</f>
        <v>3</v>
      </c>
      <c r="F2" s="11">
        <f t="shared" ref="F2:F7" ca="1" si="1">B2*C2</f>
        <v>0.94545454545454533</v>
      </c>
      <c r="G2" s="11" t="str">
        <f>IF(COUNTIF('Token Fundamentals &amp; Governance'!P:P,"Review Required")&gt;0,"Yes","No")</f>
        <v>Yes</v>
      </c>
      <c r="H2" s="12" t="str">
        <f ca="1">'Token Fundamentals &amp; Governance'!E108</f>
        <v>D</v>
      </c>
    </row>
    <row r="3" spans="1:8" x14ac:dyDescent="0.2">
      <c r="A3" s="8" t="s">
        <v>1719</v>
      </c>
      <c r="B3">
        <v>0.2</v>
      </c>
      <c r="C3">
        <f ca="1">'Regulatory &amp; Legal Risk'!E83</f>
        <v>7.09375</v>
      </c>
      <c r="D3" t="str">
        <f ca="1">'Regulatory &amp; Legal Risk'!E84</f>
        <v>Medium</v>
      </c>
      <c r="E3">
        <f t="shared" ca="1" si="0"/>
        <v>3</v>
      </c>
      <c r="F3">
        <f t="shared" ca="1" si="1"/>
        <v>1.4187500000000002</v>
      </c>
      <c r="G3" t="str">
        <f>IF(COUNTIF('Regulatory &amp; Legal Risk'!P:P,"Review Required")&gt;0,"Yes","No")</f>
        <v>Yes</v>
      </c>
      <c r="H3" s="14" t="str">
        <f ca="1">'Regulatory &amp; Legal Risk'!E85</f>
        <v>D</v>
      </c>
    </row>
    <row r="4" spans="1:8" x14ac:dyDescent="0.2">
      <c r="A4" s="8" t="s">
        <v>1720</v>
      </c>
      <c r="B4">
        <v>0.25</v>
      </c>
      <c r="C4">
        <f ca="1">'AML &amp; Sanctions Risk'!E77</f>
        <v>5.5750000000000002</v>
      </c>
      <c r="D4" t="str">
        <f ca="1">'AML &amp; Sanctions Risk'!E78</f>
        <v>Low</v>
      </c>
      <c r="E4">
        <f t="shared" ca="1" si="0"/>
        <v>2</v>
      </c>
      <c r="F4">
        <f t="shared" ca="1" si="1"/>
        <v>1.39375</v>
      </c>
      <c r="G4" t="str">
        <f>IF(COUNTIF('AML &amp; Sanctions Risk'!P:P,"Review Required")&gt;0,"Yes","No")</f>
        <v>No</v>
      </c>
      <c r="H4" s="14" t="str">
        <f ca="1">'AML &amp; Sanctions Risk'!E79</f>
        <v>E</v>
      </c>
    </row>
    <row r="5" spans="1:8" x14ac:dyDescent="0.2">
      <c r="A5" s="8" t="s">
        <v>1721</v>
      </c>
      <c r="B5">
        <v>0.2</v>
      </c>
      <c r="C5">
        <f ca="1">'Technical &amp; Protocol Security'!E124</f>
        <v>7.9294871794871797</v>
      </c>
      <c r="D5" t="str">
        <f ca="1">'Technical &amp; Protocol Security'!E125</f>
        <v>Medium</v>
      </c>
      <c r="E5">
        <f t="shared" ca="1" si="0"/>
        <v>3</v>
      </c>
      <c r="F5">
        <f t="shared" ca="1" si="1"/>
        <v>1.585897435897436</v>
      </c>
      <c r="G5" t="str">
        <f>IF(COUNTIF('Technical &amp; Protocol Security'!P:P,"Review Required")&gt;0,"Yes","No")</f>
        <v>Yes</v>
      </c>
      <c r="H5" s="14" t="str">
        <f ca="1">'Technical &amp; Protocol Security'!E126</f>
        <v>D</v>
      </c>
    </row>
    <row r="6" spans="1:8" x14ac:dyDescent="0.2">
      <c r="A6" s="8" t="s">
        <v>1722</v>
      </c>
      <c r="B6">
        <v>0.15</v>
      </c>
      <c r="C6">
        <f>'Market &amp; Liquidity Integrity'!E75</f>
        <v>6.8552631578947372</v>
      </c>
      <c r="D6" t="str">
        <f>'Market &amp; Liquidity Integrity'!E76</f>
        <v>Medium</v>
      </c>
      <c r="E6">
        <f t="shared" si="0"/>
        <v>3</v>
      </c>
      <c r="F6">
        <f t="shared" si="1"/>
        <v>1.0282894736842105</v>
      </c>
      <c r="G6" t="str">
        <f>IF(COUNTIF('Market &amp; Liquidity Integrity'!P:P,"Review Required")&gt;0,"Yes","No")</f>
        <v>No</v>
      </c>
      <c r="H6" s="14" t="str">
        <f>'Market &amp; Liquidity Integrity'!E77</f>
        <v>E</v>
      </c>
    </row>
    <row r="7" spans="1:8" x14ac:dyDescent="0.2">
      <c r="A7" s="9" t="s">
        <v>1723</v>
      </c>
      <c r="B7" s="16">
        <v>0.05</v>
      </c>
      <c r="C7" s="16">
        <f>'Strategic, Reputational &amp; ESG'!E50</f>
        <v>4.6578947368421053</v>
      </c>
      <c r="D7" s="16" t="str">
        <f>'Strategic, Reputational &amp; ESG'!E51</f>
        <v>Low</v>
      </c>
      <c r="E7" s="16">
        <f t="shared" si="0"/>
        <v>2</v>
      </c>
      <c r="F7" s="16">
        <f t="shared" si="1"/>
        <v>0.23289473684210527</v>
      </c>
      <c r="G7" s="16" t="str">
        <f>IF(COUNTIF('Strategic, Reputational &amp; ESG'!P:P,"Review Required")&gt;0,"Yes","No")</f>
        <v>No</v>
      </c>
      <c r="H7" s="17" t="str">
        <f>'Strategic, Reputational &amp; ESG'!E52</f>
        <v>E</v>
      </c>
    </row>
    <row r="8" spans="1:8" ht="16" customHeight="1" thickBot="1" x14ac:dyDescent="0.25">
      <c r="A8" s="8"/>
      <c r="B8" s="7"/>
    </row>
    <row r="9" spans="1:8" ht="16" customHeight="1" thickBot="1" x14ac:dyDescent="0.25">
      <c r="A9" s="38" t="s">
        <v>1724</v>
      </c>
      <c r="B9" s="39">
        <f ca="1">IF(SUM(B2:B7)=0,"",SUM(F2:F7)/SUM(B2:B7))</f>
        <v>6.6050361918782983</v>
      </c>
    </row>
    <row r="10" spans="1:8" x14ac:dyDescent="0.2">
      <c r="A10" s="8" t="s">
        <v>1725</v>
      </c>
      <c r="B10" s="8" t="str">
        <f ca="1">IF(B9="","",IF(B9&lt;3,"Very Low",IF(B9&lt;6,"Low",IF(B9&lt;9,"Medium",IF(B9&lt;12,"Medium-High","High")))))</f>
        <v>Medium</v>
      </c>
    </row>
    <row r="11" spans="1:8" x14ac:dyDescent="0.2">
      <c r="A11" s="9" t="s">
        <v>1726</v>
      </c>
      <c r="B11" s="9">
        <f ca="1">IF(B9="","",IF(B9&lt;3,1,IF(B9&lt;6,2,IF(B9&lt;9,3,IF(B9&lt;12,4,5)))))</f>
        <v>3</v>
      </c>
    </row>
    <row r="13" spans="1:8" x14ac:dyDescent="0.2">
      <c r="A13" s="59" t="s">
        <v>1727</v>
      </c>
      <c r="B13" s="41"/>
      <c r="C13" s="41"/>
      <c r="D13" s="41"/>
      <c r="E13" s="41"/>
      <c r="F13" s="42"/>
    </row>
    <row r="14" spans="1:8" x14ac:dyDescent="0.2">
      <c r="A14" s="18" t="s">
        <v>1710</v>
      </c>
      <c r="B14" s="18" t="s">
        <v>1728</v>
      </c>
      <c r="C14" s="18" t="s">
        <v>1729</v>
      </c>
      <c r="D14" s="18" t="s">
        <v>1730</v>
      </c>
      <c r="E14" s="18" t="s">
        <v>1731</v>
      </c>
      <c r="F14" s="18" t="s">
        <v>1732</v>
      </c>
    </row>
    <row r="15" spans="1:8" x14ac:dyDescent="0.2">
      <c r="A15" s="7" t="s">
        <v>1718</v>
      </c>
      <c r="B15" s="10" t="str">
        <f ca="1">IF('Token Fundamentals &amp; Governance'!E101="","",IF('Token Fundamentals &amp; Governance'!E101&lt;3,"Very Low",IF('Token Fundamentals &amp; Governance'!E101&lt;6,"Low",IF('Token Fundamentals &amp; Governance'!E101&lt;9,"Medium",IF('Token Fundamentals &amp; Governance'!E101&lt;12,"Medium-High","High")))))</f>
        <v>Low</v>
      </c>
      <c r="C15" s="11" t="str">
        <f ca="1">IF('Token Fundamentals &amp; Governance'!E102="","",IF('Token Fundamentals &amp; Governance'!E102&lt;3,"Very Low",IF('Token Fundamentals &amp; Governance'!E102&lt;6,"Low",IF('Token Fundamentals &amp; Governance'!E102&lt;9,"Medium",IF('Token Fundamentals &amp; Governance'!E102&lt;12,"Medium-High","High")))))</f>
        <v>Medium-High</v>
      </c>
      <c r="D15" s="11" t="str">
        <f ca="1">IF('Token Fundamentals &amp; Governance'!E103="","",IF('Token Fundamentals &amp; Governance'!E103&lt;3,"Very Low",IF('Token Fundamentals &amp; Governance'!E103&lt;6,"Low",IF('Token Fundamentals &amp; Governance'!E103&lt;9,"Medium",IF('Token Fundamentals &amp; Governance'!E103&lt;12,"Medium-High","High")))))</f>
        <v>Medium-High</v>
      </c>
      <c r="E15" s="11" t="str">
        <f ca="1">IF('Token Fundamentals &amp; Governance'!E104="","",IF('Token Fundamentals &amp; Governance'!E104&lt;3,"Very Low",IF('Token Fundamentals &amp; Governance'!E104&lt;6,"Low",IF('Token Fundamentals &amp; Governance'!E104&lt;9,"Medium",IF('Token Fundamentals &amp; Governance'!E104&lt;12,"Medium-High","High")))))</f>
        <v>Very Low</v>
      </c>
      <c r="F15" s="12" t="str">
        <f ca="1">IF('Token Fundamentals &amp; Governance'!E105="","",IF('Token Fundamentals &amp; Governance'!E105&lt;3,"Very Low",IF('Token Fundamentals &amp; Governance'!E105&lt;6,"Low",IF('Token Fundamentals &amp; Governance'!E105&lt;9,"Medium",IF('Token Fundamentals &amp; Governance'!E105&lt;12,"Medium-High","High")))))</f>
        <v>Low</v>
      </c>
    </row>
    <row r="16" spans="1:8" x14ac:dyDescent="0.2">
      <c r="A16" s="8" t="s">
        <v>1719</v>
      </c>
      <c r="B16" s="13" t="str">
        <f ca="1">IF('Regulatory &amp; Legal Risk'!E78="","",IF('Regulatory &amp; Legal Risk'!E78&lt;3,"Very Low",IF('Regulatory &amp; Legal Risk'!E78&lt;6,"Low",IF('Regulatory &amp; Legal Risk'!E78&lt;9,"Medium",IF('Regulatory &amp; Legal Risk'!E78&lt;12,"Medium-High","High")))))</f>
        <v>High</v>
      </c>
      <c r="C16" t="str">
        <f ca="1">IF('Regulatory &amp; Legal Risk'!E79="","",IF('Regulatory &amp; Legal Risk'!E79&lt;3,"Very Low",IF('Regulatory &amp; Legal Risk'!E79&lt;6,"Low",IF('Regulatory &amp; Legal Risk'!E79&lt;9,"Medium",IF('Regulatory &amp; Legal Risk'!E79&lt;12,"Medium-High","High")))))</f>
        <v>Low</v>
      </c>
      <c r="D16" t="str">
        <f ca="1">IF('Regulatory &amp; Legal Risk'!E80="","",IF('Regulatory &amp; Legal Risk'!E80&lt;3,"Very Low",IF('Regulatory &amp; Legal Risk'!E80&lt;6,"Low",IF('Regulatory &amp; Legal Risk'!E80&lt;9,"Medium",IF('Regulatory &amp; Legal Risk'!E80&lt;12,"Medium-High","High")))))</f>
        <v>High</v>
      </c>
      <c r="E16" t="str">
        <f ca="1">IF('Regulatory &amp; Legal Risk'!E81="","",IF('Regulatory &amp; Legal Risk'!E81&lt;3,"Very Low",IF('Regulatory &amp; Legal Risk'!E81&lt;6,"Low",IF('Regulatory &amp; Legal Risk'!E81&lt;9,"Medium",IF('Regulatory &amp; Legal Risk'!E81&lt;12,"Medium-High","High")))))</f>
        <v>Very Low</v>
      </c>
      <c r="F16" s="14" t="str">
        <f ca="1">IF('Regulatory &amp; Legal Risk'!E82="","",IF('Regulatory &amp; Legal Risk'!E82&lt;3,"Very Low",IF('Regulatory &amp; Legal Risk'!E82&lt;6,"Low",IF('Regulatory &amp; Legal Risk'!E82&lt;9,"Medium",IF('Regulatory &amp; Legal Risk'!E82&lt;12,"Medium-High","High")))))</f>
        <v>Medium</v>
      </c>
    </row>
    <row r="17" spans="1:6" x14ac:dyDescent="0.2">
      <c r="A17" s="8" t="s">
        <v>1720</v>
      </c>
      <c r="B17" s="13" t="str">
        <f ca="1">IF('AML &amp; Sanctions Risk'!E72="","",IF('AML &amp; Sanctions Risk'!E72&lt;3,"Very Low",IF('AML &amp; Sanctions Risk'!E72&lt;6,"Low",IF('AML &amp; Sanctions Risk'!E72&lt;9,"Medium",IF('AML &amp; Sanctions Risk'!E72&lt;12,"Medium-High","High")))))</f>
        <v>Very Low</v>
      </c>
      <c r="C17" t="str">
        <f ca="1">IF('AML &amp; Sanctions Risk'!E73="","",IF('AML &amp; Sanctions Risk'!E73&lt;3,"Very Low",IF('AML &amp; Sanctions Risk'!E73&lt;6,"Low",IF('AML &amp; Sanctions Risk'!E73&lt;9,"Medium",IF('AML &amp; Sanctions Risk'!E73&lt;12,"Medium-High","High")))))</f>
        <v>Low</v>
      </c>
      <c r="D17" t="str">
        <f ca="1">IF('AML &amp; Sanctions Risk'!E74="","",IF('AML &amp; Sanctions Risk'!E74&lt;3,"Very Low",IF('AML &amp; Sanctions Risk'!E74&lt;6,"Low",IF('AML &amp; Sanctions Risk'!E74&lt;9,"Medium",IF('AML &amp; Sanctions Risk'!E74&lt;12,"Medium-High","High")))))</f>
        <v>Medium</v>
      </c>
      <c r="E17" t="str">
        <f ca="1">IF('AML &amp; Sanctions Risk'!E75="","",IF('AML &amp; Sanctions Risk'!E75&lt;3,"Very Low",IF('AML &amp; Sanctions Risk'!E75&lt;6,"Low",IF('AML &amp; Sanctions Risk'!E75&lt;9,"Medium",IF('AML &amp; Sanctions Risk'!E75&lt;12,"Medium-High","High")))))</f>
        <v>Medium-High</v>
      </c>
      <c r="F17" s="14" t="str">
        <f ca="1">IF('AML &amp; Sanctions Risk'!E76="","",IF('AML &amp; Sanctions Risk'!E76&lt;3,"Very Low",IF('AML &amp; Sanctions Risk'!E76&lt;6,"Low",IF('AML &amp; Sanctions Risk'!E76&lt;9,"Medium",IF('AML &amp; Sanctions Risk'!E76&lt;12,"Medium-High","High")))))</f>
        <v>Very Low</v>
      </c>
    </row>
    <row r="18" spans="1:6" x14ac:dyDescent="0.2">
      <c r="A18" s="8" t="s">
        <v>1721</v>
      </c>
      <c r="B18" s="13" t="str">
        <f ca="1">IF('Technical &amp; Protocol Security'!E119="","",IF('Technical &amp; Protocol Security'!E119&lt;3,"Very Low",IF('Technical &amp; Protocol Security'!E119&lt;6,"Low",IF('Technical &amp; Protocol Security'!E119&lt;9,"Medium",IF('Technical &amp; Protocol Security'!E119&lt;12,"Medium-High","High")))))</f>
        <v>Medium</v>
      </c>
      <c r="C18" t="str">
        <f ca="1">IF('Technical &amp; Protocol Security'!E120="","",IF('Technical &amp; Protocol Security'!E120&lt;3,"Very Low",IF('Technical &amp; Protocol Security'!E120&lt;6,"Low",IF('Technical &amp; Protocol Security'!E120&lt;9,"Medium",IF('Technical &amp; Protocol Security'!E120&lt;12,"Medium-High","High")))))</f>
        <v>Medium</v>
      </c>
      <c r="D18" t="str">
        <f ca="1">IF('Technical &amp; Protocol Security'!E121="","",IF('Technical &amp; Protocol Security'!E121&lt;3,"Very Low",IF('Technical &amp; Protocol Security'!E121&lt;6,"Low",IF('Technical &amp; Protocol Security'!E121&lt;9,"Medium",IF('Technical &amp; Protocol Security'!E121&lt;12,"Medium-High","High")))))</f>
        <v>High</v>
      </c>
      <c r="E18" t="str">
        <f ca="1">IF('Technical &amp; Protocol Security'!E122="","",IF('Technical &amp; Protocol Security'!E122&lt;3,"Very Low",IF('Technical &amp; Protocol Security'!E122&lt;6,"Low",IF('Technical &amp; Protocol Security'!E122&lt;9,"Medium",IF('Technical &amp; Protocol Security'!E122&lt;12,"Medium-High","High")))))</f>
        <v>Low</v>
      </c>
      <c r="F18" s="14" t="str">
        <f ca="1">IF('Technical &amp; Protocol Security'!E123="","",IF('Technical &amp; Protocol Security'!E123&lt;3,"Very Low",IF('Technical &amp; Protocol Security'!E123&lt;6,"Low",IF('Technical &amp; Protocol Security'!E123&lt;9,"Medium",IF('Technical &amp; Protocol Security'!E123&lt;12,"Medium-High","High")))))</f>
        <v>Medium-High</v>
      </c>
    </row>
    <row r="19" spans="1:6" x14ac:dyDescent="0.2">
      <c r="A19" s="8" t="s">
        <v>1722</v>
      </c>
      <c r="B19" s="13" t="str">
        <f>IF('Market &amp; Liquidity Integrity'!E70="","",IF('Market &amp; Liquidity Integrity'!E70&lt;3,"Very Low",IF('Market &amp; Liquidity Integrity'!E70&lt;6,"Low",IF('Market &amp; Liquidity Integrity'!E70&lt;9,"Medium",IF('Market &amp; Liquidity Integrity'!E70&lt;12,"Medium-High","High")))))</f>
        <v>Medium</v>
      </c>
      <c r="C19" t="str">
        <f>IF('Market &amp; Liquidity Integrity'!E71="","",IF('Market &amp; Liquidity Integrity'!E71&lt;3,"Very Low",IF('Market &amp; Liquidity Integrity'!E71&lt;6,"Low",IF('Market &amp; Liquidity Integrity'!E71&lt;9,"Medium",IF('Market &amp; Liquidity Integrity'!E71&lt;12,"Medium-High","High")))))</f>
        <v>Medium</v>
      </c>
      <c r="D19" t="str">
        <f>IF('Market &amp; Liquidity Integrity'!E72="","",IF('Market &amp; Liquidity Integrity'!E72&lt;3,"Very Low",IF('Market &amp; Liquidity Integrity'!E72&lt;6,"Low",IF('Market &amp; Liquidity Integrity'!E72&lt;9,"Medium",IF('Market &amp; Liquidity Integrity'!E72&lt;12,"Medium-High","High")))))</f>
        <v>Medium</v>
      </c>
      <c r="E19" t="str">
        <f>IF('Market &amp; Liquidity Integrity'!E73="","",IF('Market &amp; Liquidity Integrity'!E73&lt;3,"Very Low",IF('Market &amp; Liquidity Integrity'!E73&lt;6,"Low",IF('Market &amp; Liquidity Integrity'!E73&lt;9,"Medium",IF('Market &amp; Liquidity Integrity'!E73&lt;12,"Medium-High","High")))))</f>
        <v>Medium-High</v>
      </c>
      <c r="F19" s="14" t="str">
        <f>IF('Market &amp; Liquidity Integrity'!E74="","",IF('Market &amp; Liquidity Integrity'!E74&lt;3,"Very Low",IF('Market &amp; Liquidity Integrity'!E74&lt;6,"Low",IF('Market &amp; Liquidity Integrity'!E74&lt;9,"Medium",IF('Market &amp; Liquidity Integrity'!E74&lt;12,"Medium-High","High")))))</f>
        <v>Very Low</v>
      </c>
    </row>
    <row r="20" spans="1:6" x14ac:dyDescent="0.2">
      <c r="A20" s="9" t="s">
        <v>1723</v>
      </c>
      <c r="B20" s="15" t="str">
        <f>IF('Strategic, Reputational &amp; ESG'!E45="","",IF('Strategic, Reputational &amp; ESG'!E45&lt;3,"Very Low",IF('Strategic, Reputational &amp; ESG'!E45&lt;6,"Low",IF('Strategic, Reputational &amp; ESG'!E45&lt;9,"Medium",IF('Strategic, Reputational &amp; ESG'!E45&lt;12,"Medium-High","High")))))</f>
        <v>Very Low</v>
      </c>
      <c r="C20" s="16" t="str">
        <f>IF('Strategic, Reputational &amp; ESG'!E46="","",IF('Strategic, Reputational &amp; ESG'!E46&lt;3,"Very Low",IF('Strategic, Reputational &amp; ESG'!E46&lt;6,"Low",IF('Strategic, Reputational &amp; ESG'!E46&lt;9,"Medium",IF('Strategic, Reputational &amp; ESG'!E46&lt;12,"Medium-High","High")))))</f>
        <v>Medium</v>
      </c>
      <c r="D20" s="16" t="str">
        <f>IF('Strategic, Reputational &amp; ESG'!E47="","",IF('Strategic, Reputational &amp; ESG'!E47&lt;3,"Very Low",IF('Strategic, Reputational &amp; ESG'!E47&lt;6,"Low",IF('Strategic, Reputational &amp; ESG'!E47&lt;9,"Medium",IF('Strategic, Reputational &amp; ESG'!E47&lt;12,"Medium-High","High")))))</f>
        <v>Medium</v>
      </c>
      <c r="E20" s="16" t="str">
        <f>IF('Strategic, Reputational &amp; ESG'!E48="","",IF('Strategic, Reputational &amp; ESG'!E48&lt;3,"Very Low",IF('Strategic, Reputational &amp; ESG'!E48&lt;6,"Low",IF('Strategic, Reputational &amp; ESG'!E48&lt;9,"Medium",IF('Strategic, Reputational &amp; ESG'!E48&lt;12,"Medium-High","High")))))</f>
        <v>Low</v>
      </c>
      <c r="F20" s="17" t="str">
        <f>IF('Strategic, Reputational &amp; ESG'!E49="","",IF('Strategic, Reputational &amp; ESG'!E49&lt;3,"Very Low",IF('Strategic, Reputational &amp; ESG'!E49&lt;6,"Low",IF('Strategic, Reputational &amp; ESG'!E49&lt;9,"Medium",IF('Strategic, Reputational &amp; ESG'!E49&lt;12,"Medium-High","High")))))</f>
        <v>Very Low</v>
      </c>
    </row>
    <row r="22" spans="1:6" ht="16" customHeight="1" thickBot="1" x14ac:dyDescent="0.25"/>
    <row r="23" spans="1:6" ht="16" customHeight="1" thickBot="1" x14ac:dyDescent="0.25">
      <c r="A23" s="60" t="s">
        <v>1733</v>
      </c>
      <c r="B23" s="54"/>
    </row>
    <row r="24" spans="1:6" x14ac:dyDescent="0.2">
      <c r="A24" s="8"/>
      <c r="B24" s="8"/>
    </row>
    <row r="25" spans="1:6" x14ac:dyDescent="0.2">
      <c r="A25" s="8" t="s">
        <v>1734</v>
      </c>
      <c r="B25" s="8" t="str">
        <f>IF(COUNTIF(G2:G7,"Yes")&gt;0,"Yes","No")</f>
        <v>Yes</v>
      </c>
    </row>
    <row r="26" spans="1:6" x14ac:dyDescent="0.2">
      <c r="A26" s="8"/>
      <c r="B26" s="8"/>
    </row>
    <row r="27" spans="1:6" x14ac:dyDescent="0.2">
      <c r="A27" s="8" t="s">
        <v>1735</v>
      </c>
      <c r="B27" s="8" t="str">
        <f>IF(COUNTIF(G2:G7,"Yes")=0,"None",LEFT(IF(G2="Yes",A2&amp;", ","")&amp;IF(G3="Yes",A3&amp;", ","")&amp;IF(G4="Yes",A4&amp;", ","")&amp;IF(G5="Yes",A5&amp;", ","")&amp;IF(G6="Yes",A6&amp;", ","")&amp;IF(G7="Yes",A7&amp;", ",""),LEN(IF(G2="Yes",A2&amp;", ","")&amp;IF(G3="Yes",A3&amp;", ","")&amp;IF(G4="Yes",A4&amp;", ","")&amp;IF(G5="Yes",A5&amp;", ","")&amp;IF(G6="Yes",A6&amp;", ","")&amp;IF(G7="Yes",A7&amp;", ",""))-2))</f>
        <v>Token Fundamentals &amp; Governance, Regulatory &amp; Legal Risk, Technical &amp; Protocol Security</v>
      </c>
    </row>
    <row r="28" spans="1:6" x14ac:dyDescent="0.2">
      <c r="A28" s="8"/>
      <c r="B28" s="8"/>
    </row>
    <row r="29" spans="1:6" x14ac:dyDescent="0.2">
      <c r="A29" s="8" t="s">
        <v>1736</v>
      </c>
      <c r="B29" s="9" t="str">
        <f ca="1">IF(COUNTIF(D2:D7,"Medium-High")+COUNTIF(D2:D7,"High")=0,"None",LEFT(IF(OR(D2="Medium-High",D2="High"),A2&amp;", ","")&amp;IF(OR(D3="Medium-High",D3="High"),A3&amp;", ","")&amp;IF(OR(D4="Medium-High",D4="High"),A4&amp;", ","")&amp;IF(OR(D5="Medium-High",D5="High"),A5&amp;", ","")&amp;IF(OR(D6="Medium-High",D6="High"),A6&amp;", ","")&amp;IF(OR(D7="Medium-High",D7="High"),A7&amp;", ",""),LEN(IF(OR(D2="Medium-High",D2="High"),A2&amp;", ","")&amp;IF(OR(D3="Medium-High",D3="High"),A3&amp;", ","")&amp;IF(OR(D4="Medium-High",D4="High"),A4&amp;", ","")&amp;IF(OR(D5="Medium-High",D5="High"),A5&amp;", ","")&amp;IF(OR(D6="Medium-High",D6="High"),A6&amp;", ","")&amp;IF(OR(D7="Medium-High",D7="High"),A7&amp;", ",""))-2))</f>
        <v>None</v>
      </c>
    </row>
    <row r="30" spans="1:6" x14ac:dyDescent="0.2">
      <c r="A30" s="27"/>
    </row>
  </sheetData>
  <mergeCells count="2">
    <mergeCell ref="A13:F13"/>
    <mergeCell ref="A23:B23"/>
  </mergeCells>
  <conditionalFormatting sqref="B9">
    <cfRule type="colorScale" priority="1">
      <colorScale>
        <cfvo type="num" val="0"/>
        <cfvo type="percentile" val="50"/>
        <cfvo type="num" val="13"/>
        <color rgb="FF00FA00"/>
        <color rgb="FFFFFC00"/>
        <color rgb="FFFF2600"/>
      </colorScale>
    </cfRule>
  </conditionalFormatting>
  <conditionalFormatting sqref="B15:F20">
    <cfRule type="cellIs" dxfId="11" priority="9" operator="equal">
      <formula>"Very Low"</formula>
    </cfRule>
    <cfRule type="cellIs" dxfId="10" priority="10" stopIfTrue="1" operator="equal">
      <formula>"Low"</formula>
    </cfRule>
    <cfRule type="cellIs" dxfId="9" priority="11" stopIfTrue="1" operator="equal">
      <formula>"Medium"</formula>
    </cfRule>
    <cfRule type="cellIs" dxfId="8" priority="12" operator="equal">
      <formula>"Medium-High"</formula>
    </cfRule>
    <cfRule type="cellIs" dxfId="7" priority="13" stopIfTrue="1" operator="equal">
      <formula>"High"</formula>
    </cfRule>
  </conditionalFormatting>
  <conditionalFormatting sqref="D2:D7">
    <cfRule type="cellIs" dxfId="6" priority="2" stopIfTrue="1" operator="equal">
      <formula>"Very Low"</formula>
    </cfRule>
    <cfRule type="cellIs" dxfId="5" priority="3" stopIfTrue="1" operator="equal">
      <formula>"Low"</formula>
    </cfRule>
    <cfRule type="cellIs" dxfId="4" priority="4" stopIfTrue="1" operator="equal">
      <formula>"Medium"</formula>
    </cfRule>
    <cfRule type="cellIs" dxfId="3" priority="5" stopIfTrue="1" operator="equal">
      <formula>"Medium-High"</formula>
    </cfRule>
    <cfRule type="cellIs" dxfId="2" priority="6" stopIfTrue="1" operator="equal">
      <formula>"High"</formula>
    </cfRule>
  </conditionalFormatting>
  <conditionalFormatting sqref="G2:G7">
    <cfRule type="cellIs" dxfId="1" priority="7" operator="equal">
      <formula>"Yes"</formula>
    </cfRule>
    <cfRule type="cellIs" dxfId="0" priority="8" operator="equal">
      <formula>"No"</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Overview</vt:lpstr>
      <vt:lpstr>Token Fundamentals &amp; Governance</vt:lpstr>
      <vt:lpstr>Regulatory &amp; Legal Risk</vt:lpstr>
      <vt:lpstr>AML &amp; Sanctions Risk</vt:lpstr>
      <vt:lpstr>Technical &amp; Protocol Security</vt:lpstr>
      <vt:lpstr>Market &amp; Liquidity Integrity</vt:lpstr>
      <vt:lpstr>Strategic, Reputational &amp; ESG</vt:lpstr>
      <vt:lpstr>Master_Summary</vt:lpstr>
      <vt:lpstr>Structure_Map</vt:lpstr>
      <vt:lpstr>Tab1_Map</vt:lpstr>
      <vt:lpstr>Tab2_Map</vt:lpstr>
      <vt:lpstr>Tab3_Map</vt:lpstr>
      <vt:lpstr>Tab4_Map</vt:lpstr>
      <vt:lpstr>Tab5_Map</vt:lpstr>
      <vt:lpstr>Tab6_Map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Nikolas Spence</cp:lastModifiedBy>
  <dcterms:created xsi:type="dcterms:W3CDTF">2025-11-02T22:21:41Z</dcterms:created>
  <dcterms:modified xsi:type="dcterms:W3CDTF">2025-12-13T00:03:53Z</dcterms:modified>
</cp:coreProperties>
</file>